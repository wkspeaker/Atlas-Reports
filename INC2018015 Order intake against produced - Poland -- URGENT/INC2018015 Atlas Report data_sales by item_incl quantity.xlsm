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RWk\Private\GitHub\Atlas-Reports\INC2018015 Order intake against produced - Poland -- URGENT\"/>
    </mc:Choice>
  </mc:AlternateContent>
  <bookViews>
    <workbookView xWindow="480" yWindow="105" windowWidth="19440" windowHeight="11040"/>
  </bookViews>
  <sheets>
    <sheet name="General" sheetId="1" r:id="rId1"/>
    <sheet name="SalesDetails" sheetId="7" r:id="rId2"/>
    <sheet name="Sales packing slip" sheetId="3" r:id="rId3"/>
    <sheet name="InventTrans" sheetId="4" r:id="rId4"/>
    <sheet name="Report_Summary" sheetId="6" r:id="rId5"/>
    <sheet name="Sales Analyze Details" sheetId="8" r:id="rId6"/>
  </sheets>
  <functionGroups builtInGroupCount="18"/>
  <definedNames>
    <definedName name="AtlasReport_3" localSheetId="2">'Sales packing slip'!$A$1:$J$896</definedName>
    <definedName name="AtlasReport_4" localSheetId="3">InventTrans!$A$1:$F$5114</definedName>
    <definedName name="AtlasReport_5" localSheetId="1">SalesDetails!$A$1:$P$899</definedName>
    <definedName name="CustGroup">General!$C$4</definedName>
    <definedName name="DataAreaId">General!$C$2</definedName>
    <definedName name="DatePeriod">General!$C$3</definedName>
    <definedName name="DMG">General!$C$7</definedName>
    <definedName name="ItemNumber">General!$C$5</definedName>
    <definedName name="MMG">General!$C$6</definedName>
  </definedNames>
  <calcPr calcId="162913"/>
  <pivotCaches>
    <pivotCache cacheId="0" r:id="rId7"/>
    <pivotCache cacheId="1" r:id="rId8"/>
  </pivotCaches>
</workbook>
</file>

<file path=xl/calcChain.xml><?xml version="1.0" encoding="utf-8"?>
<calcChain xmlns="http://schemas.openxmlformats.org/spreadsheetml/2006/main">
  <c r="F5113" i="4" l="1"/>
  <c r="L898" i="7" l="1"/>
  <c r="K898" i="7"/>
  <c r="I898" i="7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F895" i="3"/>
</calcChain>
</file>

<file path=xl/sharedStrings.xml><?xml version="1.0" encoding="utf-8"?>
<sst xmlns="http://schemas.openxmlformats.org/spreadsheetml/2006/main" count="36772" uniqueCount="8739">
  <si>
    <t>Company:</t>
  </si>
  <si>
    <t>Date period:</t>
  </si>
  <si>
    <t>Customer group:</t>
  </si>
  <si>
    <t>*</t>
  </si>
  <si>
    <t>Item number:</t>
  </si>
  <si>
    <t>Major marketing group:</t>
  </si>
  <si>
    <t>Detailed marketing group:</t>
  </si>
  <si>
    <t>Item</t>
  </si>
  <si>
    <t>Delivered</t>
  </si>
  <si>
    <t>Total</t>
  </si>
  <si>
    <t>Customer - Packing slip lines</t>
  </si>
  <si>
    <t>Item name</t>
  </si>
  <si>
    <t>Ship date</t>
  </si>
  <si>
    <t>Quantity</t>
  </si>
  <si>
    <t>Physical date</t>
  </si>
  <si>
    <t>M²</t>
  </si>
  <si>
    <t>Sales order</t>
  </si>
  <si>
    <t>Company accounts</t>
  </si>
  <si>
    <t>Lot ID</t>
  </si>
  <si>
    <t>Sales unit</t>
  </si>
  <si>
    <t>Invent unit</t>
  </si>
  <si>
    <t>Invent qty delivered</t>
  </si>
  <si>
    <t>Inventory transactions</t>
  </si>
  <si>
    <t>Item number</t>
  </si>
  <si>
    <t>Reference</t>
  </si>
  <si>
    <t>Number</t>
  </si>
  <si>
    <t>Sum of Delivered</t>
  </si>
  <si>
    <t>Sum of Invent qty delivered</t>
  </si>
  <si>
    <t>Values</t>
  </si>
  <si>
    <t>Version:</t>
  </si>
  <si>
    <t>V1</t>
  </si>
  <si>
    <t>Initial version</t>
  </si>
  <si>
    <t>Notice:</t>
  </si>
  <si>
    <t>1. Maintain the criterions in sheet general;</t>
  </si>
  <si>
    <t>2. In tab page "Atlas 5.1" , click button "Refresh" to fetch the data through Atlas; (This will update the result in sheets "Inventtrans" and "Report_Detailed")</t>
  </si>
  <si>
    <t>CAG0195200</t>
  </si>
  <si>
    <t>S&amp;P Carbophalt G (120/200kN)</t>
  </si>
  <si>
    <t>GLG0195120</t>
  </si>
  <si>
    <t>S&amp;P Glasphalt G (120/120kN)</t>
  </si>
  <si>
    <t>3. In sheet "Report_Summary", it's a pivot table based on the sheet "Report_Detailed"; (The data in it should be refreshed automatically when you active the sheet)</t>
  </si>
  <si>
    <t>CAG0150200</t>
  </si>
  <si>
    <t>CAG0097200</t>
  </si>
  <si>
    <t>GLG0150120</t>
  </si>
  <si>
    <t>GLG0097120</t>
  </si>
  <si>
    <t>CAG195200200</t>
  </si>
  <si>
    <t>S&amp;P Carbophalt G (200/200kN)</t>
  </si>
  <si>
    <t>CAG0097200200</t>
  </si>
  <si>
    <t>ASPHALT</t>
  </si>
  <si>
    <t>362</t>
  </si>
  <si>
    <t>GLG2Q</t>
  </si>
  <si>
    <t xml:space="preserve">S&amp;P Glasphalt GV2Q
</t>
  </si>
  <si>
    <t>CAG0195200GV</t>
  </si>
  <si>
    <t>S&amp;P Carbophalt GV (120/200kN)</t>
  </si>
  <si>
    <t>GLG0195120GV</t>
  </si>
  <si>
    <t>S&amp;P Glasphalt GV (120/120kN)</t>
  </si>
  <si>
    <t>CAG2Q</t>
  </si>
  <si>
    <t>S&amp;P Carbophalt G2Q</t>
  </si>
  <si>
    <t>GLG0097120GV</t>
  </si>
  <si>
    <t>GLG0150200GV</t>
  </si>
  <si>
    <t>S&amp;P Glasphalt GV (120/200kN)</t>
  </si>
  <si>
    <t>S&amp;P Glasphalt G 65</t>
  </si>
  <si>
    <t>GLG0150200</t>
  </si>
  <si>
    <t>S&amp;P Glasphalt G 120/120 kN 1.50m</t>
  </si>
  <si>
    <t>CAG0097200GV</t>
  </si>
  <si>
    <t>GLG0150120GV</t>
  </si>
  <si>
    <t>CAG150200200</t>
  </si>
  <si>
    <t>GLG009765</t>
  </si>
  <si>
    <t>SO0002309</t>
  </si>
  <si>
    <t>SO0002327</t>
  </si>
  <si>
    <t>SO0002341</t>
  </si>
  <si>
    <t>SO0002350</t>
  </si>
  <si>
    <t>SO0002361</t>
  </si>
  <si>
    <t>SO0002363</t>
  </si>
  <si>
    <t>SO0002365</t>
  </si>
  <si>
    <t>SO0002376</t>
  </si>
  <si>
    <t>SO0002377</t>
  </si>
  <si>
    <t>SO0002382</t>
  </si>
  <si>
    <t>SO0002384</t>
  </si>
  <si>
    <t>SO0002393</t>
  </si>
  <si>
    <t>SO0002396</t>
  </si>
  <si>
    <t>SO0002397</t>
  </si>
  <si>
    <t>SO0002399</t>
  </si>
  <si>
    <t>SO0002406</t>
  </si>
  <si>
    <t>SO0002411</t>
  </si>
  <si>
    <t>SO0002414</t>
  </si>
  <si>
    <t>SO0002415</t>
  </si>
  <si>
    <t>SO0002417</t>
  </si>
  <si>
    <t>SO0002418</t>
  </si>
  <si>
    <t>SO0002419</t>
  </si>
  <si>
    <t>SO0002420</t>
  </si>
  <si>
    <t>SO0002422</t>
  </si>
  <si>
    <t>SO0002426</t>
  </si>
  <si>
    <t>SO0002428</t>
  </si>
  <si>
    <t>SO0002432</t>
  </si>
  <si>
    <t>SO0002434</t>
  </si>
  <si>
    <t>SO0002436</t>
  </si>
  <si>
    <t>SO0002453</t>
  </si>
  <si>
    <t>SO0002456</t>
  </si>
  <si>
    <t>SO0002459</t>
  </si>
  <si>
    <t>SO0002462</t>
  </si>
  <si>
    <t>SO0002463</t>
  </si>
  <si>
    <t>SO0002466</t>
  </si>
  <si>
    <t>SO0002467</t>
  </si>
  <si>
    <t>SO0002468</t>
  </si>
  <si>
    <t>SO0002469</t>
  </si>
  <si>
    <t>SO0002478</t>
  </si>
  <si>
    <t>SO0002481</t>
  </si>
  <si>
    <t>SO0002489</t>
  </si>
  <si>
    <t>SO0002490</t>
  </si>
  <si>
    <t>SO0002492</t>
  </si>
  <si>
    <t>SO0002493</t>
  </si>
  <si>
    <t>SO0002498</t>
  </si>
  <si>
    <t>SO0002500</t>
  </si>
  <si>
    <t>SO0002506</t>
  </si>
  <si>
    <t>SO0002509</t>
  </si>
  <si>
    <t>SO0002510</t>
  </si>
  <si>
    <t>SO0002511</t>
  </si>
  <si>
    <t>SO0002516</t>
  </si>
  <si>
    <t>SO0002517</t>
  </si>
  <si>
    <t>SO0002518</t>
  </si>
  <si>
    <t>SO0002524</t>
  </si>
  <si>
    <t>SO0002525</t>
  </si>
  <si>
    <t>SO0002531</t>
  </si>
  <si>
    <t>SO0002532</t>
  </si>
  <si>
    <t>SO0002534</t>
  </si>
  <si>
    <t>SO0002536</t>
  </si>
  <si>
    <t>SO0002538</t>
  </si>
  <si>
    <t>SO0002539</t>
  </si>
  <si>
    <t>SO0002561</t>
  </si>
  <si>
    <t>SO0002564</t>
  </si>
  <si>
    <t>SO0002565</t>
  </si>
  <si>
    <t>SO0002566</t>
  </si>
  <si>
    <t>SO0002568</t>
  </si>
  <si>
    <t>SO0002569</t>
  </si>
  <si>
    <t>SO0002570</t>
  </si>
  <si>
    <t>SO0002571</t>
  </si>
  <si>
    <t>SO0002573</t>
  </si>
  <si>
    <t>SO0002574</t>
  </si>
  <si>
    <t>SO0002581</t>
  </si>
  <si>
    <t>SO0002582</t>
  </si>
  <si>
    <t>SO0002588</t>
  </si>
  <si>
    <t>SO0002589</t>
  </si>
  <si>
    <t>SO0002593</t>
  </si>
  <si>
    <t>SO0002594</t>
  </si>
  <si>
    <t>SO0002597</t>
  </si>
  <si>
    <t>SO0002598</t>
  </si>
  <si>
    <t>SO0002601</t>
  </si>
  <si>
    <t>SO0002604</t>
  </si>
  <si>
    <t>GLG0097200GV</t>
  </si>
  <si>
    <t>SO0002610</t>
  </si>
  <si>
    <t>SO0002620</t>
  </si>
  <si>
    <t>SO0002621</t>
  </si>
  <si>
    <t>SO0002622</t>
  </si>
  <si>
    <t>SO0002623</t>
  </si>
  <si>
    <t>SO0002625</t>
  </si>
  <si>
    <t>SO0002626</t>
  </si>
  <si>
    <t>SO0002627</t>
  </si>
  <si>
    <t>SO0002629</t>
  </si>
  <si>
    <t>GLG0195200GV40</t>
  </si>
  <si>
    <t>S&amp;P Glasphalt GV (120/200kN), afm 40x1.95m breed, 40 mtr</t>
  </si>
  <si>
    <t>SO0002631</t>
  </si>
  <si>
    <t>SO0002632</t>
  </si>
  <si>
    <t>SO0002633</t>
  </si>
  <si>
    <t>SO0002635</t>
  </si>
  <si>
    <t>SO0002636</t>
  </si>
  <si>
    <t>SO0002639</t>
  </si>
  <si>
    <t>SO0002644</t>
  </si>
  <si>
    <t>SO0002645</t>
  </si>
  <si>
    <t>SO0002648</t>
  </si>
  <si>
    <t>SO0002650</t>
  </si>
  <si>
    <t>SO0002651</t>
  </si>
  <si>
    <t>SO0002654</t>
  </si>
  <si>
    <t>SO0002655</t>
  </si>
  <si>
    <t>SO0002657</t>
  </si>
  <si>
    <t>CAG0150200GV</t>
  </si>
  <si>
    <t>SO0002666</t>
  </si>
  <si>
    <t>SO0002668</t>
  </si>
  <si>
    <t>SO0002669</t>
  </si>
  <si>
    <t>SO0002671</t>
  </si>
  <si>
    <t>SO0002672</t>
  </si>
  <si>
    <t>SO0002673</t>
  </si>
  <si>
    <t>SO0002682</t>
  </si>
  <si>
    <t>SO0002684</t>
  </si>
  <si>
    <t>SO0002685</t>
  </si>
  <si>
    <t>SO0002686</t>
  </si>
  <si>
    <t>SO0002687</t>
  </si>
  <si>
    <t>SO0002688</t>
  </si>
  <si>
    <t>SO0002690</t>
  </si>
  <si>
    <t>SO0002691</t>
  </si>
  <si>
    <t>SO0002705</t>
  </si>
  <si>
    <t>SO0002710</t>
  </si>
  <si>
    <t>SO0002713</t>
  </si>
  <si>
    <t>SO0002714</t>
  </si>
  <si>
    <t>SO0002715</t>
  </si>
  <si>
    <t>SO0002716</t>
  </si>
  <si>
    <t>SO0002720</t>
  </si>
  <si>
    <t>SO0002721</t>
  </si>
  <si>
    <t>SO0002722</t>
  </si>
  <si>
    <t>SO0002724</t>
  </si>
  <si>
    <t>SO0002725</t>
  </si>
  <si>
    <t>SO0002739</t>
  </si>
  <si>
    <t>SO0002740</t>
  </si>
  <si>
    <t>SO0002741</t>
  </si>
  <si>
    <t>SO0002745</t>
  </si>
  <si>
    <t>SO0002746</t>
  </si>
  <si>
    <t>SO0002747</t>
  </si>
  <si>
    <t>SO0002748</t>
  </si>
  <si>
    <t>SO0002749</t>
  </si>
  <si>
    <t>SO0002751</t>
  </si>
  <si>
    <t>SO0002752</t>
  </si>
  <si>
    <t>SO0002753</t>
  </si>
  <si>
    <t>SO0002756</t>
  </si>
  <si>
    <t>SO0002759</t>
  </si>
  <si>
    <t>SO0002760</t>
  </si>
  <si>
    <t>SO0002762</t>
  </si>
  <si>
    <t>SO0002763</t>
  </si>
  <si>
    <t>SO0002764</t>
  </si>
  <si>
    <t>SO0002765</t>
  </si>
  <si>
    <t>SO0002766</t>
  </si>
  <si>
    <t>SO0002767</t>
  </si>
  <si>
    <t>SO0002768</t>
  </si>
  <si>
    <t>SO0002769</t>
  </si>
  <si>
    <t>SO0002772</t>
  </si>
  <si>
    <t>SO0002773</t>
  </si>
  <si>
    <t>SO0002774</t>
  </si>
  <si>
    <t>SO0002775</t>
  </si>
  <si>
    <t>SO0002776</t>
  </si>
  <si>
    <t>SO0002777</t>
  </si>
  <si>
    <t>SO0002778</t>
  </si>
  <si>
    <t>SO0002779</t>
  </si>
  <si>
    <t>SO0002780</t>
  </si>
  <si>
    <t>SO0002781</t>
  </si>
  <si>
    <t>SO0002783</t>
  </si>
  <si>
    <t>SO0002784</t>
  </si>
  <si>
    <t>SO0002787</t>
  </si>
  <si>
    <t>SO0002788</t>
  </si>
  <si>
    <t>SO0002798</t>
  </si>
  <si>
    <t>SO0002799</t>
  </si>
  <si>
    <t>SO0002801</t>
  </si>
  <si>
    <t>SO0002802</t>
  </si>
  <si>
    <t>SO0002804</t>
  </si>
  <si>
    <t>SO0002807</t>
  </si>
  <si>
    <t>SO0002808</t>
  </si>
  <si>
    <t>SO0002809</t>
  </si>
  <si>
    <t>SO0002810</t>
  </si>
  <si>
    <t>SO0002812</t>
  </si>
  <si>
    <t>SO0002813</t>
  </si>
  <si>
    <t>SO0002814</t>
  </si>
  <si>
    <t>SO0002815</t>
  </si>
  <si>
    <t>SO0002817</t>
  </si>
  <si>
    <t>SO0002818</t>
  </si>
  <si>
    <t>SO0002819</t>
  </si>
  <si>
    <t>SO0002820</t>
  </si>
  <si>
    <t>SO0002821</t>
  </si>
  <si>
    <t>SO0002822</t>
  </si>
  <si>
    <t>SO0002823</t>
  </si>
  <si>
    <t>SO0002828</t>
  </si>
  <si>
    <t>SO0002830</t>
  </si>
  <si>
    <t>SO0002832</t>
  </si>
  <si>
    <t>SO0002833</t>
  </si>
  <si>
    <t>SO0002835</t>
  </si>
  <si>
    <t>SO0002836</t>
  </si>
  <si>
    <t>SO0002837</t>
  </si>
  <si>
    <t>SO0002838</t>
  </si>
  <si>
    <t>SO0002839</t>
  </si>
  <si>
    <t>SO0002840</t>
  </si>
  <si>
    <t>SO0002842</t>
  </si>
  <si>
    <t>SO0002843</t>
  </si>
  <si>
    <t>SO0002844</t>
  </si>
  <si>
    <t>SO0002846</t>
  </si>
  <si>
    <t>SO0002847</t>
  </si>
  <si>
    <t>SO0002851</t>
  </si>
  <si>
    <t>1.1.2019 .. 12.31.2019</t>
  </si>
  <si>
    <t>SO0002170</t>
  </si>
  <si>
    <t>Lot 135811</t>
  </si>
  <si>
    <t>SO0002173</t>
  </si>
  <si>
    <t>Lot 136058</t>
  </si>
  <si>
    <t>SO0002176</t>
  </si>
  <si>
    <t>Lot 136514</t>
  </si>
  <si>
    <t>Lot 136515</t>
  </si>
  <si>
    <t>SO0002178</t>
  </si>
  <si>
    <t>Lot 137304</t>
  </si>
  <si>
    <t>Lot 137305</t>
  </si>
  <si>
    <t>SO0002179</t>
  </si>
  <si>
    <t>Lot 137306</t>
  </si>
  <si>
    <t>Lot 137307</t>
  </si>
  <si>
    <t>SO0002193</t>
  </si>
  <si>
    <t>Lot 141538</t>
  </si>
  <si>
    <t>SO0002195</t>
  </si>
  <si>
    <t>Lot 141797</t>
  </si>
  <si>
    <t>SO0002198</t>
  </si>
  <si>
    <t>Lot 142075</t>
  </si>
  <si>
    <t>SO0002199</t>
  </si>
  <si>
    <t>Lot 142076</t>
  </si>
  <si>
    <t>SO0002203</t>
  </si>
  <si>
    <t>Lot 143363</t>
  </si>
  <si>
    <t>Lot 143364</t>
  </si>
  <si>
    <t>Lot 143365</t>
  </si>
  <si>
    <t>SO0002204</t>
  </si>
  <si>
    <t>Lot 143859</t>
  </si>
  <si>
    <t>SO0002205</t>
  </si>
  <si>
    <t>Lot 143860</t>
  </si>
  <si>
    <t>SO0002206</t>
  </si>
  <si>
    <t>Lot 144331</t>
  </si>
  <si>
    <t>Lot 144332</t>
  </si>
  <si>
    <t>SO0002208</t>
  </si>
  <si>
    <t>Lot 144619</t>
  </si>
  <si>
    <t>SO0002209</t>
  </si>
  <si>
    <t>Lot 144620</t>
  </si>
  <si>
    <t>Lot 144621</t>
  </si>
  <si>
    <t>SO0002210</t>
  </si>
  <si>
    <t>Lot 144852</t>
  </si>
  <si>
    <t>SO0002213</t>
  </si>
  <si>
    <t>Lot 145474</t>
  </si>
  <si>
    <t>SO0002214</t>
  </si>
  <si>
    <t>Lot 145475</t>
  </si>
  <si>
    <t>SO0002215</t>
  </si>
  <si>
    <t>Lot 145609</t>
  </si>
  <si>
    <t>SO0002216</t>
  </si>
  <si>
    <t>Lot 145963</t>
  </si>
  <si>
    <t>SO0002217</t>
  </si>
  <si>
    <t>Lot 146082</t>
  </si>
  <si>
    <t>SO0002218</t>
  </si>
  <si>
    <t>Lot 146083</t>
  </si>
  <si>
    <t>SO0002219</t>
  </si>
  <si>
    <t>Lot 146091</t>
  </si>
  <si>
    <t>Lot 146092</t>
  </si>
  <si>
    <t>SO0002220</t>
  </si>
  <si>
    <t>Lot 146395</t>
  </si>
  <si>
    <t>SO0002224</t>
  </si>
  <si>
    <t>Lot 147312</t>
  </si>
  <si>
    <t>SO0002226</t>
  </si>
  <si>
    <t>Lot 147571</t>
  </si>
  <si>
    <t>SO0002227</t>
  </si>
  <si>
    <t>Lot 148362</t>
  </si>
  <si>
    <t>SO0002228</t>
  </si>
  <si>
    <t>Lot 148363</t>
  </si>
  <si>
    <t>SO0002229</t>
  </si>
  <si>
    <t>Lot 148364</t>
  </si>
  <si>
    <t>SO0002230</t>
  </si>
  <si>
    <t>Lot 148366</t>
  </si>
  <si>
    <t>SO0002231</t>
  </si>
  <si>
    <t>Lot 148374</t>
  </si>
  <si>
    <t>SO0002232</t>
  </si>
  <si>
    <t>Lot 148528</t>
  </si>
  <si>
    <t>SO0002235</t>
  </si>
  <si>
    <t>Lot 149555</t>
  </si>
  <si>
    <t>Lot 149556</t>
  </si>
  <si>
    <t>SO0002236</t>
  </si>
  <si>
    <t>Lot 149557</t>
  </si>
  <si>
    <t>Lot 149558</t>
  </si>
  <si>
    <t>SO0002237</t>
  </si>
  <si>
    <t>Lot 149577</t>
  </si>
  <si>
    <t>SO0002241</t>
  </si>
  <si>
    <t>Lot 150207</t>
  </si>
  <si>
    <t>SO0002243</t>
  </si>
  <si>
    <t>Lot 150409</t>
  </si>
  <si>
    <t>SO0002244</t>
  </si>
  <si>
    <t>Lot 150410</t>
  </si>
  <si>
    <t>SO0002245</t>
  </si>
  <si>
    <t>Lot 150414</t>
  </si>
  <si>
    <t>SO0002246</t>
  </si>
  <si>
    <t>Lot 150602</t>
  </si>
  <si>
    <t>Lot 150603</t>
  </si>
  <si>
    <t>SO0002247</t>
  </si>
  <si>
    <t>Lot 150615</t>
  </si>
  <si>
    <t>Lot 150616</t>
  </si>
  <si>
    <t>SO0002248</t>
  </si>
  <si>
    <t>Lot 150617</t>
  </si>
  <si>
    <t>Lot 150618</t>
  </si>
  <si>
    <t>Lot 150619</t>
  </si>
  <si>
    <t>SO0002249</t>
  </si>
  <si>
    <t>Lot 150803</t>
  </si>
  <si>
    <t>SO0002250</t>
  </si>
  <si>
    <t>Lot 150804</t>
  </si>
  <si>
    <t>SO0002251</t>
  </si>
  <si>
    <t>Lot 150805</t>
  </si>
  <si>
    <t>Lot 150806</t>
  </si>
  <si>
    <t>SO0002252</t>
  </si>
  <si>
    <t>Lot 150807</t>
  </si>
  <si>
    <t>Lot 150808</t>
  </si>
  <si>
    <t>SO0002253</t>
  </si>
  <si>
    <t>Lot 150809</t>
  </si>
  <si>
    <t>SO0002254</t>
  </si>
  <si>
    <t>Lot 150990</t>
  </si>
  <si>
    <t>Lot 150991</t>
  </si>
  <si>
    <t>SO0002257</t>
  </si>
  <si>
    <t>Lot 151512</t>
  </si>
  <si>
    <t>Lot 151513</t>
  </si>
  <si>
    <t>SO0002258</t>
  </si>
  <si>
    <t>Lot 151514</t>
  </si>
  <si>
    <t>SO0002260</t>
  </si>
  <si>
    <t>Lot 151522</t>
  </si>
  <si>
    <t>Lot 151523</t>
  </si>
  <si>
    <t>SO0002262</t>
  </si>
  <si>
    <t>Lot 151755</t>
  </si>
  <si>
    <t>Lot 151756</t>
  </si>
  <si>
    <t>SO0002263</t>
  </si>
  <si>
    <t>Lot 151757</t>
  </si>
  <si>
    <t>SO0002265</t>
  </si>
  <si>
    <t>Lot 151801</t>
  </si>
  <si>
    <t>Lot 151802</t>
  </si>
  <si>
    <t>SO0002266</t>
  </si>
  <si>
    <t>Lot 151803</t>
  </si>
  <si>
    <t>Lot 151804</t>
  </si>
  <si>
    <t>SO0002268</t>
  </si>
  <si>
    <t>Lot 151947</t>
  </si>
  <si>
    <t>SO0002269</t>
  </si>
  <si>
    <t>Lot 151948</t>
  </si>
  <si>
    <t>SO0002270</t>
  </si>
  <si>
    <t>Lot 151949</t>
  </si>
  <si>
    <t>SO0002271</t>
  </si>
  <si>
    <t>Lot 151950</t>
  </si>
  <si>
    <t>SO0002272</t>
  </si>
  <si>
    <t>Lot 151951</t>
  </si>
  <si>
    <t>SO0002273</t>
  </si>
  <si>
    <t>Lot 151952</t>
  </si>
  <si>
    <t>SO0002274</t>
  </si>
  <si>
    <t>Lot 152075</t>
  </si>
  <si>
    <t>SO0002276</t>
  </si>
  <si>
    <t>Lot 152150</t>
  </si>
  <si>
    <t>Lot 152151</t>
  </si>
  <si>
    <t>SO0002278</t>
  </si>
  <si>
    <t>Lot 152340</t>
  </si>
  <si>
    <t>SO0002279</t>
  </si>
  <si>
    <t>Lot 152341</t>
  </si>
  <si>
    <t>SO0002281</t>
  </si>
  <si>
    <t>Lot 152348</t>
  </si>
  <si>
    <t>SO0002282</t>
  </si>
  <si>
    <t>Lot 152550</t>
  </si>
  <si>
    <t>Lot 152551</t>
  </si>
  <si>
    <t>SO0002283</t>
  </si>
  <si>
    <t>Lot 152553</t>
  </si>
  <si>
    <t>Lot 152734</t>
  </si>
  <si>
    <t>SO0002284</t>
  </si>
  <si>
    <t>SO0002288</t>
  </si>
  <si>
    <t>Lot 152907</t>
  </si>
  <si>
    <t>SO0002294</t>
  </si>
  <si>
    <t>Lot 153294</t>
  </si>
  <si>
    <t>Lot 153295</t>
  </si>
  <si>
    <t>SO0002296</t>
  </si>
  <si>
    <t>Lot 153446</t>
  </si>
  <si>
    <t>SO0002297</t>
  </si>
  <si>
    <t>Lot 153472</t>
  </si>
  <si>
    <t>SO0002298</t>
  </si>
  <si>
    <t>Lot 154196</t>
  </si>
  <si>
    <t>SO0002299</t>
  </si>
  <si>
    <t>Lot 154197</t>
  </si>
  <si>
    <t>SO0002300</t>
  </si>
  <si>
    <t>Lot 154198</t>
  </si>
  <si>
    <t>SO0002304</t>
  </si>
  <si>
    <t>Lot 154846</t>
  </si>
  <si>
    <t>SO0002305</t>
  </si>
  <si>
    <t>Lot 154847</t>
  </si>
  <si>
    <t>SO0002306</t>
  </si>
  <si>
    <t>Lot 155032</t>
  </si>
  <si>
    <t>SO0002307</t>
  </si>
  <si>
    <t>Lot 155033</t>
  </si>
  <si>
    <t>SO0002308</t>
  </si>
  <si>
    <t>Lot 155034</t>
  </si>
  <si>
    <t>Lot 155035</t>
  </si>
  <si>
    <t>Lot 155036</t>
  </si>
  <si>
    <t>SO0002310</t>
  </si>
  <si>
    <t>Lot 155037</t>
  </si>
  <si>
    <t>SO0002315</t>
  </si>
  <si>
    <t>Lot 155638</t>
  </si>
  <si>
    <t>Lot 155639</t>
  </si>
  <si>
    <t>SO0002316</t>
  </si>
  <si>
    <t>Lot 155676</t>
  </si>
  <si>
    <t>SO0002317</t>
  </si>
  <si>
    <t>Lot 155695</t>
  </si>
  <si>
    <t>SO0002318</t>
  </si>
  <si>
    <t>Lot 156096</t>
  </si>
  <si>
    <t>SO0002320</t>
  </si>
  <si>
    <t>Lot 156335</t>
  </si>
  <si>
    <t>SO0002321</t>
  </si>
  <si>
    <t>Lot 156361</t>
  </si>
  <si>
    <t>SO0002323</t>
  </si>
  <si>
    <t>Lot 156539</t>
  </si>
  <si>
    <t>Lot 156540</t>
  </si>
  <si>
    <t>SO0002324</t>
  </si>
  <si>
    <t>Lot 156542</t>
  </si>
  <si>
    <t>Lot 156543</t>
  </si>
  <si>
    <t>SO0002326</t>
  </si>
  <si>
    <t>Lot 156906</t>
  </si>
  <si>
    <t>Lot 157117</t>
  </si>
  <si>
    <t>SO0002328</t>
  </si>
  <si>
    <t>Lot 157118</t>
  </si>
  <si>
    <t>SO0002329</t>
  </si>
  <si>
    <t>Lot 157119</t>
  </si>
  <si>
    <t>Lot 157120</t>
  </si>
  <si>
    <t>SO0002330</t>
  </si>
  <si>
    <t>Lot 157121</t>
  </si>
  <si>
    <t>SO0002332</t>
  </si>
  <si>
    <t>Lot 157341</t>
  </si>
  <si>
    <t>Lot 157342</t>
  </si>
  <si>
    <t>SO0002333</t>
  </si>
  <si>
    <t>Lot 157495</t>
  </si>
  <si>
    <t>SO0002335</t>
  </si>
  <si>
    <t>Lot 157536</t>
  </si>
  <si>
    <t>SO0002338</t>
  </si>
  <si>
    <t>Lot 157738</t>
  </si>
  <si>
    <t>SO0002339</t>
  </si>
  <si>
    <t>Lot 157758</t>
  </si>
  <si>
    <t>Lot 157889</t>
  </si>
  <si>
    <t>Lot 157890</t>
  </si>
  <si>
    <t>SO0002342</t>
  </si>
  <si>
    <t>Lot 158663</t>
  </si>
  <si>
    <t>SO0002343</t>
  </si>
  <si>
    <t>Lot 158664</t>
  </si>
  <si>
    <t>Lot 158665</t>
  </si>
  <si>
    <t>SO0002344</t>
  </si>
  <si>
    <t>Lot 158667</t>
  </si>
  <si>
    <t>Lot 158668</t>
  </si>
  <si>
    <t>SO0002345</t>
  </si>
  <si>
    <t>Lot 159168</t>
  </si>
  <si>
    <t>SO0002346</t>
  </si>
  <si>
    <t>Lot 159422</t>
  </si>
  <si>
    <t>SO0002349</t>
  </si>
  <si>
    <t>Lot 159757</t>
  </si>
  <si>
    <t>Lot 159758</t>
  </si>
  <si>
    <t>Lot 159759</t>
  </si>
  <si>
    <t>SO0002351</t>
  </si>
  <si>
    <t>Lot 159760</t>
  </si>
  <si>
    <t>SO0002352</t>
  </si>
  <si>
    <t>SO0002353</t>
  </si>
  <si>
    <t>Lot 159854</t>
  </si>
  <si>
    <t>SO0002354</t>
  </si>
  <si>
    <t>Lot 159855</t>
  </si>
  <si>
    <t>SO0002355</t>
  </si>
  <si>
    <t>Lot 159856</t>
  </si>
  <si>
    <t>SO0002356</t>
  </si>
  <si>
    <t>Lot 160436</t>
  </si>
  <si>
    <t>Lot 160437</t>
  </si>
  <si>
    <t>Lot 160438</t>
  </si>
  <si>
    <t>SO0002359</t>
  </si>
  <si>
    <t>Lot 161768</t>
  </si>
  <si>
    <t>SO0002360</t>
  </si>
  <si>
    <t>Lot 161769</t>
  </si>
  <si>
    <t>Lot 161770</t>
  </si>
  <si>
    <t>Lot 161771</t>
  </si>
  <si>
    <t>SO0002362</t>
  </si>
  <si>
    <t>Lot 162259</t>
  </si>
  <si>
    <t>Lot 162261</t>
  </si>
  <si>
    <t>SO0002364</t>
  </si>
  <si>
    <t>Lot 162462</t>
  </si>
  <si>
    <t>Lot 162463</t>
  </si>
  <si>
    <t>Lot 162464</t>
  </si>
  <si>
    <t>Lot 162466</t>
  </si>
  <si>
    <t>SO0002366</t>
  </si>
  <si>
    <t>Lot 162465</t>
  </si>
  <si>
    <t>SO0002367</t>
  </si>
  <si>
    <t>Lot 162467</t>
  </si>
  <si>
    <t>SO0002368</t>
  </si>
  <si>
    <t>Lot 162760</t>
  </si>
  <si>
    <t>SO0002369</t>
  </si>
  <si>
    <t>Lot 162860</t>
  </si>
  <si>
    <t>SO0002371</t>
  </si>
  <si>
    <t>Lot 163082</t>
  </si>
  <si>
    <t>SO0002373</t>
  </si>
  <si>
    <t>Lot 163084</t>
  </si>
  <si>
    <t>SO0002374</t>
  </si>
  <si>
    <t>Lot 163085</t>
  </si>
  <si>
    <t>SO0002375</t>
  </si>
  <si>
    <t>Lot 163086</t>
  </si>
  <si>
    <t>Lot 163087</t>
  </si>
  <si>
    <t>Lot 163104</t>
  </si>
  <si>
    <t>Lot 163105</t>
  </si>
  <si>
    <t>Lot 163106</t>
  </si>
  <si>
    <t>SO0002379</t>
  </si>
  <si>
    <t>Lot 163130</t>
  </si>
  <si>
    <t>Lot 163131</t>
  </si>
  <si>
    <t>Lot 163862</t>
  </si>
  <si>
    <t>SO0002383</t>
  </si>
  <si>
    <t>Lot 163863</t>
  </si>
  <si>
    <t>Lot 163936</t>
  </si>
  <si>
    <t>Lot 163983</t>
  </si>
  <si>
    <t>SO0002385</t>
  </si>
  <si>
    <t>Lot 164121</t>
  </si>
  <si>
    <t>SO0002387</t>
  </si>
  <si>
    <t>Lot 164265</t>
  </si>
  <si>
    <t>SO0002389</t>
  </si>
  <si>
    <t>Lot 164271</t>
  </si>
  <si>
    <t>Lot 164272</t>
  </si>
  <si>
    <t>Lot 164273</t>
  </si>
  <si>
    <t>Lot 164274</t>
  </si>
  <si>
    <t>SO0002390</t>
  </si>
  <si>
    <t>Lot 164275</t>
  </si>
  <si>
    <t>SO0002392</t>
  </si>
  <si>
    <t>Lot 164315</t>
  </si>
  <si>
    <t>Lot 164352</t>
  </si>
  <si>
    <t>SO0002394</t>
  </si>
  <si>
    <t>Lot 164353</t>
  </si>
  <si>
    <t>Lot 164684</t>
  </si>
  <si>
    <t>Lot 164723</t>
  </si>
  <si>
    <t>SO0002398</t>
  </si>
  <si>
    <t>Lot 164895</t>
  </si>
  <si>
    <t>Lot 164896</t>
  </si>
  <si>
    <t>Lot 164897</t>
  </si>
  <si>
    <t>Lot 164898</t>
  </si>
  <si>
    <t>SO0002400</t>
  </si>
  <si>
    <t>Lot 164899</t>
  </si>
  <si>
    <t>Lot 164900</t>
  </si>
  <si>
    <t>SO0002401</t>
  </si>
  <si>
    <t>Lot 165324</t>
  </si>
  <si>
    <t>Lot 165348</t>
  </si>
  <si>
    <t>SO0002407</t>
  </si>
  <si>
    <t>Lot 165393</t>
  </si>
  <si>
    <t>SO0002408</t>
  </si>
  <si>
    <t>Lot 165503</t>
  </si>
  <si>
    <t>SO0002409</t>
  </si>
  <si>
    <t>Lot 165516</t>
  </si>
  <si>
    <t>Lot 165521</t>
  </si>
  <si>
    <t>Lot 165530</t>
  </si>
  <si>
    <t>SO0002410</t>
  </si>
  <si>
    <t>Lot 165559</t>
  </si>
  <si>
    <t>Lot 165580</t>
  </si>
  <si>
    <t>SO0002412</t>
  </si>
  <si>
    <t>Lot 165581</t>
  </si>
  <si>
    <t>Lot 165582</t>
  </si>
  <si>
    <t>Lot 165583</t>
  </si>
  <si>
    <t>Lot 165585</t>
  </si>
  <si>
    <t>Lot 165587</t>
  </si>
  <si>
    <t>SO0002416</t>
  </si>
  <si>
    <t>Lot 165588</t>
  </si>
  <si>
    <t>Lot 165589</t>
  </si>
  <si>
    <t>Lot 165590</t>
  </si>
  <si>
    <t>Lot 165591</t>
  </si>
  <si>
    <t>Lot 165592</t>
  </si>
  <si>
    <t>Lot 165593</t>
  </si>
  <si>
    <t>Lot 166286</t>
  </si>
  <si>
    <t>Lot 166287</t>
  </si>
  <si>
    <t>SO0002421</t>
  </si>
  <si>
    <t>Lot 166300</t>
  </si>
  <si>
    <t>Lot 166338</t>
  </si>
  <si>
    <t>SO0002424</t>
  </si>
  <si>
    <t>Lot 166343</t>
  </si>
  <si>
    <t>Lot 166344</t>
  </si>
  <si>
    <t>SO0002425</t>
  </si>
  <si>
    <t>Lot 166346</t>
  </si>
  <si>
    <t>Lot 166347</t>
  </si>
  <si>
    <t>Lot 166499</t>
  </si>
  <si>
    <t>Lot 166500</t>
  </si>
  <si>
    <t>Lot 166505</t>
  </si>
  <si>
    <t>SO0002429</t>
  </si>
  <si>
    <t>Lot 166506</t>
  </si>
  <si>
    <t>SO0002430</t>
  </si>
  <si>
    <t>Lot 166507</t>
  </si>
  <si>
    <t>Lot 166699</t>
  </si>
  <si>
    <t>Lot 167177</t>
  </si>
  <si>
    <t>Lot 167178</t>
  </si>
  <si>
    <t>SO0002435</t>
  </si>
  <si>
    <t>Lot 167179</t>
  </si>
  <si>
    <t>Lot 167181</t>
  </si>
  <si>
    <t>SO0002437</t>
  </si>
  <si>
    <t>Lot 167265</t>
  </si>
  <si>
    <t>SO0002438</t>
  </si>
  <si>
    <t>Lot 167286</t>
  </si>
  <si>
    <t>SO0002439</t>
  </si>
  <si>
    <t>Lot 167301</t>
  </si>
  <si>
    <t>Lot 167309</t>
  </si>
  <si>
    <t>SO0002440</t>
  </si>
  <si>
    <t>Lot 167335</t>
  </si>
  <si>
    <t>Lot 167336</t>
  </si>
  <si>
    <t>SO0002441</t>
  </si>
  <si>
    <t>Lot 167337</t>
  </si>
  <si>
    <t>Lot 167338</t>
  </si>
  <si>
    <t>SO0002442</t>
  </si>
  <si>
    <t>Lot 167339</t>
  </si>
  <si>
    <t>Lot 167340</t>
  </si>
  <si>
    <t>SO0002444</t>
  </si>
  <si>
    <t>Lot 167356</t>
  </si>
  <si>
    <t>SO0002445</t>
  </si>
  <si>
    <t>Lot 167357</t>
  </si>
  <si>
    <t>SO0002447</t>
  </si>
  <si>
    <t>Lot 167481</t>
  </si>
  <si>
    <t>Lot 167482</t>
  </si>
  <si>
    <t>SO0002448</t>
  </si>
  <si>
    <t>Lot 167493</t>
  </si>
  <si>
    <t>SO0002451</t>
  </si>
  <si>
    <t>Lot 167918</t>
  </si>
  <si>
    <t>Lot 167919</t>
  </si>
  <si>
    <t>SO0002452</t>
  </si>
  <si>
    <t>Lot 167940</t>
  </si>
  <si>
    <t>Lot 167941</t>
  </si>
  <si>
    <t>Lot 168064</t>
  </si>
  <si>
    <t>SO0002454</t>
  </si>
  <si>
    <t>Lot 168133</t>
  </si>
  <si>
    <t>Lot 168158</t>
  </si>
  <si>
    <t>Lot 168161</t>
  </si>
  <si>
    <t>Lot 168162</t>
  </si>
  <si>
    <t>SO0002460</t>
  </si>
  <si>
    <t>Lot 168163</t>
  </si>
  <si>
    <t>SO0002461</t>
  </si>
  <si>
    <t>Lot 168246</t>
  </si>
  <si>
    <t>Lot 168337</t>
  </si>
  <si>
    <t>Lot 168338</t>
  </si>
  <si>
    <t>Lot 168339</t>
  </si>
  <si>
    <t>Lot 168341</t>
  </si>
  <si>
    <t>Lot 168347</t>
  </si>
  <si>
    <t>SO0002465</t>
  </si>
  <si>
    <t>Lot 168496</t>
  </si>
  <si>
    <t>Lot 168497</t>
  </si>
  <si>
    <t>Lot 168567</t>
  </si>
  <si>
    <t>Lot 168568</t>
  </si>
  <si>
    <t>Lot 168569</t>
  </si>
  <si>
    <t>Lot 168781</t>
  </si>
  <si>
    <t>SO0002470</t>
  </si>
  <si>
    <t>Lot 168782</t>
  </si>
  <si>
    <t>Lot 168783</t>
  </si>
  <si>
    <t>SO0002473</t>
  </si>
  <si>
    <t>Lot 169003</t>
  </si>
  <si>
    <t>Lot 169004</t>
  </si>
  <si>
    <t>Lot 169034</t>
  </si>
  <si>
    <t>Lot 169035</t>
  </si>
  <si>
    <t>Lot 169766</t>
  </si>
  <si>
    <t>SO0002482</t>
  </si>
  <si>
    <t>Lot 169769</t>
  </si>
  <si>
    <t>Lot 169770</t>
  </si>
  <si>
    <t>Lot 169771</t>
  </si>
  <si>
    <t>Lot 169772</t>
  </si>
  <si>
    <t>SO0002483</t>
  </si>
  <si>
    <t>Lot 169773</t>
  </si>
  <si>
    <t>SO0002484</t>
  </si>
  <si>
    <t>Lot 169774</t>
  </si>
  <si>
    <t>SO0002485</t>
  </si>
  <si>
    <t>Lot 169800</t>
  </si>
  <si>
    <t>Lot 169802</t>
  </si>
  <si>
    <t>SO0002486</t>
  </si>
  <si>
    <t>Lot 169831</t>
  </si>
  <si>
    <t>SO0002488</t>
  </si>
  <si>
    <t>Lot 169836</t>
  </si>
  <si>
    <t>Lot 169837</t>
  </si>
  <si>
    <t>Lot 169838</t>
  </si>
  <si>
    <t>SO0002491</t>
  </si>
  <si>
    <t>Lot 169839</t>
  </si>
  <si>
    <t>Lot 169840</t>
  </si>
  <si>
    <t>Lot 169841</t>
  </si>
  <si>
    <t>Lot 169842</t>
  </si>
  <si>
    <t>SO0002494</t>
  </si>
  <si>
    <t>Lot 169844</t>
  </si>
  <si>
    <t>Lot 170807</t>
  </si>
  <si>
    <t>SO0002497</t>
  </si>
  <si>
    <t>Lot 170070</t>
  </si>
  <si>
    <t>Lot 170197</t>
  </si>
  <si>
    <t>SO0002499</t>
  </si>
  <si>
    <t>Lot 170200</t>
  </si>
  <si>
    <t>Lot 170424</t>
  </si>
  <si>
    <t>SO0002501</t>
  </si>
  <si>
    <t>Lot 170425</t>
  </si>
  <si>
    <t>Lot 170426</t>
  </si>
  <si>
    <t>Lot 170427</t>
  </si>
  <si>
    <t>SO0002502</t>
  </si>
  <si>
    <t>Lot 170428</t>
  </si>
  <si>
    <t>Lot 170429</t>
  </si>
  <si>
    <t>SO0002503</t>
  </si>
  <si>
    <t>Lot 170430</t>
  </si>
  <si>
    <t>SO0002504</t>
  </si>
  <si>
    <t>Lot 170431</t>
  </si>
  <si>
    <t>SO0002505</t>
  </si>
  <si>
    <t>Lot 170444</t>
  </si>
  <si>
    <t>Lot 170632</t>
  </si>
  <si>
    <t>SO0002507</t>
  </si>
  <si>
    <t>Lot 170633</t>
  </si>
  <si>
    <t>Lot 170636</t>
  </si>
  <si>
    <t>Lot 170703</t>
  </si>
  <si>
    <t>Lot 170704</t>
  </si>
  <si>
    <t>Lot 170705</t>
  </si>
  <si>
    <t>SO0002512</t>
  </si>
  <si>
    <t>Lot 170805</t>
  </si>
  <si>
    <t>SO0002514</t>
  </si>
  <si>
    <t>Lot 170905</t>
  </si>
  <si>
    <t>Lot 170906</t>
  </si>
  <si>
    <t>SO0002515</t>
  </si>
  <si>
    <t>Lot 170907</t>
  </si>
  <si>
    <t>Lot 170908</t>
  </si>
  <si>
    <t>Lot 170909</t>
  </si>
  <si>
    <t>Lot 170910</t>
  </si>
  <si>
    <t>Lot 170911</t>
  </si>
  <si>
    <t>Lot 170912</t>
  </si>
  <si>
    <t>Lot 170913</t>
  </si>
  <si>
    <t>SO0002519</t>
  </si>
  <si>
    <t>Lot 170914</t>
  </si>
  <si>
    <t>Lot 170915</t>
  </si>
  <si>
    <t>Lot 170925</t>
  </si>
  <si>
    <t>Lot 170926</t>
  </si>
  <si>
    <t>SO0002526</t>
  </si>
  <si>
    <t>Lot 170927</t>
  </si>
  <si>
    <t>SO0002527</t>
  </si>
  <si>
    <t>Lot 171220</t>
  </si>
  <si>
    <t>SO0002528</t>
  </si>
  <si>
    <t>Lot 171221</t>
  </si>
  <si>
    <t>Lot 171753</t>
  </si>
  <si>
    <t>Lot 171754</t>
  </si>
  <si>
    <t>Lot 172076</t>
  </si>
  <si>
    <t>Lot 172080</t>
  </si>
  <si>
    <t>SO0002537</t>
  </si>
  <si>
    <t>Lot 172081</t>
  </si>
  <si>
    <t>Lot 172082</t>
  </si>
  <si>
    <t>Lot 172102</t>
  </si>
  <si>
    <t>Lot 172103</t>
  </si>
  <si>
    <t>SO0002542</t>
  </si>
  <si>
    <t>Lot 172346</t>
  </si>
  <si>
    <t>SO0002543</t>
  </si>
  <si>
    <t>Lot 172347</t>
  </si>
  <si>
    <t>SO0002544</t>
  </si>
  <si>
    <t>Lot 172400</t>
  </si>
  <si>
    <t>SO0002545</t>
  </si>
  <si>
    <t>Lot 172598</t>
  </si>
  <si>
    <t>Lot 172599</t>
  </si>
  <si>
    <t>SO0002546</t>
  </si>
  <si>
    <t>Lot 172702</t>
  </si>
  <si>
    <t>SO0002548</t>
  </si>
  <si>
    <t>Lot 173678</t>
  </si>
  <si>
    <t>SO0002549</t>
  </si>
  <si>
    <t>Lot 173679</t>
  </si>
  <si>
    <t>SO0002550</t>
  </si>
  <si>
    <t>Lot 173680</t>
  </si>
  <si>
    <t>SO0002552</t>
  </si>
  <si>
    <t>Lot 173683</t>
  </si>
  <si>
    <t>SO0002553</t>
  </si>
  <si>
    <t>Lot 173684</t>
  </si>
  <si>
    <t>SO0002554</t>
  </si>
  <si>
    <t>Lot 173685</t>
  </si>
  <si>
    <t>SO0002556</t>
  </si>
  <si>
    <t>Lot 173937</t>
  </si>
  <si>
    <t>SO0002557</t>
  </si>
  <si>
    <t>Lot 173938</t>
  </si>
  <si>
    <t>SO0002558</t>
  </si>
  <si>
    <t>Lot 173939</t>
  </si>
  <si>
    <t>Lot 173940</t>
  </si>
  <si>
    <t>SO0002559</t>
  </si>
  <si>
    <t>Lot 173941</t>
  </si>
  <si>
    <t>Lot 173942</t>
  </si>
  <si>
    <t>SO0002560</t>
  </si>
  <si>
    <t>Lot 173943</t>
  </si>
  <si>
    <t>Lot 173944</t>
  </si>
  <si>
    <t>Lot 173945</t>
  </si>
  <si>
    <t>SO0002562</t>
  </si>
  <si>
    <t>Lot 173946</t>
  </si>
  <si>
    <t>SO0002563</t>
  </si>
  <si>
    <t>Lot 173947</t>
  </si>
  <si>
    <t>Lot 174034</t>
  </si>
  <si>
    <t>Lot 174107</t>
  </si>
  <si>
    <t>Lot 174168</t>
  </si>
  <si>
    <t>Lot 174252</t>
  </si>
  <si>
    <t>Lot 174255</t>
  </si>
  <si>
    <t>Lot 174256</t>
  </si>
  <si>
    <t>Lot 174419</t>
  </si>
  <si>
    <t>Lot 174420</t>
  </si>
  <si>
    <t>Lot 174672</t>
  </si>
  <si>
    <t>Lot 174673</t>
  </si>
  <si>
    <t>Lot 174674</t>
  </si>
  <si>
    <t>SO0002572</t>
  </si>
  <si>
    <t>Lot 174748</t>
  </si>
  <si>
    <t>Lot 174749</t>
  </si>
  <si>
    <t>Lot 174750</t>
  </si>
  <si>
    <t>Lot 174751</t>
  </si>
  <si>
    <t>SO0002575</t>
  </si>
  <si>
    <t>Lot 174770</t>
  </si>
  <si>
    <t>SO0002579</t>
  </si>
  <si>
    <t>Lot 175378</t>
  </si>
  <si>
    <t>SO0002580</t>
  </si>
  <si>
    <t>Lot 175379</t>
  </si>
  <si>
    <t>Lot 175380</t>
  </si>
  <si>
    <t>Lot 175387</t>
  </si>
  <si>
    <t>Lot 175418</t>
  </si>
  <si>
    <t>Lot 175423</t>
  </si>
  <si>
    <t>SO0002583</t>
  </si>
  <si>
    <t>Lot 175442</t>
  </si>
  <si>
    <t>SO0002584</t>
  </si>
  <si>
    <t>Lot 175443</t>
  </si>
  <si>
    <t>SO0002585</t>
  </si>
  <si>
    <t>Lot 175498</t>
  </si>
  <si>
    <t>SO0002587</t>
  </si>
  <si>
    <t>Lot 175639</t>
  </si>
  <si>
    <t>Lot 175641</t>
  </si>
  <si>
    <t>Lot 175642</t>
  </si>
  <si>
    <t>Lot 175741</t>
  </si>
  <si>
    <t>Lot 175753</t>
  </si>
  <si>
    <t>SO0002590</t>
  </si>
  <si>
    <t>Lot 175772</t>
  </si>
  <si>
    <t>SO0002591</t>
  </si>
  <si>
    <t>Lot 175774</t>
  </si>
  <si>
    <t>Lot 175795</t>
  </si>
  <si>
    <t>Lot 176272</t>
  </si>
  <si>
    <t>Lot 176273</t>
  </si>
  <si>
    <t>SO0002596</t>
  </si>
  <si>
    <t>Lot 176796</t>
  </si>
  <si>
    <t>Lot 176797</t>
  </si>
  <si>
    <t>Lot 176798</t>
  </si>
  <si>
    <t>Lot 176799</t>
  </si>
  <si>
    <t>SO0002600</t>
  </si>
  <si>
    <t>Lot 177014</t>
  </si>
  <si>
    <t>Lot 177015</t>
  </si>
  <si>
    <t>Lot 177016</t>
  </si>
  <si>
    <t>SO0002602</t>
  </si>
  <si>
    <t>Lot 177017</t>
  </si>
  <si>
    <t>SO0002603</t>
  </si>
  <si>
    <t>Lot 177018</t>
  </si>
  <si>
    <t>Lot 177019</t>
  </si>
  <si>
    <t>Lot 177020</t>
  </si>
  <si>
    <t>SO0002605</t>
  </si>
  <si>
    <t>Lot 177021</t>
  </si>
  <si>
    <t>Lot 177022</t>
  </si>
  <si>
    <t>Lot 177054</t>
  </si>
  <si>
    <t>SO0002611</t>
  </si>
  <si>
    <t>Lot 177055</t>
  </si>
  <si>
    <t>SO0002612</t>
  </si>
  <si>
    <t>Lot 177278</t>
  </si>
  <si>
    <t>SO0002613</t>
  </si>
  <si>
    <t>Lot 177279</t>
  </si>
  <si>
    <t>SO0002616</t>
  </si>
  <si>
    <t>Lot 177283</t>
  </si>
  <si>
    <t>Lot 177284</t>
  </si>
  <si>
    <t>Lot 177285</t>
  </si>
  <si>
    <t>Lot 177286</t>
  </si>
  <si>
    <t>Lot 179851</t>
  </si>
  <si>
    <t>Lot 179852</t>
  </si>
  <si>
    <t>Lot 179853</t>
  </si>
  <si>
    <t>Lot 179854</t>
  </si>
  <si>
    <t>Lot 179855</t>
  </si>
  <si>
    <t>Lot 179856</t>
  </si>
  <si>
    <t>Lot 179857</t>
  </si>
  <si>
    <t>Lot 179878</t>
  </si>
  <si>
    <t>Lot 179879</t>
  </si>
  <si>
    <t>Lot 179880</t>
  </si>
  <si>
    <t>Lot 179881</t>
  </si>
  <si>
    <t>SO0002628</t>
  </si>
  <si>
    <t>Lot 179882</t>
  </si>
  <si>
    <t>Lot 179883</t>
  </si>
  <si>
    <t>Lot 179885</t>
  </si>
  <si>
    <t>Lot 179886</t>
  </si>
  <si>
    <t>Lot 179889</t>
  </si>
  <si>
    <t>Lot 179890</t>
  </si>
  <si>
    <t>Lot 179893</t>
  </si>
  <si>
    <t>Lot 179894</t>
  </si>
  <si>
    <t>SO0002637</t>
  </si>
  <si>
    <t>Lot 179895</t>
  </si>
  <si>
    <t>Lot 179896</t>
  </si>
  <si>
    <t>Lot 180250</t>
  </si>
  <si>
    <t>SO0002640</t>
  </si>
  <si>
    <t>Lot 180251</t>
  </si>
  <si>
    <t>SO0002641</t>
  </si>
  <si>
    <t>Lot 180252</t>
  </si>
  <si>
    <t>Lot 180525</t>
  </si>
  <si>
    <t>Lot 180526</t>
  </si>
  <si>
    <t>Lot 180528</t>
  </si>
  <si>
    <t>Lot 180695</t>
  </si>
  <si>
    <t>Lot 180733</t>
  </si>
  <si>
    <t>Lot 180794</t>
  </si>
  <si>
    <t>Lot 181002</t>
  </si>
  <si>
    <t>Lot 181003</t>
  </si>
  <si>
    <t>Lot 181004</t>
  </si>
  <si>
    <t>Lot 181005</t>
  </si>
  <si>
    <t>SO0002656</t>
  </si>
  <si>
    <t>Lot 181006</t>
  </si>
  <si>
    <t>Lot 181007</t>
  </si>
  <si>
    <t>Lot 181026</t>
  </si>
  <si>
    <t>SO0002658</t>
  </si>
  <si>
    <t>Lot 181126</t>
  </si>
  <si>
    <t>SO0002659</t>
  </si>
  <si>
    <t>Lot 181369</t>
  </si>
  <si>
    <t>Lot 181370</t>
  </si>
  <si>
    <t>SO0002660</t>
  </si>
  <si>
    <t>Lot 181371</t>
  </si>
  <si>
    <t>SO0002665</t>
  </si>
  <si>
    <t>Lot 182060</t>
  </si>
  <si>
    <t>Lot 182061</t>
  </si>
  <si>
    <t>Lot 182062</t>
  </si>
  <si>
    <t>Lot 182082</t>
  </si>
  <si>
    <t>Lot 182138</t>
  </si>
  <si>
    <t>Lot 182157</t>
  </si>
  <si>
    <t>Lot 182306</t>
  </si>
  <si>
    <t>Lot 182316</t>
  </si>
  <si>
    <t>Lot 182318</t>
  </si>
  <si>
    <t>Lot 182319</t>
  </si>
  <si>
    <t>SO0002670</t>
  </si>
  <si>
    <t>Lot 182320</t>
  </si>
  <si>
    <t>Lot 182430</t>
  </si>
  <si>
    <t>Lot 182432</t>
  </si>
  <si>
    <t>Lot 183326</t>
  </si>
  <si>
    <t>Lot 183327</t>
  </si>
  <si>
    <t>SO0002674</t>
  </si>
  <si>
    <t>Lot 183328</t>
  </si>
  <si>
    <t>Lot 183329</t>
  </si>
  <si>
    <t>SO0002679</t>
  </si>
  <si>
    <t>Lot 183340</t>
  </si>
  <si>
    <t>Lot 183351</t>
  </si>
  <si>
    <t>SO0002683</t>
  </si>
  <si>
    <t>Lot 183352</t>
  </si>
  <si>
    <t>Lot 183353</t>
  </si>
  <si>
    <t>Lot 183354</t>
  </si>
  <si>
    <t>Lot 183355</t>
  </si>
  <si>
    <t>Lot 183356</t>
  </si>
  <si>
    <t>Lot 183357</t>
  </si>
  <si>
    <t>SO0002689</t>
  </si>
  <si>
    <t>Lot 183358</t>
  </si>
  <si>
    <t>Lot 183359</t>
  </si>
  <si>
    <t>Lot 183360</t>
  </si>
  <si>
    <t>Lot 183361</t>
  </si>
  <si>
    <t>SO0002692</t>
  </si>
  <si>
    <t>Lot 183362</t>
  </si>
  <si>
    <t>SO0002700</t>
  </si>
  <si>
    <t>Lot 183616</t>
  </si>
  <si>
    <t>Lot 183617</t>
  </si>
  <si>
    <t>SO0002701</t>
  </si>
  <si>
    <t>Lot 183618</t>
  </si>
  <si>
    <t>Lot 183631</t>
  </si>
  <si>
    <t>Lot 183630</t>
  </si>
  <si>
    <t>Lot 183933</t>
  </si>
  <si>
    <t>Lot 183936</t>
  </si>
  <si>
    <t>Lot 183937</t>
  </si>
  <si>
    <t>Lot 183954</t>
  </si>
  <si>
    <t>Lot 183955</t>
  </si>
  <si>
    <t>SO0002718</t>
  </si>
  <si>
    <t>Lot 184277</t>
  </si>
  <si>
    <t>Lot 184278</t>
  </si>
  <si>
    <t>SO0002719</t>
  </si>
  <si>
    <t>Lot 184609</t>
  </si>
  <si>
    <t>Lot 184610</t>
  </si>
  <si>
    <t>Lot 184611</t>
  </si>
  <si>
    <t>Lot 184612</t>
  </si>
  <si>
    <t>Lot 184613</t>
  </si>
  <si>
    <t>Lot 184632</t>
  </si>
  <si>
    <t>Lot 184633</t>
  </si>
  <si>
    <t>SO0002723</t>
  </si>
  <si>
    <t>Lot 184634</t>
  </si>
  <si>
    <t>Lot 184803</t>
  </si>
  <si>
    <t>Lot 184816</t>
  </si>
  <si>
    <t>SO0002726</t>
  </si>
  <si>
    <t>Lot 184832</t>
  </si>
  <si>
    <t>SO0002737</t>
  </si>
  <si>
    <t>Lot 185484</t>
  </si>
  <si>
    <t>Lot 185485</t>
  </si>
  <si>
    <t>SO0002738</t>
  </si>
  <si>
    <t>Lot 185486</t>
  </si>
  <si>
    <t>Lot 185487</t>
  </si>
  <si>
    <t>Lot 185488</t>
  </si>
  <si>
    <t>Lot 185495</t>
  </si>
  <si>
    <t>Lot 185526</t>
  </si>
  <si>
    <t>Lot 185527</t>
  </si>
  <si>
    <t>SO0002742</t>
  </si>
  <si>
    <t>Lot 185528</t>
  </si>
  <si>
    <t>SO0002743</t>
  </si>
  <si>
    <t>Lot 185547</t>
  </si>
  <si>
    <t>Lot 185548</t>
  </si>
  <si>
    <t>SO0002744</t>
  </si>
  <si>
    <t>Lot 185567</t>
  </si>
  <si>
    <t>Lot 185568</t>
  </si>
  <si>
    <t>Lot 185569</t>
  </si>
  <si>
    <t>Lot 185751</t>
  </si>
  <si>
    <t>Lot 185773</t>
  </si>
  <si>
    <t>Lot 186022</t>
  </si>
  <si>
    <t>Lot 185982</t>
  </si>
  <si>
    <t>Lot 185983</t>
  </si>
  <si>
    <t>Lot 185985</t>
  </si>
  <si>
    <t>Lot 185986</t>
  </si>
  <si>
    <t>Lot 185987</t>
  </si>
  <si>
    <t>SO0002754</t>
  </si>
  <si>
    <t>Lot 185988</t>
  </si>
  <si>
    <t>Lot 185989</t>
  </si>
  <si>
    <t>Lot 185991</t>
  </si>
  <si>
    <t>SO0002757</t>
  </si>
  <si>
    <t>Lot 186063</t>
  </si>
  <si>
    <t>Lot 186064</t>
  </si>
  <si>
    <t>Lot 186196</t>
  </si>
  <si>
    <t>Lot 186320</t>
  </si>
  <si>
    <t>Lot 186321</t>
  </si>
  <si>
    <t>Lot 186203</t>
  </si>
  <si>
    <t>Lot 186204</t>
  </si>
  <si>
    <t>Lot 186393</t>
  </si>
  <si>
    <t>Lot 186432</t>
  </si>
  <si>
    <t>Lot 186433</t>
  </si>
  <si>
    <t>Lot 186489</t>
  </si>
  <si>
    <t>Lot 186490</t>
  </si>
  <si>
    <t>Lot 186653</t>
  </si>
  <si>
    <t>Lot 186865</t>
  </si>
  <si>
    <t>Lot 186866</t>
  </si>
  <si>
    <t>SO0002771</t>
  </si>
  <si>
    <t>Lot 186909</t>
  </si>
  <si>
    <t>Lot 186947</t>
  </si>
  <si>
    <t>Lot 187062</t>
  </si>
  <si>
    <t>Lot 187063</t>
  </si>
  <si>
    <t>Lot 187119</t>
  </si>
  <si>
    <t>Lot 187120</t>
  </si>
  <si>
    <t>Lot 187122</t>
  </si>
  <si>
    <t>Lot 187123</t>
  </si>
  <si>
    <t>Lot 187124</t>
  </si>
  <si>
    <t>Lot 187125</t>
  </si>
  <si>
    <t>Lot 187595</t>
  </si>
  <si>
    <t>Lot 187601</t>
  </si>
  <si>
    <t>Lot 187602</t>
  </si>
  <si>
    <t>Lot 187603</t>
  </si>
  <si>
    <t>Lot 188058</t>
  </si>
  <si>
    <t>SO0002782</t>
  </si>
  <si>
    <t>Lot 188059</t>
  </si>
  <si>
    <t>Lot 188060</t>
  </si>
  <si>
    <t>Lot 188061</t>
  </si>
  <si>
    <t>Lot 188062</t>
  </si>
  <si>
    <t>Lot 188063</t>
  </si>
  <si>
    <t>Lot 188064</t>
  </si>
  <si>
    <t>SO0002785</t>
  </si>
  <si>
    <t>Lot 188065</t>
  </si>
  <si>
    <t>SO0002786</t>
  </si>
  <si>
    <t>Lot 188066</t>
  </si>
  <si>
    <t>Lot 188067</t>
  </si>
  <si>
    <t>Lot 188129</t>
  </si>
  <si>
    <t>Lot 188178</t>
  </si>
  <si>
    <t>SO0002790</t>
  </si>
  <si>
    <t>Lot 188307</t>
  </si>
  <si>
    <t>SO0002792</t>
  </si>
  <si>
    <t>Lot 188556</t>
  </si>
  <si>
    <t>Lot 188557</t>
  </si>
  <si>
    <t>Lot 188914</t>
  </si>
  <si>
    <t>Lot 188915</t>
  </si>
  <si>
    <t>Lot 188916</t>
  </si>
  <si>
    <t>Lot 189116</t>
  </si>
  <si>
    <t>Lot 189129</t>
  </si>
  <si>
    <t>Lot 189168</t>
  </si>
  <si>
    <t>SO0002805</t>
  </si>
  <si>
    <t>Lot 189169</t>
  </si>
  <si>
    <t>SO0002806</t>
  </si>
  <si>
    <t>Lot 189170</t>
  </si>
  <si>
    <t>Lot 189171</t>
  </si>
  <si>
    <t>Lot 189172</t>
  </si>
  <si>
    <t>Lot 189173</t>
  </si>
  <si>
    <t>Lot 189174</t>
  </si>
  <si>
    <t>Lot 189175</t>
  </si>
  <si>
    <t>SO0002811</t>
  </si>
  <si>
    <t>Lot 189218</t>
  </si>
  <si>
    <t>Lot 189376</t>
  </si>
  <si>
    <t>Lot 189377</t>
  </si>
  <si>
    <t>Lot 189455</t>
  </si>
  <si>
    <t>Lot 189572</t>
  </si>
  <si>
    <t>Lot 189573</t>
  </si>
  <si>
    <t>Lot 189574</t>
  </si>
  <si>
    <t>Lot 189575</t>
  </si>
  <si>
    <t>Lot 189576</t>
  </si>
  <si>
    <t>Lot 189577</t>
  </si>
  <si>
    <t>Lot 189578</t>
  </si>
  <si>
    <t>Lot 189755</t>
  </si>
  <si>
    <t>Lot 189756</t>
  </si>
  <si>
    <t>Lot 189757</t>
  </si>
  <si>
    <t>Lot 189758</t>
  </si>
  <si>
    <t>Lot 189765</t>
  </si>
  <si>
    <t>Lot 189766</t>
  </si>
  <si>
    <t>SO0002825</t>
  </si>
  <si>
    <t>Lot 189992</t>
  </si>
  <si>
    <t>Lot 190320</t>
  </si>
  <si>
    <t>Lot 190321</t>
  </si>
  <si>
    <t>Lot 190324</t>
  </si>
  <si>
    <t>Lot 190326</t>
  </si>
  <si>
    <t>Lot 190327</t>
  </si>
  <si>
    <t>Lot 190566</t>
  </si>
  <si>
    <t>SO0002834</t>
  </si>
  <si>
    <t>Lot 190567</t>
  </si>
  <si>
    <t>Lot 191019</t>
  </si>
  <si>
    <t>Lot 191020</t>
  </si>
  <si>
    <t>Lot 191021</t>
  </si>
  <si>
    <t>Lot 191086</t>
  </si>
  <si>
    <t>Lot 191194</t>
  </si>
  <si>
    <t>Lot 191195</t>
  </si>
  <si>
    <t>Lot 191196</t>
  </si>
  <si>
    <t>Lot 191205</t>
  </si>
  <si>
    <t>Lot 191434</t>
  </si>
  <si>
    <t>Lot 191435</t>
  </si>
  <si>
    <t>Lot 191436</t>
  </si>
  <si>
    <t>Lot 191672</t>
  </si>
  <si>
    <t>Lot 191673</t>
  </si>
  <si>
    <t>Lot 191674</t>
  </si>
  <si>
    <t>SO0002848</t>
  </si>
  <si>
    <t>Lot 191675</t>
  </si>
  <si>
    <t>Lot 191682</t>
  </si>
  <si>
    <t>Lot 193295</t>
  </si>
  <si>
    <t>360363ApP0000590</t>
  </si>
  <si>
    <t>Lot 149943</t>
  </si>
  <si>
    <t>360363ApP0000599</t>
  </si>
  <si>
    <t>Lot 150987</t>
  </si>
  <si>
    <t>Lot 150988</t>
  </si>
  <si>
    <t>Lot 150989</t>
  </si>
  <si>
    <t>360363ApP0000617</t>
  </si>
  <si>
    <t>Lot 153561</t>
  </si>
  <si>
    <t>360363ApP0000638</t>
  </si>
  <si>
    <t>Lot 159929</t>
  </si>
  <si>
    <t>360363ApP0000649</t>
  </si>
  <si>
    <t>Lot 161764</t>
  </si>
  <si>
    <t>360363ApP0000671</t>
  </si>
  <si>
    <t>Lot 165092</t>
  </si>
  <si>
    <t>360363ApP0000682</t>
  </si>
  <si>
    <t>Lot 167818</t>
  </si>
  <si>
    <t>360363ApP0000752</t>
  </si>
  <si>
    <t>Lot 184829</t>
  </si>
  <si>
    <t>360363ApP0000757</t>
  </si>
  <si>
    <t>Lot 184970</t>
  </si>
  <si>
    <t>360364ApP0000649</t>
  </si>
  <si>
    <t>Lot 137668</t>
  </si>
  <si>
    <t>Lot 137669</t>
  </si>
  <si>
    <t>360364ApP0000657</t>
  </si>
  <si>
    <t>Lot 139862</t>
  </si>
  <si>
    <t>Lot 139863</t>
  </si>
  <si>
    <t>Lot 139864</t>
  </si>
  <si>
    <t>Lot 139865</t>
  </si>
  <si>
    <t>360364ApP0000663</t>
  </si>
  <si>
    <t>Lot 142698</t>
  </si>
  <si>
    <t>Lot 142699</t>
  </si>
  <si>
    <t>Lot 142700</t>
  </si>
  <si>
    <t>Lot 142701</t>
  </si>
  <si>
    <t>360364ApP0000665</t>
  </si>
  <si>
    <t>Lot 142703</t>
  </si>
  <si>
    <t>Lot 142704</t>
  </si>
  <si>
    <t>360364ApP0000667</t>
  </si>
  <si>
    <t>Lot 142826</t>
  </si>
  <si>
    <t>360364ApP0000669</t>
  </si>
  <si>
    <t>Lot 143368</t>
  </si>
  <si>
    <t>360364ApP0000672</t>
  </si>
  <si>
    <t>Lot 143370</t>
  </si>
  <si>
    <t>360364ApP0000679</t>
  </si>
  <si>
    <t>Lot 144039</t>
  </si>
  <si>
    <t>360364ApP0000681</t>
  </si>
  <si>
    <t>Lot 144204</t>
  </si>
  <si>
    <t>360364ApP0000689</t>
  </si>
  <si>
    <t>Lot 146304</t>
  </si>
  <si>
    <t>360364ApP0000697</t>
  </si>
  <si>
    <t>Lot 148334</t>
  </si>
  <si>
    <t>Lot 148335</t>
  </si>
  <si>
    <t>Lot 148336</t>
  </si>
  <si>
    <t>360364ApP0000699</t>
  </si>
  <si>
    <t>Lot 148338</t>
  </si>
  <si>
    <t>Lot 148339</t>
  </si>
  <si>
    <t>Lot 148340</t>
  </si>
  <si>
    <t>360364ApP0000719</t>
  </si>
  <si>
    <t>Lot 151183</t>
  </si>
  <si>
    <t>Lot 151184</t>
  </si>
  <si>
    <t>Lot 151185</t>
  </si>
  <si>
    <t>360364ApP0000721</t>
  </si>
  <si>
    <t>Lot 151187</t>
  </si>
  <si>
    <t>360364ApP0000727</t>
  </si>
  <si>
    <t>Lot 151441</t>
  </si>
  <si>
    <t>360364ApP0000733</t>
  </si>
  <si>
    <t>Lot 151467</t>
  </si>
  <si>
    <t>360364ApP0000742</t>
  </si>
  <si>
    <t>Lot 152557</t>
  </si>
  <si>
    <t>Lot 152558</t>
  </si>
  <si>
    <t>Lot 152559</t>
  </si>
  <si>
    <t>360364ApP0000747</t>
  </si>
  <si>
    <t>Lot 154530</t>
  </si>
  <si>
    <t>Lot 154531</t>
  </si>
  <si>
    <t>Lot 154532</t>
  </si>
  <si>
    <t>Lot 154533</t>
  </si>
  <si>
    <t>Lot 154534</t>
  </si>
  <si>
    <t>360364ApP0000752</t>
  </si>
  <si>
    <t>Lot 155732</t>
  </si>
  <si>
    <t>360364ApP0000754</t>
  </si>
  <si>
    <t>Lot 155751</t>
  </si>
  <si>
    <t>360364ApP0000756</t>
  </si>
  <si>
    <t>Lot 155754</t>
  </si>
  <si>
    <t>Lot 155755</t>
  </si>
  <si>
    <t>360364ApP0000758</t>
  </si>
  <si>
    <t>Lot 156325</t>
  </si>
  <si>
    <t>360364ApP0000760</t>
  </si>
  <si>
    <t>Lot 156327</t>
  </si>
  <si>
    <t>360364ApP0000768</t>
  </si>
  <si>
    <t>Lot 160234</t>
  </si>
  <si>
    <t>Lot 160235</t>
  </si>
  <si>
    <t>Lot 160236</t>
  </si>
  <si>
    <t>360364ApP0000779</t>
  </si>
  <si>
    <t>Lot 163868</t>
  </si>
  <si>
    <t>Lot 163869</t>
  </si>
  <si>
    <t>360364ApP0000785</t>
  </si>
  <si>
    <t>Lot 165086</t>
  </si>
  <si>
    <t>Lot 165087</t>
  </si>
  <si>
    <t>Lot 165088</t>
  </si>
  <si>
    <t>Lot 165089</t>
  </si>
  <si>
    <t>Lot 165090</t>
  </si>
  <si>
    <t>360364ApP0000789</t>
  </si>
  <si>
    <t>Lot 165316</t>
  </si>
  <si>
    <t>360364ApP0000796</t>
  </si>
  <si>
    <t>Lot 166498</t>
  </si>
  <si>
    <t>360364ApP0000799</t>
  </si>
  <si>
    <t>Lot 167824</t>
  </si>
  <si>
    <t>360364ApP0000822</t>
  </si>
  <si>
    <t>Lot 175576</t>
  </si>
  <si>
    <t>Lot 175577</t>
  </si>
  <si>
    <t>Lot 175578</t>
  </si>
  <si>
    <t>360364ApP0000824</t>
  </si>
  <si>
    <t>Lot 175580</t>
  </si>
  <si>
    <t>Lot 175581</t>
  </si>
  <si>
    <t>Lot 175582</t>
  </si>
  <si>
    <t>360364ApP0000831</t>
  </si>
  <si>
    <t>Lot 176587</t>
  </si>
  <si>
    <t>Lot 176588</t>
  </si>
  <si>
    <t>Lot 176589</t>
  </si>
  <si>
    <t>Lot 176590</t>
  </si>
  <si>
    <t>Lot 176591</t>
  </si>
  <si>
    <t>Lot 176592</t>
  </si>
  <si>
    <t>360364ApP0000855</t>
  </si>
  <si>
    <t>Lot 183938</t>
  </si>
  <si>
    <t>Lot 183939</t>
  </si>
  <si>
    <t>Lot 183940</t>
  </si>
  <si>
    <t>Lot 183941</t>
  </si>
  <si>
    <t>Lot 183942</t>
  </si>
  <si>
    <t>360365ApP0000526</t>
  </si>
  <si>
    <t>Lot 139867</t>
  </si>
  <si>
    <t>Lot 139868</t>
  </si>
  <si>
    <t>360365ApP0000530</t>
  </si>
  <si>
    <t>Lot 140860</t>
  </si>
  <si>
    <t>Lot 140861</t>
  </si>
  <si>
    <t>360365ApP0000568</t>
  </si>
  <si>
    <t>Lot 148369</t>
  </si>
  <si>
    <t>360365ApP0000590</t>
  </si>
  <si>
    <t>Lot 151155</t>
  </si>
  <si>
    <t>360365ApP0000625</t>
  </si>
  <si>
    <t>Lot 155030</t>
  </si>
  <si>
    <t>360365ApP0000640</t>
  </si>
  <si>
    <t>Lot 157112</t>
  </si>
  <si>
    <t>Lot 157113</t>
  </si>
  <si>
    <t>Lot 157114</t>
  </si>
  <si>
    <t>Lot 157115</t>
  </si>
  <si>
    <t>360365ApP0000645</t>
  </si>
  <si>
    <t>Lot 159849</t>
  </si>
  <si>
    <t>Lot 159850</t>
  </si>
  <si>
    <t>Lot 159851</t>
  </si>
  <si>
    <t>Lot 159852</t>
  </si>
  <si>
    <t>360365ApP0000658</t>
  </si>
  <si>
    <t>Lot 165804</t>
  </si>
  <si>
    <t>Lot 165805</t>
  </si>
  <si>
    <t>360365ApP0000659</t>
  </si>
  <si>
    <t>Lot 165807</t>
  </si>
  <si>
    <t>Lot 165808</t>
  </si>
  <si>
    <t>360365ApP0000677</t>
  </si>
  <si>
    <t>Lot 172658</t>
  </si>
  <si>
    <t>360365ApP0000705</t>
  </si>
  <si>
    <t>Lot 183628</t>
  </si>
  <si>
    <t>360365ApP0000733</t>
  </si>
  <si>
    <t>Lot 190456</t>
  </si>
  <si>
    <t>360366ApP0000283</t>
  </si>
  <si>
    <t>Lot 141256</t>
  </si>
  <si>
    <t>Lot 141257</t>
  </si>
  <si>
    <t>Lot 141258</t>
  </si>
  <si>
    <t>Lot 141259</t>
  </si>
  <si>
    <t>360366ApP0000285</t>
  </si>
  <si>
    <t>Lot 141471</t>
  </si>
  <si>
    <t>360366ApP0000293</t>
  </si>
  <si>
    <t>Lot 144205</t>
  </si>
  <si>
    <t>360366ApP0000304</t>
  </si>
  <si>
    <t>Lot 146094</t>
  </si>
  <si>
    <t>360366ApP0000314</t>
  </si>
  <si>
    <t>Lot 149357</t>
  </si>
  <si>
    <t>360366ApP0000316</t>
  </si>
  <si>
    <t>Lot 149941</t>
  </si>
  <si>
    <t>360366ApP0000322</t>
  </si>
  <si>
    <t>Lot 153289</t>
  </si>
  <si>
    <t>Lot 153290</t>
  </si>
  <si>
    <t>Lot 153291</t>
  </si>
  <si>
    <t>Lot 153292</t>
  </si>
  <si>
    <t>Lot 153293</t>
  </si>
  <si>
    <t>360366ApP0000324</t>
  </si>
  <si>
    <t>Lot 153678</t>
  </si>
  <si>
    <t>Lot 153679</t>
  </si>
  <si>
    <t>360366ApP0000335</t>
  </si>
  <si>
    <t>Lot 157335</t>
  </si>
  <si>
    <t>Lot 157336</t>
  </si>
  <si>
    <t>360366ApP0000338</t>
  </si>
  <si>
    <t>Lot 157338</t>
  </si>
  <si>
    <t>Lot 157339</t>
  </si>
  <si>
    <t>360366ApP0000341</t>
  </si>
  <si>
    <t>Lot 159751</t>
  </si>
  <si>
    <t>Lot 159752</t>
  </si>
  <si>
    <t>360366ApP0000346</t>
  </si>
  <si>
    <t>Lot 163125</t>
  </si>
  <si>
    <t>Lot 163126</t>
  </si>
  <si>
    <t>360366ApP0000348</t>
  </si>
  <si>
    <t>Lot 163864</t>
  </si>
  <si>
    <t>Lot 163865</t>
  </si>
  <si>
    <t>Lot 163866</t>
  </si>
  <si>
    <t>360366ApP0000351</t>
  </si>
  <si>
    <t>Lot 164278</t>
  </si>
  <si>
    <t>Lot 164279</t>
  </si>
  <si>
    <t>360366ApP0000359</t>
  </si>
  <si>
    <t>Lot 168342</t>
  </si>
  <si>
    <t>Lot 168343</t>
  </si>
  <si>
    <t>360366ApP0000361</t>
  </si>
  <si>
    <t>Lot 168345</t>
  </si>
  <si>
    <t>360366ApP0000379</t>
  </si>
  <si>
    <t>Lot 174872</t>
  </si>
  <si>
    <t>360366ApP0000382</t>
  </si>
  <si>
    <t>Lot 175419</t>
  </si>
  <si>
    <t>Lot 175420</t>
  </si>
  <si>
    <t>Lot 175421</t>
  </si>
  <si>
    <t>360366ApP0000392</t>
  </si>
  <si>
    <t>Lot 181635</t>
  </si>
  <si>
    <t>Lot 181636</t>
  </si>
  <si>
    <t>Lot 181637</t>
  </si>
  <si>
    <t>360368ApP0000460</t>
  </si>
  <si>
    <t>Lot 146488</t>
  </si>
  <si>
    <t>Lot 146489</t>
  </si>
  <si>
    <t>Lot 146490</t>
  </si>
  <si>
    <t>360368ApP0000536</t>
  </si>
  <si>
    <t>Lot 165318</t>
  </si>
  <si>
    <t>Lot 165319</t>
  </si>
  <si>
    <t>Lot 165320</t>
  </si>
  <si>
    <t>Lot 165321</t>
  </si>
  <si>
    <t>Lot 165322</t>
  </si>
  <si>
    <t>360369ApP0000483</t>
  </si>
  <si>
    <t>Lot 150620</t>
  </si>
  <si>
    <t>Lot 150621</t>
  </si>
  <si>
    <t>360369ApP0000501</t>
  </si>
  <si>
    <t>Lot 151445</t>
  </si>
  <si>
    <t>360369ApP0000509</t>
  </si>
  <si>
    <t>Lot 152337</t>
  </si>
  <si>
    <t>Lot 152338</t>
  </si>
  <si>
    <t>360369ApP0000511</t>
  </si>
  <si>
    <t>Lot 152343</t>
  </si>
  <si>
    <t>Lot 152344</t>
  </si>
  <si>
    <t>Lot 152345</t>
  </si>
  <si>
    <t>Lot 152346</t>
  </si>
  <si>
    <t>360369ApP0000518</t>
  </si>
  <si>
    <t>Lot 153800</t>
  </si>
  <si>
    <t>360369ApP0000522</t>
  </si>
  <si>
    <t>Lot 154590</t>
  </si>
  <si>
    <t>360369ApP0000524</t>
  </si>
  <si>
    <t>Lot 154592</t>
  </si>
  <si>
    <t>360369ApP0000528</t>
  </si>
  <si>
    <t>Lot 154848</t>
  </si>
  <si>
    <t>360369ApP0000530</t>
  </si>
  <si>
    <t>Lot 155303</t>
  </si>
  <si>
    <t>Lot 155304</t>
  </si>
  <si>
    <t>Lot 155305</t>
  </si>
  <si>
    <t>360369ApP0000554</t>
  </si>
  <si>
    <t>Lot 156544</t>
  </si>
  <si>
    <t>360369ApP0000556</t>
  </si>
  <si>
    <t>Lot 156546</t>
  </si>
  <si>
    <t>360369ApP0000558</t>
  </si>
  <si>
    <t>Lot 157330</t>
  </si>
  <si>
    <t>Lot 157331</t>
  </si>
  <si>
    <t>360369ApP0000560</t>
  </si>
  <si>
    <t>Lot 157333</t>
  </si>
  <si>
    <t>360369ApP0000565</t>
  </si>
  <si>
    <t>Lot 159036</t>
  </si>
  <si>
    <t>360369ApP0000570</t>
  </si>
  <si>
    <t>Lot 160457</t>
  </si>
  <si>
    <t>360369ApP0000576</t>
  </si>
  <si>
    <t>Lot 161766</t>
  </si>
  <si>
    <t>360369ApP0000582</t>
  </si>
  <si>
    <t>Lot 162980</t>
  </si>
  <si>
    <t>Lot 162981</t>
  </si>
  <si>
    <t>Lot 162982</t>
  </si>
  <si>
    <t>360369ApP0000588</t>
  </si>
  <si>
    <t>Lot 165083</t>
  </si>
  <si>
    <t>Lot 165084</t>
  </si>
  <si>
    <t>360369ApP0000597</t>
  </si>
  <si>
    <t>Lot 169549</t>
  </si>
  <si>
    <t>Lot 169550</t>
  </si>
  <si>
    <t>360369ApP0000600</t>
  </si>
  <si>
    <t>Lot 169552</t>
  </si>
  <si>
    <t>360369ApP0000602</t>
  </si>
  <si>
    <t>Lot 169976</t>
  </si>
  <si>
    <t>Lot 169977</t>
  </si>
  <si>
    <t>Lot 169978</t>
  </si>
  <si>
    <t>360369ApP0000616</t>
  </si>
  <si>
    <t>Lot 174958</t>
  </si>
  <si>
    <t>Lot 174959</t>
  </si>
  <si>
    <t>360369ApP0000633</t>
  </si>
  <si>
    <t>Lot 180253</t>
  </si>
  <si>
    <t>Lot 180254</t>
  </si>
  <si>
    <t>Lot 180255</t>
  </si>
  <si>
    <t>Lot 180256</t>
  </si>
  <si>
    <t>360369ApP0000637</t>
  </si>
  <si>
    <t>Lot 180585</t>
  </si>
  <si>
    <t>Lot 180586</t>
  </si>
  <si>
    <t>360369ApP0000646</t>
  </si>
  <si>
    <t>Lot 186868</t>
  </si>
  <si>
    <t>360371ApP0000598</t>
  </si>
  <si>
    <t>Lot 145279</t>
  </si>
  <si>
    <t>360371ApP0000613</t>
  </si>
  <si>
    <t>Lot 148371</t>
  </si>
  <si>
    <t>Lot 148372</t>
  </si>
  <si>
    <t>360371ApP0000727</t>
  </si>
  <si>
    <t>Lot 166700</t>
  </si>
  <si>
    <t>360ApP0003755</t>
  </si>
  <si>
    <t>Lot 135526</t>
  </si>
  <si>
    <t>Lot 135527</t>
  </si>
  <si>
    <t>Lot 135528</t>
  </si>
  <si>
    <t>360ApP0003761</t>
  </si>
  <si>
    <t>Lot 135636</t>
  </si>
  <si>
    <t>360ApP0003956</t>
  </si>
  <si>
    <t>Lot 146085</t>
  </si>
  <si>
    <t>Lot 146086</t>
  </si>
  <si>
    <t>Lot 146087</t>
  </si>
  <si>
    <t>360ApP0004032</t>
  </si>
  <si>
    <t>Lot 153802</t>
  </si>
  <si>
    <t>360ApP0004113</t>
  </si>
  <si>
    <t>Lot 151470</t>
  </si>
  <si>
    <t>Lot 151471</t>
  </si>
  <si>
    <t>Lot 151472</t>
  </si>
  <si>
    <t>360ApP0004235</t>
  </si>
  <si>
    <t>Lot 155297</t>
  </si>
  <si>
    <t>360ApP0004330</t>
  </si>
  <si>
    <t>Lot 159624</t>
  </si>
  <si>
    <t>Lot 159625</t>
  </si>
  <si>
    <t>Lot 159626</t>
  </si>
  <si>
    <t>Lot 159628</t>
  </si>
  <si>
    <t>360ApP0004434</t>
  </si>
  <si>
    <t>Lot 164354</t>
  </si>
  <si>
    <t>Lot 165801</t>
  </si>
  <si>
    <t>Lot 165802</t>
  </si>
  <si>
    <t>360ApP0004539</t>
  </si>
  <si>
    <t>Lot 168786</t>
  </si>
  <si>
    <t>Lot 168787</t>
  </si>
  <si>
    <t>Lot 168788</t>
  </si>
  <si>
    <t>Lot 168789</t>
  </si>
  <si>
    <t>360ApP0004561</t>
  </si>
  <si>
    <t>Lot 170439</t>
  </si>
  <si>
    <t>Lot 170440</t>
  </si>
  <si>
    <t>Lot 170441</t>
  </si>
  <si>
    <t>360SO0007705</t>
  </si>
  <si>
    <t>Lot 139746</t>
  </si>
  <si>
    <t>Lot 139747</t>
  </si>
  <si>
    <t>Lot 139748</t>
  </si>
  <si>
    <t>Lot 139749</t>
  </si>
  <si>
    <t>Lot 139750</t>
  </si>
  <si>
    <t>Lot 139751</t>
  </si>
  <si>
    <t>363ApP0000742</t>
  </si>
  <si>
    <t>Lot 183624</t>
  </si>
  <si>
    <t>363ApP0000763</t>
  </si>
  <si>
    <t>Lot 185269</t>
  </si>
  <si>
    <t>Lot 152554</t>
  </si>
  <si>
    <t>Lot 152555</t>
  </si>
  <si>
    <t>Lot 152556</t>
  </si>
  <si>
    <t>Lot 159845</t>
  </si>
  <si>
    <t>Lot 159846</t>
  </si>
  <si>
    <t>Lot 159847</t>
  </si>
  <si>
    <t>Lot 159848</t>
  </si>
  <si>
    <t>SO0002380</t>
  </si>
  <si>
    <t>Lot 163138</t>
  </si>
  <si>
    <t>Lot 163139</t>
  </si>
  <si>
    <t>SO0002695</t>
  </si>
  <si>
    <t>Lot 183371</t>
  </si>
  <si>
    <t>SO0002735</t>
  </si>
  <si>
    <t>Lot 185264</t>
  </si>
  <si>
    <t>SO0002826</t>
  </si>
  <si>
    <t>Lot 190175</t>
  </si>
  <si>
    <t>Lot 190176</t>
  </si>
  <si>
    <t>Lot 190177</t>
  </si>
  <si>
    <t>Lot 190178</t>
  </si>
  <si>
    <t>SO0002827</t>
  </si>
  <si>
    <t>Lot 190179</t>
  </si>
  <si>
    <t>Lot 190180</t>
  </si>
  <si>
    <t>Lot 190181</t>
  </si>
  <si>
    <t>Lot 190182</t>
  </si>
  <si>
    <t>Order lines</t>
  </si>
  <si>
    <t>Order qty</t>
  </si>
  <si>
    <t>Unit price</t>
  </si>
  <si>
    <t>Net amount</t>
  </si>
  <si>
    <t>Currency</t>
  </si>
  <si>
    <t>Line status</t>
  </si>
  <si>
    <t>EUR</t>
  </si>
  <si>
    <t>Invoiced</t>
  </si>
  <si>
    <t>360ApP0004940</t>
  </si>
  <si>
    <t>PLN</t>
  </si>
  <si>
    <t>Group</t>
  </si>
  <si>
    <t>IC-AX</t>
  </si>
  <si>
    <t>Domestic</t>
  </si>
  <si>
    <t>Exp_3C</t>
  </si>
  <si>
    <t>Customer</t>
  </si>
  <si>
    <t>362-000418</t>
  </si>
  <si>
    <t>362-000413</t>
  </si>
  <si>
    <t>362-000778</t>
  </si>
  <si>
    <t>362-000301</t>
  </si>
  <si>
    <t>362-000271</t>
  </si>
  <si>
    <t>362-000139</t>
  </si>
  <si>
    <t>362-000518</t>
  </si>
  <si>
    <t>362-000496</t>
  </si>
  <si>
    <t>362-000529</t>
  </si>
  <si>
    <t>362-000540</t>
  </si>
  <si>
    <t>362-000765</t>
  </si>
  <si>
    <t>362-000643</t>
  </si>
  <si>
    <t>362-000659</t>
  </si>
  <si>
    <t>362-000687</t>
  </si>
  <si>
    <t>362-000490</t>
  </si>
  <si>
    <t>362-000738</t>
  </si>
  <si>
    <t>362-000545</t>
  </si>
  <si>
    <t>362-000503</t>
  </si>
  <si>
    <t>362-000412</t>
  </si>
  <si>
    <t>362-000543</t>
  </si>
  <si>
    <t>362-000566</t>
  </si>
  <si>
    <t>362-000047</t>
  </si>
  <si>
    <t>362-000717</t>
  </si>
  <si>
    <t>362-000510</t>
  </si>
  <si>
    <t>362-000813</t>
  </si>
  <si>
    <t>362-000815</t>
  </si>
  <si>
    <t>362-000558</t>
  </si>
  <si>
    <t>362-000831</t>
  </si>
  <si>
    <t>362-000744</t>
  </si>
  <si>
    <t>362-000762</t>
  </si>
  <si>
    <t>362-000568</t>
  </si>
  <si>
    <t>362-000595</t>
  </si>
  <si>
    <t>362-000500</t>
  </si>
  <si>
    <t>362-000668</t>
  </si>
  <si>
    <t>362-000485</t>
  </si>
  <si>
    <t>362-000785</t>
  </si>
  <si>
    <t>362-000619</t>
  </si>
  <si>
    <t>362-000583</t>
  </si>
  <si>
    <t>362-000483</t>
  </si>
  <si>
    <t>362-000796</t>
  </si>
  <si>
    <t>362-000594</t>
  </si>
  <si>
    <t>362-000629</t>
  </si>
  <si>
    <t>362-000808</t>
  </si>
  <si>
    <t>362-000472</t>
  </si>
  <si>
    <t>362-000539</t>
  </si>
  <si>
    <t>362-000709</t>
  </si>
  <si>
    <t>362-000508</t>
  </si>
  <si>
    <t>362-000737</t>
  </si>
  <si>
    <t>362-000665</t>
  </si>
  <si>
    <t>362-000698</t>
  </si>
  <si>
    <t>362-000383</t>
  </si>
  <si>
    <t>362-000569</t>
  </si>
  <si>
    <t>362-000721</t>
  </si>
  <si>
    <t>362-000822</t>
  </si>
  <si>
    <t>362-000650</t>
  </si>
  <si>
    <t>362-000664</t>
  </si>
  <si>
    <t>362-000556</t>
  </si>
  <si>
    <t>362-000826</t>
  </si>
  <si>
    <t>362-000830</t>
  </si>
  <si>
    <t>362-000480</t>
  </si>
  <si>
    <t>362-000524</t>
  </si>
  <si>
    <t>362-000832</t>
  </si>
  <si>
    <t>362-000672</t>
  </si>
  <si>
    <t>362-000836</t>
  </si>
  <si>
    <t>362-000573</t>
  </si>
  <si>
    <t>362-000843</t>
  </si>
  <si>
    <t>362-000846</t>
  </si>
  <si>
    <t>362-000492</t>
  </si>
  <si>
    <t>362-000502</t>
  </si>
  <si>
    <t>362-000484</t>
  </si>
  <si>
    <t>362-000779</t>
  </si>
  <si>
    <t>362-000780</t>
  </si>
  <si>
    <t>362-000620</t>
  </si>
  <si>
    <t>362-000563</t>
  </si>
  <si>
    <t>362-000788</t>
  </si>
  <si>
    <t>362-000615</t>
  </si>
  <si>
    <t>362-000274</t>
  </si>
  <si>
    <t>362-000494</t>
  </si>
  <si>
    <t>362-000816</t>
  </si>
  <si>
    <t>362-000613</t>
  </si>
  <si>
    <t>362-000497</t>
  </si>
  <si>
    <t>362-000652</t>
  </si>
  <si>
    <t>362-000493</t>
  </si>
  <si>
    <t>362-000530</t>
  </si>
  <si>
    <t>362-000713</t>
  </si>
  <si>
    <t>362-000624</t>
  </si>
  <si>
    <t>362-000531</t>
  </si>
  <si>
    <t>362-000753</t>
  </si>
  <si>
    <t>362-000773</t>
  </si>
  <si>
    <t>362-000781</t>
  </si>
  <si>
    <t>362-000783</t>
  </si>
  <si>
    <t>362-000793</t>
  </si>
  <si>
    <t>362-000745</t>
  </si>
  <si>
    <t>362-000834</t>
  </si>
  <si>
    <t>362-000676</t>
  </si>
  <si>
    <t>362-000577</t>
  </si>
  <si>
    <t>362-000526</t>
  </si>
  <si>
    <t>362-000726</t>
  </si>
  <si>
    <t>362-000784</t>
  </si>
  <si>
    <t>362-000512</t>
  </si>
  <si>
    <t>362-000627</t>
  </si>
  <si>
    <t>362-000516</t>
  </si>
  <si>
    <t>362-000810</t>
  </si>
  <si>
    <t>362-000562</t>
  </si>
  <si>
    <t>362-000514</t>
  </si>
  <si>
    <t>362-000764</t>
  </si>
  <si>
    <t>362-000814</t>
  </si>
  <si>
    <t>362-000576</t>
  </si>
  <si>
    <t>362-000733</t>
  </si>
  <si>
    <t>362-000572</t>
  </si>
  <si>
    <t>362-000821</t>
  </si>
  <si>
    <t>362-000501</t>
  </si>
  <si>
    <t>362-000799</t>
  </si>
  <si>
    <t>362-000696</t>
  </si>
  <si>
    <t>362-000587</t>
  </si>
  <si>
    <t>362-000509</t>
  </si>
  <si>
    <t>362-000542</t>
  </si>
  <si>
    <t>362-000825</t>
  </si>
  <si>
    <t>362-000527</t>
  </si>
  <si>
    <t>362-000839</t>
  </si>
  <si>
    <t>362-000845</t>
  </si>
  <si>
    <t>362-000648</t>
  </si>
  <si>
    <t>362-000645</t>
  </si>
  <si>
    <t>362-000767</t>
  </si>
  <si>
    <t>362-000521</t>
  </si>
  <si>
    <t>362-000739</t>
  </si>
  <si>
    <t>NL</t>
  </si>
  <si>
    <t>PL</t>
  </si>
  <si>
    <t>PT</t>
  </si>
  <si>
    <t>DE</t>
  </si>
  <si>
    <t>FR</t>
  </si>
  <si>
    <t>DK</t>
  </si>
  <si>
    <t>CH</t>
  </si>
  <si>
    <t>AT</t>
  </si>
  <si>
    <t/>
  </si>
  <si>
    <t>SE</t>
  </si>
  <si>
    <t>US</t>
  </si>
  <si>
    <t>ES</t>
  </si>
  <si>
    <t>KH</t>
  </si>
  <si>
    <t>RU</t>
  </si>
  <si>
    <t>SI</t>
  </si>
  <si>
    <t>BE</t>
  </si>
  <si>
    <t>Country/region(distination)</t>
  </si>
  <si>
    <t>Created date</t>
  </si>
  <si>
    <t>Lot 190783</t>
  </si>
  <si>
    <t>Lot 190784</t>
  </si>
  <si>
    <t>Lot 190785</t>
  </si>
  <si>
    <t>Unit</t>
  </si>
  <si>
    <t>Created Month</t>
  </si>
  <si>
    <t>Delivered Date</t>
  </si>
  <si>
    <t>Delivered Month</t>
  </si>
  <si>
    <t>2019-Feb</t>
  </si>
  <si>
    <t>2019-Mar</t>
  </si>
  <si>
    <t>2019-Apr</t>
  </si>
  <si>
    <t>2019-May</t>
  </si>
  <si>
    <t>2019-Jun</t>
  </si>
  <si>
    <t>2019-Jul</t>
  </si>
  <si>
    <t>2019-Aug</t>
  </si>
  <si>
    <t>2019-Sep</t>
  </si>
  <si>
    <t>2019-Oct</t>
  </si>
  <si>
    <t>2019-Jan</t>
  </si>
  <si>
    <t>2019-Nov</t>
  </si>
  <si>
    <t>2019-Dec</t>
  </si>
  <si>
    <t>列标签</t>
  </si>
  <si>
    <t>总计</t>
  </si>
  <si>
    <t>求和项:Order qty</t>
  </si>
  <si>
    <t>By Create Date</t>
  </si>
  <si>
    <t>By Shipping date</t>
  </si>
  <si>
    <t>ARAPTOOL002</t>
  </si>
  <si>
    <t>Lot 014247</t>
  </si>
  <si>
    <t>SO0000169</t>
  </si>
  <si>
    <t>Lot 048139</t>
  </si>
  <si>
    <t>SO0000945</t>
  </si>
  <si>
    <t>Lot 052930</t>
  </si>
  <si>
    <t>SO0000974</t>
  </si>
  <si>
    <t>Lot 280066</t>
  </si>
  <si>
    <t>360369ApP0001020</t>
  </si>
  <si>
    <t>Lot 280812</t>
  </si>
  <si>
    <t>360364ApP0001226</t>
  </si>
  <si>
    <t>Lot 007580</t>
  </si>
  <si>
    <t>SO0000055</t>
  </si>
  <si>
    <t>Lot 009675</t>
  </si>
  <si>
    <t>SO0000077</t>
  </si>
  <si>
    <t>Lot 012946</t>
  </si>
  <si>
    <t>SO0000121</t>
  </si>
  <si>
    <t>Lot 014184</t>
  </si>
  <si>
    <t>SO0000158</t>
  </si>
  <si>
    <t>Lot 014215</t>
  </si>
  <si>
    <t>SO0000164</t>
  </si>
  <si>
    <t>Lot 014618</t>
  </si>
  <si>
    <t>SO0000198</t>
  </si>
  <si>
    <t>Lot 014665</t>
  </si>
  <si>
    <t>SO0000200</t>
  </si>
  <si>
    <t>Lot 015341</t>
  </si>
  <si>
    <t>SO0000216</t>
  </si>
  <si>
    <t>Lot 018174</t>
  </si>
  <si>
    <t>SO0000222</t>
  </si>
  <si>
    <t>Lot 018716</t>
  </si>
  <si>
    <t>SO0000265</t>
  </si>
  <si>
    <t>Lot 018836</t>
  </si>
  <si>
    <t>360ApP0001087</t>
  </si>
  <si>
    <t>Lot 020122</t>
  </si>
  <si>
    <t>SO0000281</t>
  </si>
  <si>
    <t>Lot 020125</t>
  </si>
  <si>
    <t>360ApP0001106</t>
  </si>
  <si>
    <t>Lot 024495</t>
  </si>
  <si>
    <t>SO0000300</t>
  </si>
  <si>
    <t>Lot 024473</t>
  </si>
  <si>
    <t>SO0000297</t>
  </si>
  <si>
    <t>Lot 024496</t>
  </si>
  <si>
    <t>SO0000301</t>
  </si>
  <si>
    <t>Lot 024070</t>
  </si>
  <si>
    <t>360366ApP0000014</t>
  </si>
  <si>
    <t>Lot 025176</t>
  </si>
  <si>
    <t>SO0000312</t>
  </si>
  <si>
    <t>Lot 025178</t>
  </si>
  <si>
    <t>SO0000314</t>
  </si>
  <si>
    <t>Lot 025179</t>
  </si>
  <si>
    <t>SO0000315</t>
  </si>
  <si>
    <t>Lot 025734</t>
  </si>
  <si>
    <t>SO0000359</t>
  </si>
  <si>
    <t>Lot 025961</t>
  </si>
  <si>
    <t>360363ApP0000091</t>
  </si>
  <si>
    <t>Lot 026065</t>
  </si>
  <si>
    <t>SO0000396</t>
  </si>
  <si>
    <t>Lot 026110</t>
  </si>
  <si>
    <t>360363ApP0000097</t>
  </si>
  <si>
    <t>Lot 026135</t>
  </si>
  <si>
    <t>360366ApP0000039</t>
  </si>
  <si>
    <t>Lot 027834</t>
  </si>
  <si>
    <t>SO0000482</t>
  </si>
  <si>
    <t>Lot 027335</t>
  </si>
  <si>
    <t>360SO0003759</t>
  </si>
  <si>
    <t>Lot 027134</t>
  </si>
  <si>
    <t>SO0000459</t>
  </si>
  <si>
    <t>Lot 028767</t>
  </si>
  <si>
    <t>SO0000521</t>
  </si>
  <si>
    <t>Lot 028557</t>
  </si>
  <si>
    <t>SO0000513</t>
  </si>
  <si>
    <t>Lot 028832</t>
  </si>
  <si>
    <t>SO0000523</t>
  </si>
  <si>
    <t>Lot 028834</t>
  </si>
  <si>
    <t>SO0000524</t>
  </si>
  <si>
    <t>Lot 032553</t>
  </si>
  <si>
    <t>SO0000542</t>
  </si>
  <si>
    <t>Lot 032213</t>
  </si>
  <si>
    <t>360369ApP0000133</t>
  </si>
  <si>
    <t>Lot 032606</t>
  </si>
  <si>
    <t>SO0000554</t>
  </si>
  <si>
    <t>Lot 032653</t>
  </si>
  <si>
    <t>360369ApP0000136</t>
  </si>
  <si>
    <t>Lot 032762</t>
  </si>
  <si>
    <t>SO0000558</t>
  </si>
  <si>
    <t>Lot 032898</t>
  </si>
  <si>
    <t>360369ApP0000138</t>
  </si>
  <si>
    <t>Lot 032541</t>
  </si>
  <si>
    <t>SO0000537</t>
  </si>
  <si>
    <t>Lot 032615</t>
  </si>
  <si>
    <t>SO0000555</t>
  </si>
  <si>
    <t>Lot 033352</t>
  </si>
  <si>
    <t>SO0000579</t>
  </si>
  <si>
    <t>Lot 033362</t>
  </si>
  <si>
    <t>SO0000586</t>
  </si>
  <si>
    <t>Lot 033671</t>
  </si>
  <si>
    <t>SO0000600</t>
  </si>
  <si>
    <t>Lot 035907</t>
  </si>
  <si>
    <t>SO0000663</t>
  </si>
  <si>
    <t>Lot 036222</t>
  </si>
  <si>
    <t>SO0000674</t>
  </si>
  <si>
    <t>Lot 036574</t>
  </si>
  <si>
    <t>SO0000691</t>
  </si>
  <si>
    <t>Lot 036857</t>
  </si>
  <si>
    <t>SO0000697</t>
  </si>
  <si>
    <t>Lot 036924</t>
  </si>
  <si>
    <t>SO0000705</t>
  </si>
  <si>
    <t>Lot 040152</t>
  </si>
  <si>
    <t>360364ApP0000097</t>
  </si>
  <si>
    <t>Lot 041154</t>
  </si>
  <si>
    <t>SO0000753</t>
  </si>
  <si>
    <t>Lot 041164</t>
  </si>
  <si>
    <t>SO0000754</t>
  </si>
  <si>
    <t>Lot 041830</t>
  </si>
  <si>
    <t>360366ApP0000113</t>
  </si>
  <si>
    <t>Lot 043800</t>
  </si>
  <si>
    <t>360ApP0001786</t>
  </si>
  <si>
    <t>Lot 043991</t>
  </si>
  <si>
    <t>360ApP0001799</t>
  </si>
  <si>
    <t>Lot 045022</t>
  </si>
  <si>
    <t>360366ApP0000127</t>
  </si>
  <si>
    <t>Lot 045431</t>
  </si>
  <si>
    <t>SO0000843</t>
  </si>
  <si>
    <t>Lot 046225</t>
  </si>
  <si>
    <t>360369ApP0000191</t>
  </si>
  <si>
    <t>Lot 047119</t>
  </si>
  <si>
    <t>SO0000886</t>
  </si>
  <si>
    <t>Lot 047077</t>
  </si>
  <si>
    <t>360ApP0001929</t>
  </si>
  <si>
    <t>Lot 047590</t>
  </si>
  <si>
    <t>360369ApP0000200</t>
  </si>
  <si>
    <t>Lot 047648</t>
  </si>
  <si>
    <t>SO0000912</t>
  </si>
  <si>
    <t>Lot 047649</t>
  </si>
  <si>
    <t>Lot 047656</t>
  </si>
  <si>
    <t>SO0000914</t>
  </si>
  <si>
    <t>Lot 047818</t>
  </si>
  <si>
    <t>SO0000916</t>
  </si>
  <si>
    <t>Lot 047820</t>
  </si>
  <si>
    <t>SO0000917</t>
  </si>
  <si>
    <t>Lot 047843</t>
  </si>
  <si>
    <t>SO0000926</t>
  </si>
  <si>
    <t>Lot 047985</t>
  </si>
  <si>
    <t>360ApP0002023</t>
  </si>
  <si>
    <t>Lot 051990</t>
  </si>
  <si>
    <t>360369ApP0000209</t>
  </si>
  <si>
    <t>Lot 052333</t>
  </si>
  <si>
    <t>SO0000968</t>
  </si>
  <si>
    <t>Lot 047081</t>
  </si>
  <si>
    <t>360364ApP0000205</t>
  </si>
  <si>
    <t>Lot 047481</t>
  </si>
  <si>
    <t>360364ApP0000213</t>
  </si>
  <si>
    <t>Lot 054935</t>
  </si>
  <si>
    <t>SO0000997</t>
  </si>
  <si>
    <t>Lot 056794</t>
  </si>
  <si>
    <t>SO0001047</t>
  </si>
  <si>
    <t>Lot 048292</t>
  </si>
  <si>
    <t>360ApP0002052</t>
  </si>
  <si>
    <t>Lot 055019</t>
  </si>
  <si>
    <t>360366ApP0000154</t>
  </si>
  <si>
    <t>Lot 057314</t>
  </si>
  <si>
    <t>360369ApP0000254</t>
  </si>
  <si>
    <t>Lot 058459</t>
  </si>
  <si>
    <t>SO0001063</t>
  </si>
  <si>
    <t>Lot 057478</t>
  </si>
  <si>
    <t>360366ApP0000166</t>
  </si>
  <si>
    <t>Lot 058703</t>
  </si>
  <si>
    <t>SO0001068</t>
  </si>
  <si>
    <t>Lot 059976</t>
  </si>
  <si>
    <t>SO0001103</t>
  </si>
  <si>
    <t>Lot 061699</t>
  </si>
  <si>
    <t>SO0001123</t>
  </si>
  <si>
    <t>Lot 068388</t>
  </si>
  <si>
    <t>SO0001216</t>
  </si>
  <si>
    <t>Lot 070182</t>
  </si>
  <si>
    <t>SO0001252</t>
  </si>
  <si>
    <t>Lot 069304</t>
  </si>
  <si>
    <t>360366ApP0000185</t>
  </si>
  <si>
    <t>Lot 070827</t>
  </si>
  <si>
    <t>360363ApP0000303</t>
  </si>
  <si>
    <t>Lot 072009</t>
  </si>
  <si>
    <t>SO0001287</t>
  </si>
  <si>
    <t>Lot 072979</t>
  </si>
  <si>
    <t>SO0001293</t>
  </si>
  <si>
    <t>Lot 074811</t>
  </si>
  <si>
    <t>SO0001324</t>
  </si>
  <si>
    <t>Lot 074802</t>
  </si>
  <si>
    <t>SO0001320</t>
  </si>
  <si>
    <t>Lot 074804</t>
  </si>
  <si>
    <t>SO0001321</t>
  </si>
  <si>
    <t>Lot 074525</t>
  </si>
  <si>
    <t>360ApP0002422</t>
  </si>
  <si>
    <t>Lot 075553</t>
  </si>
  <si>
    <t>SO0001336</t>
  </si>
  <si>
    <t>Lot 076368</t>
  </si>
  <si>
    <t>SO0001357</t>
  </si>
  <si>
    <t>Lot 078657</t>
  </si>
  <si>
    <t>SO0001390</t>
  </si>
  <si>
    <t>Lot 079733</t>
  </si>
  <si>
    <t>SO0001403</t>
  </si>
  <si>
    <t>Lot 079737</t>
  </si>
  <si>
    <t>360ApP0002517</t>
  </si>
  <si>
    <t>Lot 079918</t>
  </si>
  <si>
    <t>SO0001410</t>
  </si>
  <si>
    <t>Lot 081810</t>
  </si>
  <si>
    <t>SO0001422</t>
  </si>
  <si>
    <t>Lot 081811</t>
  </si>
  <si>
    <t>SO0001423</t>
  </si>
  <si>
    <t>Lot 081911</t>
  </si>
  <si>
    <t>360366ApP0000198</t>
  </si>
  <si>
    <t>Lot 086172</t>
  </si>
  <si>
    <t>360ApP0002700</t>
  </si>
  <si>
    <t>Lot 087234</t>
  </si>
  <si>
    <t>360366ApP0000204</t>
  </si>
  <si>
    <t>Lot 088034</t>
  </si>
  <si>
    <t>SO0001441</t>
  </si>
  <si>
    <t>Lot 088379</t>
  </si>
  <si>
    <t>360ApP0002747</t>
  </si>
  <si>
    <t>Lot 094544</t>
  </si>
  <si>
    <t>360ApP0002941</t>
  </si>
  <si>
    <t>Lot 097570</t>
  </si>
  <si>
    <t>SO0001572</t>
  </si>
  <si>
    <t>Lot 099456</t>
  </si>
  <si>
    <t>SO0001600</t>
  </si>
  <si>
    <t>Lot 100633</t>
  </si>
  <si>
    <t>SO0001619</t>
  </si>
  <si>
    <t>Lot 103389</t>
  </si>
  <si>
    <t>SO0001651</t>
  </si>
  <si>
    <t>Lot 104747</t>
  </si>
  <si>
    <t>SO0001670</t>
  </si>
  <si>
    <t>Lot 104304</t>
  </si>
  <si>
    <t>360ApP0003166</t>
  </si>
  <si>
    <t>Lot 106826</t>
  </si>
  <si>
    <t>SO0001708</t>
  </si>
  <si>
    <t>Lot 106788</t>
  </si>
  <si>
    <t>SO0001707</t>
  </si>
  <si>
    <t>Lot 106850</t>
  </si>
  <si>
    <t>SO0001710</t>
  </si>
  <si>
    <t>Lot 105921</t>
  </si>
  <si>
    <t>360366ApP0000247</t>
  </si>
  <si>
    <t>Lot 109663</t>
  </si>
  <si>
    <t>SO0001760</t>
  </si>
  <si>
    <t>Lot 109866</t>
  </si>
  <si>
    <t>SO0001771</t>
  </si>
  <si>
    <t>Lot 112092</t>
  </si>
  <si>
    <t>SO0001797</t>
  </si>
  <si>
    <t>Lot 112095</t>
  </si>
  <si>
    <t>SO0001799</t>
  </si>
  <si>
    <t>Lot 112230</t>
  </si>
  <si>
    <t>SO0001802</t>
  </si>
  <si>
    <t>Lot 113225</t>
  </si>
  <si>
    <t>SO0001827</t>
  </si>
  <si>
    <t>Lot 115775</t>
  </si>
  <si>
    <t>SO0001847</t>
  </si>
  <si>
    <t>Lot 115800</t>
  </si>
  <si>
    <t>SO0001852</t>
  </si>
  <si>
    <t>Lot 115999</t>
  </si>
  <si>
    <t>SO0001854</t>
  </si>
  <si>
    <t>Lot 121842</t>
  </si>
  <si>
    <t>SO0001937</t>
  </si>
  <si>
    <t>Lot 121843</t>
  </si>
  <si>
    <t>SO0001938</t>
  </si>
  <si>
    <t>Lot 119120</t>
  </si>
  <si>
    <t>360ApP0003473</t>
  </si>
  <si>
    <t>Lot 122388</t>
  </si>
  <si>
    <t>SO0001969</t>
  </si>
  <si>
    <t>Lot 122917</t>
  </si>
  <si>
    <t>SO0001986</t>
  </si>
  <si>
    <t>Lot 122926</t>
  </si>
  <si>
    <t>SO0001991</t>
  </si>
  <si>
    <t>Lot 123167</t>
  </si>
  <si>
    <t>SO0002001</t>
  </si>
  <si>
    <t>Lot 123252</t>
  </si>
  <si>
    <t>SO0002008</t>
  </si>
  <si>
    <t>Lot 123256</t>
  </si>
  <si>
    <t>SO0002010</t>
  </si>
  <si>
    <t>Lot 124100</t>
  </si>
  <si>
    <t>SO0002026</t>
  </si>
  <si>
    <t>Lot 124577</t>
  </si>
  <si>
    <t>SO0002038</t>
  </si>
  <si>
    <t>Lot 127429</t>
  </si>
  <si>
    <t>SO0002069</t>
  </si>
  <si>
    <t>Lot 126892</t>
  </si>
  <si>
    <t>SO0002058</t>
  </si>
  <si>
    <t>Lot 128354</t>
  </si>
  <si>
    <t>SO0002083</t>
  </si>
  <si>
    <t>Lot 193411</t>
  </si>
  <si>
    <t>360364ApP0000889</t>
  </si>
  <si>
    <t>Lot 193625</t>
  </si>
  <si>
    <t>360ApP0005029</t>
  </si>
  <si>
    <t>Lot 194732</t>
  </si>
  <si>
    <t>360ApP0005049</t>
  </si>
  <si>
    <t>Lot 197979</t>
  </si>
  <si>
    <t>360364ApP0000923</t>
  </si>
  <si>
    <t>Lot 201221</t>
  </si>
  <si>
    <t>SO0002909</t>
  </si>
  <si>
    <t>Lot 205484</t>
  </si>
  <si>
    <t>SO0002948</t>
  </si>
  <si>
    <t>Lot 205764</t>
  </si>
  <si>
    <t>SO0002960</t>
  </si>
  <si>
    <t>Lot 205765</t>
  </si>
  <si>
    <t>SO0002961</t>
  </si>
  <si>
    <t>Lot 206304</t>
  </si>
  <si>
    <t>SO0002964</t>
  </si>
  <si>
    <t>Lot 206305</t>
  </si>
  <si>
    <t>SO0002965</t>
  </si>
  <si>
    <t>Lot 206784</t>
  </si>
  <si>
    <t>SO0002969</t>
  </si>
  <si>
    <t>Lot 207891</t>
  </si>
  <si>
    <t>SO0002986</t>
  </si>
  <si>
    <t>Lot 207069</t>
  </si>
  <si>
    <t>SO0002975</t>
  </si>
  <si>
    <t>Lot 209499</t>
  </si>
  <si>
    <t>360369ApP0000735</t>
  </si>
  <si>
    <t>Lot 210384</t>
  </si>
  <si>
    <t>360369ApP0000741</t>
  </si>
  <si>
    <t>Lot 210386</t>
  </si>
  <si>
    <t>360369ApP0000743</t>
  </si>
  <si>
    <t>Lot 212277</t>
  </si>
  <si>
    <t>SO0003042</t>
  </si>
  <si>
    <t>Lot 214015</t>
  </si>
  <si>
    <t>SO0003055</t>
  </si>
  <si>
    <t>Lot 218917</t>
  </si>
  <si>
    <t>SO0003110</t>
  </si>
  <si>
    <t>Lot 224478</t>
  </si>
  <si>
    <t>SO0003156</t>
  </si>
  <si>
    <t>Lot 225292</t>
  </si>
  <si>
    <t>SO0003164</t>
  </si>
  <si>
    <t>Lot 225119</t>
  </si>
  <si>
    <t>360ApP0005637</t>
  </si>
  <si>
    <t>Lot 231431</t>
  </si>
  <si>
    <t>SO0003269</t>
  </si>
  <si>
    <t>Lot 231824</t>
  </si>
  <si>
    <t>SO0003279</t>
  </si>
  <si>
    <t>Lot 231843</t>
  </si>
  <si>
    <t>Lot 233166</t>
  </si>
  <si>
    <t>SO0003290</t>
  </si>
  <si>
    <t>Lot 233174</t>
  </si>
  <si>
    <t>SO0003294</t>
  </si>
  <si>
    <t>Lot 233185</t>
  </si>
  <si>
    <t>SO0003296</t>
  </si>
  <si>
    <t>Lot 234752</t>
  </si>
  <si>
    <t>SO0003333</t>
  </si>
  <si>
    <t>Lot 234461</t>
  </si>
  <si>
    <t>360369ApP0000843</t>
  </si>
  <si>
    <t>Lot 234764</t>
  </si>
  <si>
    <t>SO0003337</t>
  </si>
  <si>
    <t>Lot 235871</t>
  </si>
  <si>
    <t>SO0003344</t>
  </si>
  <si>
    <t>Lot 238512</t>
  </si>
  <si>
    <t>SO0003377</t>
  </si>
  <si>
    <t>Lot 238655</t>
  </si>
  <si>
    <t>SO0003383</t>
  </si>
  <si>
    <t>Lot 238664</t>
  </si>
  <si>
    <t>SO0003384</t>
  </si>
  <si>
    <t>Lot 241197</t>
  </si>
  <si>
    <t>SO0003415</t>
  </si>
  <si>
    <t>Lot 241962</t>
  </si>
  <si>
    <t>SO0003429</t>
  </si>
  <si>
    <t>Lot 240345</t>
  </si>
  <si>
    <t>360364ApP0001061</t>
  </si>
  <si>
    <t>Lot 242716</t>
  </si>
  <si>
    <t>SO0003441</t>
  </si>
  <si>
    <t>Lot 242717</t>
  </si>
  <si>
    <t>SO0003442</t>
  </si>
  <si>
    <t>Lot 242792</t>
  </si>
  <si>
    <t>SO0003443</t>
  </si>
  <si>
    <t>Lot 243165</t>
  </si>
  <si>
    <t>SO0003468</t>
  </si>
  <si>
    <t>Lot 244144</t>
  </si>
  <si>
    <t>SO0003480</t>
  </si>
  <si>
    <t>Lot 244748</t>
  </si>
  <si>
    <t>SO0003484</t>
  </si>
  <si>
    <t>Lot 245050</t>
  </si>
  <si>
    <t>SO0003487</t>
  </si>
  <si>
    <t>Lot 245407</t>
  </si>
  <si>
    <t>SO0003502</t>
  </si>
  <si>
    <t>Lot 245547</t>
  </si>
  <si>
    <t>SO0003505</t>
  </si>
  <si>
    <t>Lot 245551</t>
  </si>
  <si>
    <t>Lot 245557</t>
  </si>
  <si>
    <t>SO0003507</t>
  </si>
  <si>
    <t>Lot 245700</t>
  </si>
  <si>
    <t>SO0003511</t>
  </si>
  <si>
    <t>Lot 246673</t>
  </si>
  <si>
    <t>SO0003520</t>
  </si>
  <si>
    <t>Lot 250631</t>
  </si>
  <si>
    <t>360ApP0006130</t>
  </si>
  <si>
    <t>Lot 256245</t>
  </si>
  <si>
    <t>SO0003593</t>
  </si>
  <si>
    <t>Lot 257162</t>
  </si>
  <si>
    <t>SO0003602</t>
  </si>
  <si>
    <t>Lot 260169</t>
  </si>
  <si>
    <t>SO0003626</t>
  </si>
  <si>
    <t>Lot 260175</t>
  </si>
  <si>
    <t>SO0003627</t>
  </si>
  <si>
    <t>Lot 262752</t>
  </si>
  <si>
    <t>360364ApP0001137</t>
  </si>
  <si>
    <t>Lot 264865</t>
  </si>
  <si>
    <t>SO0003679</t>
  </si>
  <si>
    <t>Lot 263972</t>
  </si>
  <si>
    <t>360366ApP0000562</t>
  </si>
  <si>
    <t>Lot 264869</t>
  </si>
  <si>
    <t>SO0003681</t>
  </si>
  <si>
    <t>Lot 264969</t>
  </si>
  <si>
    <t>SO0003683</t>
  </si>
  <si>
    <t>Lot 266228</t>
  </si>
  <si>
    <t>SO0003702</t>
  </si>
  <si>
    <t>Lot 267228</t>
  </si>
  <si>
    <t>SO0003721</t>
  </si>
  <si>
    <t>Lot 268750</t>
  </si>
  <si>
    <t>SO0003757</t>
  </si>
  <si>
    <t>Lot 269319</t>
  </si>
  <si>
    <t>SO0003769</t>
  </si>
  <si>
    <t>Lot 271019</t>
  </si>
  <si>
    <t>SO0003794</t>
  </si>
  <si>
    <t>Lot 272190</t>
  </si>
  <si>
    <t>SO0003803</t>
  </si>
  <si>
    <t>Lot 272370</t>
  </si>
  <si>
    <t>SO0003809</t>
  </si>
  <si>
    <t>Lot 272637</t>
  </si>
  <si>
    <t>SO0003817</t>
  </si>
  <si>
    <t>Lot 271009</t>
  </si>
  <si>
    <t>360364ApP0001165</t>
  </si>
  <si>
    <t>Lot 273275</t>
  </si>
  <si>
    <t>SO0003837</t>
  </si>
  <si>
    <t>Lot 269935</t>
  </si>
  <si>
    <t>360369ApP0000953</t>
  </si>
  <si>
    <t>Lot 276579</t>
  </si>
  <si>
    <t>SO0003874</t>
  </si>
  <si>
    <t>Lot 277012</t>
  </si>
  <si>
    <t>SO0003879</t>
  </si>
  <si>
    <t>Lot 277018</t>
  </si>
  <si>
    <t>SO0003882</t>
  </si>
  <si>
    <t>Lot 277717</t>
  </si>
  <si>
    <t>SO0003893</t>
  </si>
  <si>
    <t>Lot 278305</t>
  </si>
  <si>
    <t>SO0003906</t>
  </si>
  <si>
    <t>Lot 278561</t>
  </si>
  <si>
    <t>SO0003913</t>
  </si>
  <si>
    <t>Lot 278142</t>
  </si>
  <si>
    <t>360369ApP0001009</t>
  </si>
  <si>
    <t>Lot 279481</t>
  </si>
  <si>
    <t>SO0003931</t>
  </si>
  <si>
    <t>Lot 280061</t>
  </si>
  <si>
    <t>SO0003947</t>
  </si>
  <si>
    <t>Lot 280322</t>
  </si>
  <si>
    <t>SO0003950</t>
  </si>
  <si>
    <t>Lot 270413</t>
  </si>
  <si>
    <t>360369ApP0000965</t>
  </si>
  <si>
    <t>Lot 276872</t>
  </si>
  <si>
    <t>360369ApP0000984</t>
  </si>
  <si>
    <t>Lot 277019</t>
  </si>
  <si>
    <t>360369ApP0000986</t>
  </si>
  <si>
    <t>Lot 041888</t>
  </si>
  <si>
    <t>360369ApP0000164</t>
  </si>
  <si>
    <t>Lot 044739</t>
  </si>
  <si>
    <t>360369ApP0000170</t>
  </si>
  <si>
    <t>Lot 047585</t>
  </si>
  <si>
    <t>360369ApP0000198</t>
  </si>
  <si>
    <t>Lot 092215</t>
  </si>
  <si>
    <t>360369ApP0000322</t>
  </si>
  <si>
    <t>Lot 092301</t>
  </si>
  <si>
    <t>360369ApP0000324</t>
  </si>
  <si>
    <t>Lot 097851</t>
  </si>
  <si>
    <t>360369ApP0000338</t>
  </si>
  <si>
    <t>Lot 113251</t>
  </si>
  <si>
    <t>360368ApP0000298</t>
  </si>
  <si>
    <t>Lot 121730</t>
  </si>
  <si>
    <t>SO0001924</t>
  </si>
  <si>
    <t>Lot 117799</t>
  </si>
  <si>
    <t>360369ApP0000400</t>
  </si>
  <si>
    <t>Lot 122230</t>
  </si>
  <si>
    <t>SO0001957</t>
  </si>
  <si>
    <t>Lot 122543</t>
  </si>
  <si>
    <t>360369ApP0000422</t>
  </si>
  <si>
    <t>Lot 193626</t>
  </si>
  <si>
    <t>Lot 196230</t>
  </si>
  <si>
    <t>360369ApP0000676</t>
  </si>
  <si>
    <t>Lot 204775</t>
  </si>
  <si>
    <t>360369ApP0000709</t>
  </si>
  <si>
    <t>Lot 211456</t>
  </si>
  <si>
    <t>360369ApP0000747</t>
  </si>
  <si>
    <t>Lot 215806</t>
  </si>
  <si>
    <t>360369ApP0000767</t>
  </si>
  <si>
    <t>Lot 217595</t>
  </si>
  <si>
    <t>360369ApP0000774</t>
  </si>
  <si>
    <t>Lot 227824</t>
  </si>
  <si>
    <t>360369ApP0000810</t>
  </si>
  <si>
    <t>Lot 228792</t>
  </si>
  <si>
    <t>360369ApP0000820</t>
  </si>
  <si>
    <t>Lot 235388</t>
  </si>
  <si>
    <t>360369ApP0000845</t>
  </si>
  <si>
    <t>Lot 237666</t>
  </si>
  <si>
    <t>SO0003355</t>
  </si>
  <si>
    <t>Lot 264717</t>
  </si>
  <si>
    <t>360369ApP0000925</t>
  </si>
  <si>
    <t>Lot 269938</t>
  </si>
  <si>
    <t>Lot 277712</t>
  </si>
  <si>
    <t>360369ApP0000994</t>
  </si>
  <si>
    <t>Lot 007561</t>
  </si>
  <si>
    <t>SO0000054</t>
  </si>
  <si>
    <t>Lot 004888</t>
  </si>
  <si>
    <t>SO0000049</t>
  </si>
  <si>
    <t>Lot 009600</t>
  </si>
  <si>
    <t>SO0000073</t>
  </si>
  <si>
    <t>Lot 018171</t>
  </si>
  <si>
    <t>SO0000220</t>
  </si>
  <si>
    <t>Lot 018303</t>
  </si>
  <si>
    <t>SO0000232</t>
  </si>
  <si>
    <t>Lot 018291</t>
  </si>
  <si>
    <t>SO0000230</t>
  </si>
  <si>
    <t>Lot 018372</t>
  </si>
  <si>
    <t>SO0000241</t>
  </si>
  <si>
    <t>Lot 018574</t>
  </si>
  <si>
    <t>SO0000253</t>
  </si>
  <si>
    <t>Lot 025183</t>
  </si>
  <si>
    <t>SO0000316</t>
  </si>
  <si>
    <t>Lot 025735</t>
  </si>
  <si>
    <t>Lot 025948</t>
  </si>
  <si>
    <t>SO0000385</t>
  </si>
  <si>
    <t>Lot 027168</t>
  </si>
  <si>
    <t>360SO0003754</t>
  </si>
  <si>
    <t>Lot 032199</t>
  </si>
  <si>
    <t>360SO0003911</t>
  </si>
  <si>
    <t>Lot 036859</t>
  </si>
  <si>
    <t>SO0000698</t>
  </si>
  <si>
    <t>Lot 039658</t>
  </si>
  <si>
    <t>360364ApP0000070</t>
  </si>
  <si>
    <t>Lot 040031</t>
  </si>
  <si>
    <t>360364ApP0000089</t>
  </si>
  <si>
    <t>Lot 056603</t>
  </si>
  <si>
    <t>360364ApP0000255</t>
  </si>
  <si>
    <t>Lot 082238</t>
  </si>
  <si>
    <t>360364ApP0000329</t>
  </si>
  <si>
    <t>Lot 091480</t>
  </si>
  <si>
    <t>SO0001465</t>
  </si>
  <si>
    <t>Lot 096929</t>
  </si>
  <si>
    <t>SO0001566</t>
  </si>
  <si>
    <t>Lot 099347</t>
  </si>
  <si>
    <t>SO0001598</t>
  </si>
  <si>
    <t>Lot 123255</t>
  </si>
  <si>
    <t>SO0002009</t>
  </si>
  <si>
    <t>Lot 124289</t>
  </si>
  <si>
    <t>SO0002033</t>
  </si>
  <si>
    <t>Lot 194222</t>
  </si>
  <si>
    <t>360364ApP0000897</t>
  </si>
  <si>
    <t>Lot 204266</t>
  </si>
  <si>
    <t>SO0002923</t>
  </si>
  <si>
    <t>Lot 204377</t>
  </si>
  <si>
    <t>360ApP0005253</t>
  </si>
  <si>
    <t>Lot 247634</t>
  </si>
  <si>
    <t>SO0003546</t>
  </si>
  <si>
    <t>Lot 252090</t>
  </si>
  <si>
    <t>360364ApP0001100</t>
  </si>
  <si>
    <t>Lot 260773</t>
  </si>
  <si>
    <t>SO0003636</t>
  </si>
  <si>
    <t>Lot 265140</t>
  </si>
  <si>
    <t>SO0003687</t>
  </si>
  <si>
    <t>Lot 269320</t>
  </si>
  <si>
    <t>360364ApP0001151</t>
  </si>
  <si>
    <t>Lot 271006</t>
  </si>
  <si>
    <t>Lot 007562</t>
  </si>
  <si>
    <t>Lot 003279</t>
  </si>
  <si>
    <t>SO0000044</t>
  </si>
  <si>
    <t>Lot 009602</t>
  </si>
  <si>
    <t>Lot 011473</t>
  </si>
  <si>
    <t>SO0000097</t>
  </si>
  <si>
    <t>Lot 012627</t>
  </si>
  <si>
    <t>SO0000111</t>
  </si>
  <si>
    <t>Lot 012638</t>
  </si>
  <si>
    <t>SO0000112</t>
  </si>
  <si>
    <t>Lot 012945</t>
  </si>
  <si>
    <t>Lot 014331</t>
  </si>
  <si>
    <t>SO0000191</t>
  </si>
  <si>
    <t>Lot 014666</t>
  </si>
  <si>
    <t>Lot 018170</t>
  </si>
  <si>
    <t>Lot 018302</t>
  </si>
  <si>
    <t>Lot 018289</t>
  </si>
  <si>
    <t>Lot 018474</t>
  </si>
  <si>
    <t>SO0000250</t>
  </si>
  <si>
    <t>Lot 018919</t>
  </si>
  <si>
    <t>SO0000272</t>
  </si>
  <si>
    <t>Lot 024472</t>
  </si>
  <si>
    <t>Lot 025181</t>
  </si>
  <si>
    <t>SO0000313</t>
  </si>
  <si>
    <t>Lot 025383</t>
  </si>
  <si>
    <t>SO0000333</t>
  </si>
  <si>
    <t>Lot 025433</t>
  </si>
  <si>
    <t>SO0000349</t>
  </si>
  <si>
    <t>Lot 025713</t>
  </si>
  <si>
    <t>SO0000356</t>
  </si>
  <si>
    <t>Lot 025960</t>
  </si>
  <si>
    <t>Lot 026064</t>
  </si>
  <si>
    <t>Lot 026109</t>
  </si>
  <si>
    <t>Lot 027016</t>
  </si>
  <si>
    <t>360369ApP0000102</t>
  </si>
  <si>
    <t>Lot 027336</t>
  </si>
  <si>
    <t>Lot 027135</t>
  </si>
  <si>
    <t>Lot 028562</t>
  </si>
  <si>
    <t>SO0000515</t>
  </si>
  <si>
    <t>Lot 028835</t>
  </si>
  <si>
    <t>SO0000525</t>
  </si>
  <si>
    <t>Lot 032547</t>
  </si>
  <si>
    <t>SO0000540</t>
  </si>
  <si>
    <t>Lot 032544</t>
  </si>
  <si>
    <t>SO0000538</t>
  </si>
  <si>
    <t>Lot 032614</t>
  </si>
  <si>
    <t>Lot 033046</t>
  </si>
  <si>
    <t>SO0000572</t>
  </si>
  <si>
    <t>Lot 032583</t>
  </si>
  <si>
    <t>SO0000551</t>
  </si>
  <si>
    <t>Lot 032765</t>
  </si>
  <si>
    <t>SO0000559</t>
  </si>
  <si>
    <t>Lot 033083</t>
  </si>
  <si>
    <t>SO0000576</t>
  </si>
  <si>
    <t>Lot 033353</t>
  </si>
  <si>
    <t>Lot 033081</t>
  </si>
  <si>
    <t>SO0000575</t>
  </si>
  <si>
    <t>Lot 033546</t>
  </si>
  <si>
    <t>SO0000588</t>
  </si>
  <si>
    <t>Lot 033555</t>
  </si>
  <si>
    <t>SO0000594</t>
  </si>
  <si>
    <t>Lot 033672</t>
  </si>
  <si>
    <t>SO0000601</t>
  </si>
  <si>
    <t>Lot 033984</t>
  </si>
  <si>
    <t>SO0000604</t>
  </si>
  <si>
    <t>Lot 035494</t>
  </si>
  <si>
    <t>SO0000651</t>
  </si>
  <si>
    <t>Lot 035905</t>
  </si>
  <si>
    <t>SO0000662</t>
  </si>
  <si>
    <t>Lot 036475</t>
  </si>
  <si>
    <t>SO0000686</t>
  </si>
  <si>
    <t>Lot 036527</t>
  </si>
  <si>
    <t>SO0000688</t>
  </si>
  <si>
    <t>Lot 036882</t>
  </si>
  <si>
    <t>SO0000701</t>
  </si>
  <si>
    <t>Lot 039043</t>
  </si>
  <si>
    <t>SO0000722</t>
  </si>
  <si>
    <t>Lot 040153</t>
  </si>
  <si>
    <t>Lot 045430</t>
  </si>
  <si>
    <t>Lot 046160</t>
  </si>
  <si>
    <t>SO0000865</t>
  </si>
  <si>
    <t>Lot 046049</t>
  </si>
  <si>
    <t>360ApP0001899</t>
  </si>
  <si>
    <t>Lot 046251</t>
  </si>
  <si>
    <t>SO0000871</t>
  </si>
  <si>
    <t>Lot 046217</t>
  </si>
  <si>
    <t>360364ApP0000191</t>
  </si>
  <si>
    <t>Lot 047358</t>
  </si>
  <si>
    <t>SO0000897</t>
  </si>
  <si>
    <t>Lot 047842</t>
  </si>
  <si>
    <t>Lot 047991</t>
  </si>
  <si>
    <t>SO0000934</t>
  </si>
  <si>
    <t>Lot 052047</t>
  </si>
  <si>
    <t>SO0000953</t>
  </si>
  <si>
    <t>Lot 054454</t>
  </si>
  <si>
    <t>SO0000989</t>
  </si>
  <si>
    <t>Lot 055010</t>
  </si>
  <si>
    <t>SO0001009</t>
  </si>
  <si>
    <t>Lot 055129</t>
  </si>
  <si>
    <t>SO0001019</t>
  </si>
  <si>
    <t>Lot 055131</t>
  </si>
  <si>
    <t>SO0001020</t>
  </si>
  <si>
    <t>Lot 055181</t>
  </si>
  <si>
    <t>SO0001026</t>
  </si>
  <si>
    <t>Lot 056795</t>
  </si>
  <si>
    <t>Lot 057315</t>
  </si>
  <si>
    <t>Lot 054446</t>
  </si>
  <si>
    <t>360ApP0002106</t>
  </si>
  <si>
    <t>Lot 059931</t>
  </si>
  <si>
    <t>SO0001097</t>
  </si>
  <si>
    <t>Lot 060152</t>
  </si>
  <si>
    <t>SO0001106</t>
  </si>
  <si>
    <t>Lot 060955</t>
  </si>
  <si>
    <t>SO0001114</t>
  </si>
  <si>
    <t>Lot 061365</t>
  </si>
  <si>
    <t>SO0001116</t>
  </si>
  <si>
    <t>Lot 063358</t>
  </si>
  <si>
    <t>SO0001158</t>
  </si>
  <si>
    <t>Lot 061567</t>
  </si>
  <si>
    <t>360ApP0002254</t>
  </si>
  <si>
    <t>Lot 064952</t>
  </si>
  <si>
    <t>SO0001193</t>
  </si>
  <si>
    <t>Lot 068070</t>
  </si>
  <si>
    <t>SO0001209</t>
  </si>
  <si>
    <t>Lot 070169</t>
  </si>
  <si>
    <t>SO0001243</t>
  </si>
  <si>
    <t>Lot 070828</t>
  </si>
  <si>
    <t>Lot 072008</t>
  </si>
  <si>
    <t>Lot 074810</t>
  </si>
  <si>
    <t>Lot 074803</t>
  </si>
  <si>
    <t>Lot 074805</t>
  </si>
  <si>
    <t>Lot 077050</t>
  </si>
  <si>
    <t>SO0001366</t>
  </si>
  <si>
    <t>Lot 077052</t>
  </si>
  <si>
    <t>SO0001367</t>
  </si>
  <si>
    <t>Lot 079734</t>
  </si>
  <si>
    <t>Lot 079738</t>
  </si>
  <si>
    <t>Lot 082241</t>
  </si>
  <si>
    <t>360364ApP0000331</t>
  </si>
  <si>
    <t>Lot 095426</t>
  </si>
  <si>
    <t>SO0001538</t>
  </si>
  <si>
    <t>Lot 099455</t>
  </si>
  <si>
    <t>Lot 102441</t>
  </si>
  <si>
    <t>SO0001636</t>
  </si>
  <si>
    <t>Lot 104994</t>
  </si>
  <si>
    <t>SO0001674</t>
  </si>
  <si>
    <t>Lot 107096</t>
  </si>
  <si>
    <t>SO0001713</t>
  </si>
  <si>
    <t>Lot 106084</t>
  </si>
  <si>
    <t>360ApP0003206</t>
  </si>
  <si>
    <t>Lot 109664</t>
  </si>
  <si>
    <t>Lot 109867</t>
  </si>
  <si>
    <t>Lot 111433</t>
  </si>
  <si>
    <t>SO0001789</t>
  </si>
  <si>
    <t>Lot 112706</t>
  </si>
  <si>
    <t>SO0001812</t>
  </si>
  <si>
    <t>Lot 112962</t>
  </si>
  <si>
    <t>SO0001817</t>
  </si>
  <si>
    <t>Lot 113253</t>
  </si>
  <si>
    <t>SO0001830</t>
  </si>
  <si>
    <t>Lot 115796</t>
  </si>
  <si>
    <t>SO0001849</t>
  </si>
  <si>
    <t>Lot 115801</t>
  </si>
  <si>
    <t>Lot 118124</t>
  </si>
  <si>
    <t>SO0001886</t>
  </si>
  <si>
    <t>Lot 118935</t>
  </si>
  <si>
    <t>SO0001894</t>
  </si>
  <si>
    <t>Lot 119128</t>
  </si>
  <si>
    <t>SO0001904</t>
  </si>
  <si>
    <t>Lot 121729</t>
  </si>
  <si>
    <t>Lot 119121</t>
  </si>
  <si>
    <t>Lot 122192</t>
  </si>
  <si>
    <t>SO0001954</t>
  </si>
  <si>
    <t>Lot 122668</t>
  </si>
  <si>
    <t>SO0001978</t>
  </si>
  <si>
    <t>Lot 122927</t>
  </si>
  <si>
    <t>Lot 122923</t>
  </si>
  <si>
    <t>SO0001989</t>
  </si>
  <si>
    <t>Lot 123054</t>
  </si>
  <si>
    <t>SO0001996</t>
  </si>
  <si>
    <t>Lot 123168</t>
  </si>
  <si>
    <t>Lot 123253</t>
  </si>
  <si>
    <t>Lot 123958</t>
  </si>
  <si>
    <t>SO0002018</t>
  </si>
  <si>
    <t>Lot 124101</t>
  </si>
  <si>
    <t>Lot 124147</t>
  </si>
  <si>
    <t>SO0002031</t>
  </si>
  <si>
    <t>Lot 124558</t>
  </si>
  <si>
    <t>SO0002037</t>
  </si>
  <si>
    <t>Lot 124807</t>
  </si>
  <si>
    <t>SO0002040</t>
  </si>
  <si>
    <t>Lot 127346</t>
  </si>
  <si>
    <t>SO0002067</t>
  </si>
  <si>
    <t>Lot 126896</t>
  </si>
  <si>
    <t>SO0002061</t>
  </si>
  <si>
    <t>Lot 127305</t>
  </si>
  <si>
    <t>SO0002065</t>
  </si>
  <si>
    <t>Lot 126311</t>
  </si>
  <si>
    <t>360369ApP0000430</t>
  </si>
  <si>
    <t>Lot 129692</t>
  </si>
  <si>
    <t>SO0002105</t>
  </si>
  <si>
    <t>Lot 129320</t>
  </si>
  <si>
    <t>SO0002098</t>
  </si>
  <si>
    <t>Lot 130067</t>
  </si>
  <si>
    <t>SO0002106</t>
  </si>
  <si>
    <t>Lot 130909</t>
  </si>
  <si>
    <t>SO0002116</t>
  </si>
  <si>
    <t>Lot 197980</t>
  </si>
  <si>
    <t>Lot 201220</t>
  </si>
  <si>
    <t>SO0002908</t>
  </si>
  <si>
    <t>Lot 201519</t>
  </si>
  <si>
    <t>SO0002911</t>
  </si>
  <si>
    <t>Lot 204787</t>
  </si>
  <si>
    <t>360364ApP0000952</t>
  </si>
  <si>
    <t>Lot 205483</t>
  </si>
  <si>
    <t>Lot 205760</t>
  </si>
  <si>
    <t>SO0002957</t>
  </si>
  <si>
    <t>Lot 204779</t>
  </si>
  <si>
    <t>360ApP0005267</t>
  </si>
  <si>
    <t>Lot 206783</t>
  </si>
  <si>
    <t>Lot 207597</t>
  </si>
  <si>
    <t>SO0002979</t>
  </si>
  <si>
    <t>Lot 207599</t>
  </si>
  <si>
    <t>SO0002980</t>
  </si>
  <si>
    <t>Lot 207893</t>
  </si>
  <si>
    <t>SO0002987</t>
  </si>
  <si>
    <t>Lot 207068</t>
  </si>
  <si>
    <t>Lot 209193</t>
  </si>
  <si>
    <t>SO0002999</t>
  </si>
  <si>
    <t>Lot 210115</t>
  </si>
  <si>
    <t>SO0003013</t>
  </si>
  <si>
    <t>Lot 210839</t>
  </si>
  <si>
    <t>SO0003025</t>
  </si>
  <si>
    <t>Lot 210841</t>
  </si>
  <si>
    <t>SO0003026</t>
  </si>
  <si>
    <t>Lot 211481</t>
  </si>
  <si>
    <t>SO0003030</t>
  </si>
  <si>
    <t>Lot 215154</t>
  </si>
  <si>
    <t>SO0003064</t>
  </si>
  <si>
    <t>Lot 217792</t>
  </si>
  <si>
    <t>SO0003103</t>
  </si>
  <si>
    <t>Lot 218918</t>
  </si>
  <si>
    <t>SO0003111</t>
  </si>
  <si>
    <t>Lot 222225</t>
  </si>
  <si>
    <t>SO0003128</t>
  </si>
  <si>
    <t>Lot 222578</t>
  </si>
  <si>
    <t>SO0003129</t>
  </si>
  <si>
    <t>Lot 223372</t>
  </si>
  <si>
    <t>SO0003144</t>
  </si>
  <si>
    <t>Lot 224377</t>
  </si>
  <si>
    <t>360369ApP0000796</t>
  </si>
  <si>
    <t>Lot 227035</t>
  </si>
  <si>
    <t>SO0003202</t>
  </si>
  <si>
    <t>Lot 227038</t>
  </si>
  <si>
    <t>SO0003204</t>
  </si>
  <si>
    <t>Lot 229090</t>
  </si>
  <si>
    <t>SO0003238</t>
  </si>
  <si>
    <t>Lot 229917</t>
  </si>
  <si>
    <t>SO0003252</t>
  </si>
  <si>
    <t>Lot 231442</t>
  </si>
  <si>
    <t>360364ApP0001032</t>
  </si>
  <si>
    <t>Lot 233075</t>
  </si>
  <si>
    <t>SO0003289</t>
  </si>
  <si>
    <t>Lot 233173</t>
  </si>
  <si>
    <t>SO0003293</t>
  </si>
  <si>
    <t>Lot 233498</t>
  </si>
  <si>
    <t>SO0003299</t>
  </si>
  <si>
    <t>Lot 233692</t>
  </si>
  <si>
    <t>SO0003307</t>
  </si>
  <si>
    <t>Lot 233951</t>
  </si>
  <si>
    <t>SO0003313</t>
  </si>
  <si>
    <t>Lot 234750</t>
  </si>
  <si>
    <t>Lot 234757</t>
  </si>
  <si>
    <t>360364ApP0001041</t>
  </si>
  <si>
    <t>Lot 237177</t>
  </si>
  <si>
    <t>SO0003350</t>
  </si>
  <si>
    <t>Lot 237181</t>
  </si>
  <si>
    <t>SO0003351</t>
  </si>
  <si>
    <t>Lot 237201</t>
  </si>
  <si>
    <t>SO0003352</t>
  </si>
  <si>
    <t>Lot 237771</t>
  </si>
  <si>
    <t>SO0003360</t>
  </si>
  <si>
    <t>Lot 238511</t>
  </si>
  <si>
    <t>Lot 239590</t>
  </si>
  <si>
    <t>SO0003393</t>
  </si>
  <si>
    <t>Lot 240140</t>
  </si>
  <si>
    <t>SO0003401</t>
  </si>
  <si>
    <t>Lot 240895</t>
  </si>
  <si>
    <t>SO0003410</t>
  </si>
  <si>
    <t>Lot 243164</t>
  </si>
  <si>
    <t>Lot 245402</t>
  </si>
  <si>
    <t>SO0003499</t>
  </si>
  <si>
    <t>Lot 243012</t>
  </si>
  <si>
    <t>360364ApP0001066</t>
  </si>
  <si>
    <t>Lot 246672</t>
  </si>
  <si>
    <t>Lot 248739</t>
  </si>
  <si>
    <t>SO0003561</t>
  </si>
  <si>
    <t>Lot 260168</t>
  </si>
  <si>
    <t>Lot 261109</t>
  </si>
  <si>
    <t>SO0003640</t>
  </si>
  <si>
    <t>Lot 262750</t>
  </si>
  <si>
    <t>360364ApP0001135</t>
  </si>
  <si>
    <t>Lot 264237</t>
  </si>
  <si>
    <t>SO0003672</t>
  </si>
  <si>
    <t>Lot 264239</t>
  </si>
  <si>
    <t>SO0003673</t>
  </si>
  <si>
    <t>Lot 264484</t>
  </si>
  <si>
    <t>SO0003678</t>
  </si>
  <si>
    <t>Lot 264868</t>
  </si>
  <si>
    <t>Lot 264968</t>
  </si>
  <si>
    <t>Lot 265142</t>
  </si>
  <si>
    <t>SO0003688</t>
  </si>
  <si>
    <t>Lot 267339</t>
  </si>
  <si>
    <t>SO0003724</t>
  </si>
  <si>
    <t>Lot 266426</t>
  </si>
  <si>
    <t>SO0003712</t>
  </si>
  <si>
    <t>Lot 267630</t>
  </si>
  <si>
    <t>SO0003729</t>
  </si>
  <si>
    <t>Lot 267639</t>
  </si>
  <si>
    <t>Lot 272191</t>
  </si>
  <si>
    <t>Lot 271806</t>
  </si>
  <si>
    <t>SO0003797</t>
  </si>
  <si>
    <t>Lot 272369</t>
  </si>
  <si>
    <t>Lot 272593</t>
  </si>
  <si>
    <t>SO0003810</t>
  </si>
  <si>
    <t>Lot 273279</t>
  </si>
  <si>
    <t>SO0003839</t>
  </si>
  <si>
    <t>Lot 269936</t>
  </si>
  <si>
    <t>Lot 276576</t>
  </si>
  <si>
    <t>SO0003871</t>
  </si>
  <si>
    <t>Lot 276581</t>
  </si>
  <si>
    <t>SO0003875</t>
  </si>
  <si>
    <t>Lot 277722</t>
  </si>
  <si>
    <t>SO0003894</t>
  </si>
  <si>
    <t>Lot 278304</t>
  </si>
  <si>
    <t>Lot 278560</t>
  </si>
  <si>
    <t>Lot 279982</t>
  </si>
  <si>
    <t>SO0003942</t>
  </si>
  <si>
    <t>Lot 280321</t>
  </si>
  <si>
    <t>Lot 280397</t>
  </si>
  <si>
    <t>SO0003953</t>
  </si>
  <si>
    <t>Lot 280820</t>
  </si>
  <si>
    <t>SO0003960</t>
  </si>
  <si>
    <t>Lot 007560</t>
  </si>
  <si>
    <t>Lot 014682</t>
  </si>
  <si>
    <t>Lot 027167</t>
  </si>
  <si>
    <t>Lot 032206</t>
  </si>
  <si>
    <t>360SO0003913</t>
  </si>
  <si>
    <t>Lot 033375</t>
  </si>
  <si>
    <t>360SO0004017</t>
  </si>
  <si>
    <t>Lot 033559</t>
  </si>
  <si>
    <t>360SO0004021</t>
  </si>
  <si>
    <t>Lot 033563</t>
  </si>
  <si>
    <t>SO0000595</t>
  </si>
  <si>
    <t>Lot 039603</t>
  </si>
  <si>
    <t>360364ApP0000068</t>
  </si>
  <si>
    <t>Lot 040032</t>
  </si>
  <si>
    <t>Lot 056604</t>
  </si>
  <si>
    <t>Lot 071531</t>
  </si>
  <si>
    <t>360364ApP0000288</t>
  </si>
  <si>
    <t>Lot 082239</t>
  </si>
  <si>
    <t>Lot 097001</t>
  </si>
  <si>
    <t>SO0001569</t>
  </si>
  <si>
    <t>Lot 098666</t>
  </si>
  <si>
    <t>SO0001591</t>
  </si>
  <si>
    <t>Lot 106445</t>
  </si>
  <si>
    <t>SO0001693</t>
  </si>
  <si>
    <t>Lot 106448</t>
  </si>
  <si>
    <t>SO0001695</t>
  </si>
  <si>
    <t>Lot 107264</t>
  </si>
  <si>
    <t>SO0001715</t>
  </si>
  <si>
    <t>Lot 107818</t>
  </si>
  <si>
    <t>SO0001735</t>
  </si>
  <si>
    <t>Lot 122659</t>
  </si>
  <si>
    <t>360364ApP0000575</t>
  </si>
  <si>
    <t>Lot 126744</t>
  </si>
  <si>
    <t>SO0002052</t>
  </si>
  <si>
    <t>Lot 194221</t>
  </si>
  <si>
    <t>Lot 199681</t>
  </si>
  <si>
    <t>360364ApP0000934</t>
  </si>
  <si>
    <t>Lot 204265</t>
  </si>
  <si>
    <t>Lot 204376</t>
  </si>
  <si>
    <t>Lot 204789</t>
  </si>
  <si>
    <t>Lot 227200</t>
  </si>
  <si>
    <t>360364ApP0001019</t>
  </si>
  <si>
    <t>Lot 240344</t>
  </si>
  <si>
    <t>Lot 259429</t>
  </si>
  <si>
    <t>360364ApP0001123</t>
  </si>
  <si>
    <t>Lot 264681</t>
  </si>
  <si>
    <t>360364ApP0001142</t>
  </si>
  <si>
    <t>Lot 269321</t>
  </si>
  <si>
    <t>Lot 271007</t>
  </si>
  <si>
    <t>Lot 270076</t>
  </si>
  <si>
    <t>360364ApP0001156</t>
  </si>
  <si>
    <t>Lot 276568</t>
  </si>
  <si>
    <t>360364ApP0001190</t>
  </si>
  <si>
    <t>Lot 277709</t>
  </si>
  <si>
    <t>360366ApP0000611</t>
  </si>
  <si>
    <t>Lot 278154</t>
  </si>
  <si>
    <t>360369ApP0001014</t>
  </si>
  <si>
    <t>Lot 278504</t>
  </si>
  <si>
    <t>360364ApP0001209</t>
  </si>
  <si>
    <t>Lot 278727</t>
  </si>
  <si>
    <t>360ApP0006924</t>
  </si>
  <si>
    <t>Lot 278995</t>
  </si>
  <si>
    <t>360ApP0006776</t>
  </si>
  <si>
    <t>Lot 279458</t>
  </si>
  <si>
    <t>360366ApP0000616</t>
  </si>
  <si>
    <t>Lot 280067</t>
  </si>
  <si>
    <t>Lot 280813</t>
  </si>
  <si>
    <t>Lot 002060</t>
  </si>
  <si>
    <t>SO0000021</t>
  </si>
  <si>
    <t>Lot 002496</t>
  </si>
  <si>
    <t>SO0000027</t>
  </si>
  <si>
    <t>Lot 002642</t>
  </si>
  <si>
    <t>SO0000034</t>
  </si>
  <si>
    <t>Lot 002644</t>
  </si>
  <si>
    <t>SO0000035</t>
  </si>
  <si>
    <t>Lot 003278</t>
  </si>
  <si>
    <t>Lot 008462</t>
  </si>
  <si>
    <t>SO0000069</t>
  </si>
  <si>
    <t>Lot 009674</t>
  </si>
  <si>
    <t>Lot 010853</t>
  </si>
  <si>
    <t>SO0000080</t>
  </si>
  <si>
    <t>Lot 010883</t>
  </si>
  <si>
    <t>SO0000084</t>
  </si>
  <si>
    <t>Lot 010893</t>
  </si>
  <si>
    <t>SO0000086</t>
  </si>
  <si>
    <t>Lot 010901</t>
  </si>
  <si>
    <t>SO0000088</t>
  </si>
  <si>
    <t>Lot 010907</t>
  </si>
  <si>
    <t>SO0000089</t>
  </si>
  <si>
    <t>Lot 010913</t>
  </si>
  <si>
    <t>SO0000092</t>
  </si>
  <si>
    <t>Lot 011042</t>
  </si>
  <si>
    <t>SO0000094</t>
  </si>
  <si>
    <t>Lot 012560</t>
  </si>
  <si>
    <t>SO0000101</t>
  </si>
  <si>
    <t>Lot 012566</t>
  </si>
  <si>
    <t>SO0000103</t>
  </si>
  <si>
    <t>Lot 012570</t>
  </si>
  <si>
    <t>SO0000105</t>
  </si>
  <si>
    <t>Lot 012944</t>
  </si>
  <si>
    <t>Lot 012943</t>
  </si>
  <si>
    <t>SO0000120</t>
  </si>
  <si>
    <t>Lot 012972</t>
  </si>
  <si>
    <t>SO0000126</t>
  </si>
  <si>
    <t>Lot 013014</t>
  </si>
  <si>
    <t>SO0000130</t>
  </si>
  <si>
    <t>Lot 013339</t>
  </si>
  <si>
    <t>SO0000134</t>
  </si>
  <si>
    <t>Lot 014243</t>
  </si>
  <si>
    <t>SO0000167</t>
  </si>
  <si>
    <t>Lot 014245</t>
  </si>
  <si>
    <t>SO0000168</t>
  </si>
  <si>
    <t>Lot 013540</t>
  </si>
  <si>
    <t>SO0000146</t>
  </si>
  <si>
    <t>Lot 014183</t>
  </si>
  <si>
    <t>Lot 014211</t>
  </si>
  <si>
    <t>SO0000162</t>
  </si>
  <si>
    <t>Lot 014212</t>
  </si>
  <si>
    <t>SO0000163</t>
  </si>
  <si>
    <t>Lot 014251</t>
  </si>
  <si>
    <t>SO0000171</t>
  </si>
  <si>
    <t>Lot 014313</t>
  </si>
  <si>
    <t>SO0000184</t>
  </si>
  <si>
    <t>Lot 014282</t>
  </si>
  <si>
    <t>SO0000179</t>
  </si>
  <si>
    <t>Lot 014330</t>
  </si>
  <si>
    <t>Lot 014287</t>
  </si>
  <si>
    <t>SO0000181</t>
  </si>
  <si>
    <t>Lot 014328</t>
  </si>
  <si>
    <t>SO0000189</t>
  </si>
  <si>
    <t>Lot 014619</t>
  </si>
  <si>
    <t>Lot 014715</t>
  </si>
  <si>
    <t>SO0000203</t>
  </si>
  <si>
    <t>Lot 014717</t>
  </si>
  <si>
    <t>SO0000204</t>
  </si>
  <si>
    <t>Lot 015255</t>
  </si>
  <si>
    <t>SO0000211</t>
  </si>
  <si>
    <t>Lot 015346</t>
  </si>
  <si>
    <t>SO0000218</t>
  </si>
  <si>
    <t>Lot 015347</t>
  </si>
  <si>
    <t>SO0000219</t>
  </si>
  <si>
    <t>Lot 018194</t>
  </si>
  <si>
    <t>SO0000223</t>
  </si>
  <si>
    <t>Lot 018236</t>
  </si>
  <si>
    <t>SO0000226</t>
  </si>
  <si>
    <t>Lot 018569</t>
  </si>
  <si>
    <t>SO0000251</t>
  </si>
  <si>
    <t>Lot 018475</t>
  </si>
  <si>
    <t>Lot 018715</t>
  </si>
  <si>
    <t>Lot 018810</t>
  </si>
  <si>
    <t>SO0000268</t>
  </si>
  <si>
    <t>Lot 018656</t>
  </si>
  <si>
    <t>SO0000263</t>
  </si>
  <si>
    <t>Lot 018773</t>
  </si>
  <si>
    <t>SO0000267</t>
  </si>
  <si>
    <t>Lot 018841</t>
  </si>
  <si>
    <t>SO0000270</t>
  </si>
  <si>
    <t>Lot 018753</t>
  </si>
  <si>
    <t>SO0000266</t>
  </si>
  <si>
    <t>Lot 018596</t>
  </si>
  <si>
    <t>SO0000255</t>
  </si>
  <si>
    <t>Lot 018606</t>
  </si>
  <si>
    <t>SO0000256</t>
  </si>
  <si>
    <t>Lot 018920</t>
  </si>
  <si>
    <t>Lot 018817</t>
  </si>
  <si>
    <t>360369ApP0000076</t>
  </si>
  <si>
    <t>Lot 020130</t>
  </si>
  <si>
    <t>SO0000282</t>
  </si>
  <si>
    <t>Lot 020131</t>
  </si>
  <si>
    <t>SO0000283</t>
  </si>
  <si>
    <t>Lot 020132</t>
  </si>
  <si>
    <t>SO0000284</t>
  </si>
  <si>
    <t>Lot 024494</t>
  </si>
  <si>
    <t>Lot 024471</t>
  </si>
  <si>
    <t>Lot 024099</t>
  </si>
  <si>
    <t>SO0000287</t>
  </si>
  <si>
    <t>Lot 024100</t>
  </si>
  <si>
    <t>SO0000288</t>
  </si>
  <si>
    <t>Lot 024101</t>
  </si>
  <si>
    <t>SO0000289</t>
  </si>
  <si>
    <t>Lot 024106</t>
  </si>
  <si>
    <t>SO0000292</t>
  </si>
  <si>
    <t>Lot 024188</t>
  </si>
  <si>
    <t>SO0000296</t>
  </si>
  <si>
    <t>Lot 024071</t>
  </si>
  <si>
    <t>Lot 024885</t>
  </si>
  <si>
    <t>SO0000310</t>
  </si>
  <si>
    <t>Lot 025180</t>
  </si>
  <si>
    <t>Lot 025189</t>
  </si>
  <si>
    <t>SO0000319</t>
  </si>
  <si>
    <t>Lot 025191</t>
  </si>
  <si>
    <t>360365ApP0000141</t>
  </si>
  <si>
    <t>Lot 025214</t>
  </si>
  <si>
    <t>SO0000323</t>
  </si>
  <si>
    <t>Lot 025215</t>
  </si>
  <si>
    <t>SO0000324</t>
  </si>
  <si>
    <t>Lot 025216</t>
  </si>
  <si>
    <t>SO0000325</t>
  </si>
  <si>
    <t>Lot 025379</t>
  </si>
  <si>
    <t>SO0000332</t>
  </si>
  <si>
    <t>Lot 025415</t>
  </si>
  <si>
    <t>SO0000341</t>
  </si>
  <si>
    <t>Lot 025417</t>
  </si>
  <si>
    <t>SO0000342</t>
  </si>
  <si>
    <t>Lot 025382</t>
  </si>
  <si>
    <t>Lot 025432</t>
  </si>
  <si>
    <t>Lot 025421</t>
  </si>
  <si>
    <t>SO0000343</t>
  </si>
  <si>
    <t>Lot 025426</t>
  </si>
  <si>
    <t>SO0000345</t>
  </si>
  <si>
    <t>Lot 025430</t>
  </si>
  <si>
    <t>SO0000347</t>
  </si>
  <si>
    <t>Lot 025774</t>
  </si>
  <si>
    <t>SO0000361</t>
  </si>
  <si>
    <t>Lot 025786</t>
  </si>
  <si>
    <t>SO0000365</t>
  </si>
  <si>
    <t>Lot 025787</t>
  </si>
  <si>
    <t>SO0000366</t>
  </si>
  <si>
    <t>Lot 025790</t>
  </si>
  <si>
    <t>SO0000368</t>
  </si>
  <si>
    <t>Lot 025733</t>
  </si>
  <si>
    <t>SO0000358</t>
  </si>
  <si>
    <t>Lot 025712</t>
  </si>
  <si>
    <t>Lot 025858</t>
  </si>
  <si>
    <t>SO0000376</t>
  </si>
  <si>
    <t>Lot 025880</t>
  </si>
  <si>
    <t>SO0000380</t>
  </si>
  <si>
    <t>Lot 025887</t>
  </si>
  <si>
    <t>SO0000381</t>
  </si>
  <si>
    <t>Lot 025949</t>
  </si>
  <si>
    <t>Lot 025950</t>
  </si>
  <si>
    <t>SO0000386</t>
  </si>
  <si>
    <t>Lot 025957</t>
  </si>
  <si>
    <t>SO0000390</t>
  </si>
  <si>
    <t>Lot 026037</t>
  </si>
  <si>
    <t>SO0000392</t>
  </si>
  <si>
    <t>Lot 026043</t>
  </si>
  <si>
    <t>360366ApP0000029</t>
  </si>
  <si>
    <t>Lot 026305</t>
  </si>
  <si>
    <t>SO0000409</t>
  </si>
  <si>
    <t>Lot 026070</t>
  </si>
  <si>
    <t>360366ApP0000033</t>
  </si>
  <si>
    <t>Lot 026204</t>
  </si>
  <si>
    <t>SO0000401</t>
  </si>
  <si>
    <t>Lot 026202</t>
  </si>
  <si>
    <t>SO0000400</t>
  </si>
  <si>
    <t>Lot 026314</t>
  </si>
  <si>
    <t>SO0000410</t>
  </si>
  <si>
    <t>Lot 026372</t>
  </si>
  <si>
    <t>SO0000413</t>
  </si>
  <si>
    <t>Lot 026467</t>
  </si>
  <si>
    <t>SO0000421</t>
  </si>
  <si>
    <t>Lot 026512</t>
  </si>
  <si>
    <t>SO0000426</t>
  </si>
  <si>
    <t>Lot 026513</t>
  </si>
  <si>
    <t>SO0000427</t>
  </si>
  <si>
    <t>Lot 026514</t>
  </si>
  <si>
    <t>SO0000428</t>
  </si>
  <si>
    <t>Lot 026596</t>
  </si>
  <si>
    <t>SO0000434</t>
  </si>
  <si>
    <t>Lot 026805</t>
  </si>
  <si>
    <t>SO0000444</t>
  </si>
  <si>
    <t>Lot 026808</t>
  </si>
  <si>
    <t>SO0000445</t>
  </si>
  <si>
    <t>Lot 026975</t>
  </si>
  <si>
    <t>SO0000454</t>
  </si>
  <si>
    <t>Lot 027440</t>
  </si>
  <si>
    <t>SO0000465</t>
  </si>
  <si>
    <t>Lot 027835</t>
  </si>
  <si>
    <t>Lot 027479</t>
  </si>
  <si>
    <t>SO0000467</t>
  </si>
  <si>
    <t>Lot 027480</t>
  </si>
  <si>
    <t>SO0000468</t>
  </si>
  <si>
    <t>Lot 027442</t>
  </si>
  <si>
    <t>SO0000466</t>
  </si>
  <si>
    <t>Lot 027612</t>
  </si>
  <si>
    <t>SO0000474</t>
  </si>
  <si>
    <t>Lot 027661</t>
  </si>
  <si>
    <t>360366ApP0000061</t>
  </si>
  <si>
    <t>Lot 027136</t>
  </si>
  <si>
    <t>Lot 027979</t>
  </si>
  <si>
    <t>SO0000483</t>
  </si>
  <si>
    <t>Lot 027984</t>
  </si>
  <si>
    <t>SO0000486</t>
  </si>
  <si>
    <t>Lot 027994</t>
  </si>
  <si>
    <t>SO0000492</t>
  </si>
  <si>
    <t>Lot 028001</t>
  </si>
  <si>
    <t>SO0000495</t>
  </si>
  <si>
    <t>Lot 028051</t>
  </si>
  <si>
    <t>SO0000498</t>
  </si>
  <si>
    <t>Lot 028105</t>
  </si>
  <si>
    <t>SO0000500</t>
  </si>
  <si>
    <t>Lot 028229</t>
  </si>
  <si>
    <t>SO0000504</t>
  </si>
  <si>
    <t>Lot 028234</t>
  </si>
  <si>
    <t>SO0000507</t>
  </si>
  <si>
    <t>Lot 028558</t>
  </si>
  <si>
    <t>Lot 028560</t>
  </si>
  <si>
    <t>SO0000514</t>
  </si>
  <si>
    <t>Lot 028563</t>
  </si>
  <si>
    <t>Lot 028618</t>
  </si>
  <si>
    <t>SO0000516</t>
  </si>
  <si>
    <t>Lot 028663</t>
  </si>
  <si>
    <t>SO0000519</t>
  </si>
  <si>
    <t>Lot 028905</t>
  </si>
  <si>
    <t>SO0000526</t>
  </si>
  <si>
    <t>Lot 028836</t>
  </si>
  <si>
    <t>Lot 029037</t>
  </si>
  <si>
    <t>SO0000528</t>
  </si>
  <si>
    <t>Lot 032561</t>
  </si>
  <si>
    <t>SO0000548</t>
  </si>
  <si>
    <t>Lot 032552</t>
  </si>
  <si>
    <t>Lot 032214</t>
  </si>
  <si>
    <t>Lot 032607</t>
  </si>
  <si>
    <t>Lot 032654</t>
  </si>
  <si>
    <t>Lot 032763</t>
  </si>
  <si>
    <t>Lot 032899</t>
  </si>
  <si>
    <t>Lot 032203</t>
  </si>
  <si>
    <t>Lot 032205</t>
  </si>
  <si>
    <t>Lot 032539</t>
  </si>
  <si>
    <t>SO0000535</t>
  </si>
  <si>
    <t>Lot 032540</t>
  </si>
  <si>
    <t>SO0000536</t>
  </si>
  <si>
    <t>Lot 032542</t>
  </si>
  <si>
    <t>Lot 032543</t>
  </si>
  <si>
    <t>Lot 032550</t>
  </si>
  <si>
    <t>SO0000541</t>
  </si>
  <si>
    <t>Lot 032613</t>
  </si>
  <si>
    <t>Lot 033045</t>
  </si>
  <si>
    <t>Lot 032560</t>
  </si>
  <si>
    <t>SO0000547</t>
  </si>
  <si>
    <t>Lot 032584</t>
  </si>
  <si>
    <t>Lot 032585</t>
  </si>
  <si>
    <t>SO0000552</t>
  </si>
  <si>
    <t>Lot 033012</t>
  </si>
  <si>
    <t>SO0000570</t>
  </si>
  <si>
    <t>Lot 032903</t>
  </si>
  <si>
    <t>SO0000566</t>
  </si>
  <si>
    <t>Lot 033351</t>
  </si>
  <si>
    <t>SO0000578</t>
  </si>
  <si>
    <t>Lot 033354</t>
  </si>
  <si>
    <t>Lot 033363</t>
  </si>
  <si>
    <t>Lot 033358</t>
  </si>
  <si>
    <t>SO0000582</t>
  </si>
  <si>
    <t>Lot 033545</t>
  </si>
  <si>
    <t>Lot 033673</t>
  </si>
  <si>
    <t>Lot 033675</t>
  </si>
  <si>
    <t>SO0000603</t>
  </si>
  <si>
    <t>Lot 033985</t>
  </si>
  <si>
    <t>Lot 034740</t>
  </si>
  <si>
    <t>SO0000608</t>
  </si>
  <si>
    <t>Lot 034920</t>
  </si>
  <si>
    <t>SO0000619</t>
  </si>
  <si>
    <t>Lot 034923</t>
  </si>
  <si>
    <t>SO0000621</t>
  </si>
  <si>
    <t>Lot 034924</t>
  </si>
  <si>
    <t>SO0000622</t>
  </si>
  <si>
    <t>Lot 035094</t>
  </si>
  <si>
    <t>SO0000630</t>
  </si>
  <si>
    <t>Lot 035160</t>
  </si>
  <si>
    <t>SO0000638</t>
  </si>
  <si>
    <t>Lot 035165</t>
  </si>
  <si>
    <t>SO0000641</t>
  </si>
  <si>
    <t>Lot 035354</t>
  </si>
  <si>
    <t>SO0000643</t>
  </si>
  <si>
    <t>Lot 035356</t>
  </si>
  <si>
    <t>SO0000644</t>
  </si>
  <si>
    <t>Lot 035360</t>
  </si>
  <si>
    <t>SO0000648</t>
  </si>
  <si>
    <t>Lot 035550</t>
  </si>
  <si>
    <t>SO0000652</t>
  </si>
  <si>
    <t>Lot 035633</t>
  </si>
  <si>
    <t>SO0000653</t>
  </si>
  <si>
    <t>Lot 035638</t>
  </si>
  <si>
    <t>SO0000658</t>
  </si>
  <si>
    <t>Lot 035793</t>
  </si>
  <si>
    <t>SO0000659</t>
  </si>
  <si>
    <t>Lot 035835</t>
  </si>
  <si>
    <t>SO0000661</t>
  </si>
  <si>
    <t>Lot 035947</t>
  </si>
  <si>
    <t>SO0000665</t>
  </si>
  <si>
    <t>Lot 035948</t>
  </si>
  <si>
    <t>SO0000666</t>
  </si>
  <si>
    <t>Lot 036043</t>
  </si>
  <si>
    <t>SO0000667</t>
  </si>
  <si>
    <t>Lot 036112</t>
  </si>
  <si>
    <t>SO0000670</t>
  </si>
  <si>
    <t>Lot 036113</t>
  </si>
  <si>
    <t>Lot 036116</t>
  </si>
  <si>
    <t>SO0000671</t>
  </si>
  <si>
    <t>Lot 036152</t>
  </si>
  <si>
    <t>SO0000672</t>
  </si>
  <si>
    <t>Lot 036307</t>
  </si>
  <si>
    <t>SO0000676</t>
  </si>
  <si>
    <t>Lot 036439</t>
  </si>
  <si>
    <t>SO0000681</t>
  </si>
  <si>
    <t>Lot 036442</t>
  </si>
  <si>
    <t>SO0000684</t>
  </si>
  <si>
    <t>Lot 036476</t>
  </si>
  <si>
    <t>Lot 036526</t>
  </si>
  <si>
    <t>SO0000687</t>
  </si>
  <si>
    <t>Lot 036573</t>
  </si>
  <si>
    <t>Lot 036858</t>
  </si>
  <si>
    <t>Lot 036925</t>
  </si>
  <si>
    <t>Lot 036961</t>
  </si>
  <si>
    <t>SO0000707</t>
  </si>
  <si>
    <t>Lot 039202</t>
  </si>
  <si>
    <t>360365ApP0000183</t>
  </si>
  <si>
    <t>Lot 039595</t>
  </si>
  <si>
    <t>360364ApP0000064</t>
  </si>
  <si>
    <t>Lot 039806</t>
  </si>
  <si>
    <t>SO0000736</t>
  </si>
  <si>
    <t>Lot 041133</t>
  </si>
  <si>
    <t>SO0000752</t>
  </si>
  <si>
    <t>Lot 041165</t>
  </si>
  <si>
    <t>Lot 041711</t>
  </si>
  <si>
    <t>SO0000763</t>
  </si>
  <si>
    <t>Lot 041712</t>
  </si>
  <si>
    <t>SO0000764</t>
  </si>
  <si>
    <t>Lot 041715</t>
  </si>
  <si>
    <t>SO0000765</t>
  </si>
  <si>
    <t>Lot 041719</t>
  </si>
  <si>
    <t>SO0000769</t>
  </si>
  <si>
    <t>Lot 041720</t>
  </si>
  <si>
    <t>Lot 041721</t>
  </si>
  <si>
    <t>SO0000771</t>
  </si>
  <si>
    <t>Lot 041741</t>
  </si>
  <si>
    <t>SO0000773</t>
  </si>
  <si>
    <t>Lot 041746</t>
  </si>
  <si>
    <t>SO0000774</t>
  </si>
  <si>
    <t>Lot 041747</t>
  </si>
  <si>
    <t>Lot 041788</t>
  </si>
  <si>
    <t>SO0000781</t>
  </si>
  <si>
    <t>Lot 043984</t>
  </si>
  <si>
    <t>SO0000796</t>
  </si>
  <si>
    <t>Lot 043977</t>
  </si>
  <si>
    <t>SO0000790</t>
  </si>
  <si>
    <t>Lot 044009</t>
  </si>
  <si>
    <t>SO0000800</t>
  </si>
  <si>
    <t>Lot 045018</t>
  </si>
  <si>
    <t>SO0000805</t>
  </si>
  <si>
    <t>Lot 043801</t>
  </si>
  <si>
    <t>Lot 044979</t>
  </si>
  <si>
    <t>SO0000803</t>
  </si>
  <si>
    <t>Lot 044053</t>
  </si>
  <si>
    <t>360366ApP0000125</t>
  </si>
  <si>
    <t>Lot 045019</t>
  </si>
  <si>
    <t>360369ApP0000172</t>
  </si>
  <si>
    <t>Lot 045023</t>
  </si>
  <si>
    <t>Lot 045027</t>
  </si>
  <si>
    <t>SO0000806</t>
  </si>
  <si>
    <t>Lot 045047</t>
  </si>
  <si>
    <t>360369ApP0000174</t>
  </si>
  <si>
    <t>Lot 045056</t>
  </si>
  <si>
    <t>SO0000812</t>
  </si>
  <si>
    <t>Lot 045064</t>
  </si>
  <si>
    <t>SO0000817</t>
  </si>
  <si>
    <t>Lot 045052</t>
  </si>
  <si>
    <t>SO0000810</t>
  </si>
  <si>
    <t>Lot 045112</t>
  </si>
  <si>
    <t>SO0000822</t>
  </si>
  <si>
    <t>Lot 045121</t>
  </si>
  <si>
    <t>SO0000826</t>
  </si>
  <si>
    <t>Lot 045196</t>
  </si>
  <si>
    <t>360369ApP0000180</t>
  </si>
  <si>
    <t>Lot 045360</t>
  </si>
  <si>
    <t>SO0000837</t>
  </si>
  <si>
    <t>Lot 045192</t>
  </si>
  <si>
    <t>360365ApP0000254</t>
  </si>
  <si>
    <t>Lot 045429</t>
  </si>
  <si>
    <t>Lot 045764</t>
  </si>
  <si>
    <t>SO0000859</t>
  </si>
  <si>
    <t>Lot 046140</t>
  </si>
  <si>
    <t>SO0000864</t>
  </si>
  <si>
    <t>Lot 046558</t>
  </si>
  <si>
    <t>SO0000876</t>
  </si>
  <si>
    <t>Lot 046161</t>
  </si>
  <si>
    <t>Lot 045450</t>
  </si>
  <si>
    <t>360364ApP0000174</t>
  </si>
  <si>
    <t>Lot 046250</t>
  </si>
  <si>
    <t>Lot 046222</t>
  </si>
  <si>
    <t>360366ApP0000135</t>
  </si>
  <si>
    <t>Lot 046678</t>
  </si>
  <si>
    <t>SO0000880</t>
  </si>
  <si>
    <t>Lot 047118</t>
  </si>
  <si>
    <t>SO0000885</t>
  </si>
  <si>
    <t>Lot 046218</t>
  </si>
  <si>
    <t>Lot 048137</t>
  </si>
  <si>
    <t>SO0000944</t>
  </si>
  <si>
    <t>Lot 046594</t>
  </si>
  <si>
    <t>360369ApP0000193</t>
  </si>
  <si>
    <t>Lot 047142</t>
  </si>
  <si>
    <t>Lot 047230</t>
  </si>
  <si>
    <t>SO0000893</t>
  </si>
  <si>
    <t>Lot 047359</t>
  </si>
  <si>
    <t>Lot 047551</t>
  </si>
  <si>
    <t>SO0000910</t>
  </si>
  <si>
    <t>Lot 047589</t>
  </si>
  <si>
    <t>Lot 047646</t>
  </si>
  <si>
    <t>Lot 047647</t>
  </si>
  <si>
    <t>Lot 047654</t>
  </si>
  <si>
    <t>Lot 047817</t>
  </si>
  <si>
    <t>Lot 047819</t>
  </si>
  <si>
    <t>Lot 047836</t>
  </si>
  <si>
    <t>SO0000920</t>
  </si>
  <si>
    <t>Lot 047845</t>
  </si>
  <si>
    <t>SO0000928</t>
  </si>
  <si>
    <t>Lot 047976</t>
  </si>
  <si>
    <t>SO0000931</t>
  </si>
  <si>
    <t>Lot 047990</t>
  </si>
  <si>
    <t>Lot 047989</t>
  </si>
  <si>
    <t>SO0000933</t>
  </si>
  <si>
    <t>Lot 048135</t>
  </si>
  <si>
    <t>SO0000942</t>
  </si>
  <si>
    <t>Lot 048136</t>
  </si>
  <si>
    <t>SO0000943</t>
  </si>
  <si>
    <t>Lot 048168</t>
  </si>
  <si>
    <t>SO0000946</t>
  </si>
  <si>
    <t>Lot 048172</t>
  </si>
  <si>
    <t>SO0000947</t>
  </si>
  <si>
    <t>Lot 048196</t>
  </si>
  <si>
    <t>SO0000950</t>
  </si>
  <si>
    <t>Lot 048273</t>
  </si>
  <si>
    <t>SO0000952</t>
  </si>
  <si>
    <t>Lot 051989</t>
  </si>
  <si>
    <t>Lot 052053</t>
  </si>
  <si>
    <t>SO0000957</t>
  </si>
  <si>
    <t>Lot 052332</t>
  </si>
  <si>
    <t>Lot 052054</t>
  </si>
  <si>
    <t>SO0000958</t>
  </si>
  <si>
    <t>Lot 052051</t>
  </si>
  <si>
    <t>SO0000955</t>
  </si>
  <si>
    <t>Lot 052046</t>
  </si>
  <si>
    <t>Lot 047080</t>
  </si>
  <si>
    <t>Lot 052686</t>
  </si>
  <si>
    <t>SO0000971</t>
  </si>
  <si>
    <t>Lot 053947</t>
  </si>
  <si>
    <t>SO0000978</t>
  </si>
  <si>
    <t>Lot 054370</t>
  </si>
  <si>
    <t>SO0000986</t>
  </si>
  <si>
    <t>Lot 054426</t>
  </si>
  <si>
    <t>SO0000987</t>
  </si>
  <si>
    <t>Lot 054369</t>
  </si>
  <si>
    <t>SO0000985</t>
  </si>
  <si>
    <t>Lot 054455</t>
  </si>
  <si>
    <t>Lot 054366</t>
  </si>
  <si>
    <t>SO0000983</t>
  </si>
  <si>
    <t>Lot 054938</t>
  </si>
  <si>
    <t>SO0001000</t>
  </si>
  <si>
    <t>Lot 055046</t>
  </si>
  <si>
    <t>SO0001013</t>
  </si>
  <si>
    <t>Lot 047977</t>
  </si>
  <si>
    <t>360364ApP0000226</t>
  </si>
  <si>
    <t>Lot 055107</t>
  </si>
  <si>
    <t>SO0001017</t>
  </si>
  <si>
    <t>Lot 055105</t>
  </si>
  <si>
    <t>SO0001016</t>
  </si>
  <si>
    <t>Lot 055130</t>
  </si>
  <si>
    <t>Lot 055132</t>
  </si>
  <si>
    <t>Lot 055205</t>
  </si>
  <si>
    <t>SO0001029</t>
  </si>
  <si>
    <t>Lot 047979</t>
  </si>
  <si>
    <t>360364ApP0000228</t>
  </si>
  <si>
    <t>Lot 052010</t>
  </si>
  <si>
    <t>360366ApP0000148</t>
  </si>
  <si>
    <t>Lot 056796</t>
  </si>
  <si>
    <t>Lot 058818</t>
  </si>
  <si>
    <t>360364ApP0000262</t>
  </si>
  <si>
    <t>Lot 054448</t>
  </si>
  <si>
    <t>Lot 055777</t>
  </si>
  <si>
    <t>SO0001035</t>
  </si>
  <si>
    <t>Lot 058817</t>
  </si>
  <si>
    <t>360364ApP0000261</t>
  </si>
  <si>
    <t>Lot 056790</t>
  </si>
  <si>
    <t>SO0001043</t>
  </si>
  <si>
    <t>Lot 056792</t>
  </si>
  <si>
    <t>SO0001045</t>
  </si>
  <si>
    <t>Lot 057474</t>
  </si>
  <si>
    <t>SO0001055</t>
  </si>
  <si>
    <t>Lot 058458</t>
  </si>
  <si>
    <t>Lot 057991</t>
  </si>
  <si>
    <t>SO0001059</t>
  </si>
  <si>
    <t>Lot 058457</t>
  </si>
  <si>
    <t>SO0001062</t>
  </si>
  <si>
    <t>Lot 058464</t>
  </si>
  <si>
    <t>SO0001065</t>
  </si>
  <si>
    <t>Lot 058455</t>
  </si>
  <si>
    <t>360ApP0002181</t>
  </si>
  <si>
    <t>Lot 058704</t>
  </si>
  <si>
    <t>Lot 058708</t>
  </si>
  <si>
    <t>SO0001072</t>
  </si>
  <si>
    <t>Lot 058709</t>
  </si>
  <si>
    <t>SO0001073</t>
  </si>
  <si>
    <t>Lot 059231</t>
  </si>
  <si>
    <t>SO0001081</t>
  </si>
  <si>
    <t>Lot 059163</t>
  </si>
  <si>
    <t>SO0001077</t>
  </si>
  <si>
    <t>Lot 059182</t>
  </si>
  <si>
    <t>SO0001078</t>
  </si>
  <si>
    <t>Lot 059183</t>
  </si>
  <si>
    <t>SO0001079</t>
  </si>
  <si>
    <t>Lot 059449</t>
  </si>
  <si>
    <t>SO0001087</t>
  </si>
  <si>
    <t>Lot 059932</t>
  </si>
  <si>
    <t>Lot 059926</t>
  </si>
  <si>
    <t>SO0001093</t>
  </si>
  <si>
    <t>Lot 060154</t>
  </si>
  <si>
    <t>Lot 061364</t>
  </si>
  <si>
    <t>Lot 061700</t>
  </si>
  <si>
    <t>Lot 061701</t>
  </si>
  <si>
    <t>SO0001124</t>
  </si>
  <si>
    <t>Lot 062145</t>
  </si>
  <si>
    <t>SO0001139</t>
  </si>
  <si>
    <t>Lot 062144</t>
  </si>
  <si>
    <t>SO0001138</t>
  </si>
  <si>
    <t>Lot 062360</t>
  </si>
  <si>
    <t>SO0001141</t>
  </si>
  <si>
    <t>Lot 062758</t>
  </si>
  <si>
    <t>SO0001152</t>
  </si>
  <si>
    <t>Lot 062760</t>
  </si>
  <si>
    <t>SO0001154</t>
  </si>
  <si>
    <t>Lot 061250</t>
  </si>
  <si>
    <t>360365ApP0000293</t>
  </si>
  <si>
    <t>Lot 063360</t>
  </si>
  <si>
    <t>Lot 063361</t>
  </si>
  <si>
    <t>SO0001159</t>
  </si>
  <si>
    <t>Lot 063334</t>
  </si>
  <si>
    <t>SO0001156</t>
  </si>
  <si>
    <t>Lot 063418</t>
  </si>
  <si>
    <t>SO0001162</t>
  </si>
  <si>
    <t>Lot 064015</t>
  </si>
  <si>
    <t>SO0001166</t>
  </si>
  <si>
    <t>Lot 064016</t>
  </si>
  <si>
    <t>SO0001167</t>
  </si>
  <si>
    <t>Lot 064018</t>
  </si>
  <si>
    <t>SO0001170</t>
  </si>
  <si>
    <t>Lot 064676</t>
  </si>
  <si>
    <t>SO0001180</t>
  </si>
  <si>
    <t>Lot 064680</t>
  </si>
  <si>
    <t>SO0001184</t>
  </si>
  <si>
    <t>Lot 064681</t>
  </si>
  <si>
    <t>SO0001185</t>
  </si>
  <si>
    <t>Lot 064683</t>
  </si>
  <si>
    <t>SO0001186</t>
  </si>
  <si>
    <t>Lot 064926</t>
  </si>
  <si>
    <t>SO0001188</t>
  </si>
  <si>
    <t>Lot 065164</t>
  </si>
  <si>
    <t>SO0001197</t>
  </si>
  <si>
    <t>Lot 068065</t>
  </si>
  <si>
    <t>SO0001205</t>
  </si>
  <si>
    <t>Lot 068104</t>
  </si>
  <si>
    <t>SO0001211</t>
  </si>
  <si>
    <t>Lot 068451</t>
  </si>
  <si>
    <t>SO0001221</t>
  </si>
  <si>
    <t>Lot 068452</t>
  </si>
  <si>
    <t>SO0001222</t>
  </si>
  <si>
    <t>Lot 069097</t>
  </si>
  <si>
    <t>SO0001228</t>
  </si>
  <si>
    <t>Lot 070258</t>
  </si>
  <si>
    <t>SO0001255</t>
  </si>
  <si>
    <t>Lot 069282</t>
  </si>
  <si>
    <t>SO0001232</t>
  </si>
  <si>
    <t>Lot 069283</t>
  </si>
  <si>
    <t>SO0001233</t>
  </si>
  <si>
    <t>Lot 069284</t>
  </si>
  <si>
    <t>SO0001234</t>
  </si>
  <si>
    <t>Lot 070181</t>
  </si>
  <si>
    <t>Lot 070183</t>
  </si>
  <si>
    <t>SO0001253</t>
  </si>
  <si>
    <t>Lot 069305</t>
  </si>
  <si>
    <t>Lot 070168</t>
  </si>
  <si>
    <t>Lot 070184</t>
  </si>
  <si>
    <t>SO0001254</t>
  </si>
  <si>
    <t>Lot 070586</t>
  </si>
  <si>
    <t>SO0001259</t>
  </si>
  <si>
    <t>Lot 071745</t>
  </si>
  <si>
    <t>SO0001280</t>
  </si>
  <si>
    <t>Lot 070831</t>
  </si>
  <si>
    <t>360365ApP0000310</t>
  </si>
  <si>
    <t>Lot 071387</t>
  </si>
  <si>
    <t>SO0001276</t>
  </si>
  <si>
    <t>Lot 071787</t>
  </si>
  <si>
    <t>SO0001283</t>
  </si>
  <si>
    <t>Lot 072007</t>
  </si>
  <si>
    <t>Lot 072028</t>
  </si>
  <si>
    <t>SO0001288</t>
  </si>
  <si>
    <t>Lot 072030</t>
  </si>
  <si>
    <t>SO0001289</t>
  </si>
  <si>
    <t>Lot 072980</t>
  </si>
  <si>
    <t>Lot 072982</t>
  </si>
  <si>
    <t>SO0001295</t>
  </si>
  <si>
    <t>Lot 074156</t>
  </si>
  <si>
    <t>SO0001306</t>
  </si>
  <si>
    <t>Lot 074195</t>
  </si>
  <si>
    <t>SO0001309</t>
  </si>
  <si>
    <t>Lot 074176</t>
  </si>
  <si>
    <t>SO0001308</t>
  </si>
  <si>
    <t>Lot 074521</t>
  </si>
  <si>
    <t>SO0001312</t>
  </si>
  <si>
    <t>Lot 074809</t>
  </si>
  <si>
    <t>Lot 076371</t>
  </si>
  <si>
    <t>SO0001358</t>
  </si>
  <si>
    <t>Lot 074526</t>
  </si>
  <si>
    <t>Lot 075345</t>
  </si>
  <si>
    <t>SO0001334</t>
  </si>
  <si>
    <t>Lot 075554</t>
  </si>
  <si>
    <t>Lot 075816</t>
  </si>
  <si>
    <t>SO0001350</t>
  </si>
  <si>
    <t>Lot 076067</t>
  </si>
  <si>
    <t>SO0001351</t>
  </si>
  <si>
    <t>Lot 076369</t>
  </si>
  <si>
    <t>Lot 076070</t>
  </si>
  <si>
    <t>SO0001354</t>
  </si>
  <si>
    <t>Lot 076365</t>
  </si>
  <si>
    <t>SO0001356</t>
  </si>
  <si>
    <t>Lot 076634</t>
  </si>
  <si>
    <t>SO0001363</t>
  </si>
  <si>
    <t>Lot 076375</t>
  </si>
  <si>
    <t>SO0001361</t>
  </si>
  <si>
    <t>Lot 077504</t>
  </si>
  <si>
    <t>SO0001375</t>
  </si>
  <si>
    <t>Lot 077051</t>
  </si>
  <si>
    <t>Lot 077053</t>
  </si>
  <si>
    <t>Lot 077722</t>
  </si>
  <si>
    <t>SO0001381</t>
  </si>
  <si>
    <t>Lot 077718</t>
  </si>
  <si>
    <t>SO0001377</t>
  </si>
  <si>
    <t>Lot 077868</t>
  </si>
  <si>
    <t>SO0001382</t>
  </si>
  <si>
    <t>Lot 078816</t>
  </si>
  <si>
    <t>SO0001392</t>
  </si>
  <si>
    <t>Lot 079917</t>
  </si>
  <si>
    <t>SO0001409</t>
  </si>
  <si>
    <t>Lot 079072</t>
  </si>
  <si>
    <t>SO0001399</t>
  </si>
  <si>
    <t>Lot 079411</t>
  </si>
  <si>
    <t>SO0001402</t>
  </si>
  <si>
    <t>Lot 081002</t>
  </si>
  <si>
    <t>SO0001418</t>
  </si>
  <si>
    <t>Lot 081912</t>
  </si>
  <si>
    <t>Lot 082244</t>
  </si>
  <si>
    <t>360364ApP0000333</t>
  </si>
  <si>
    <t>Lot 082113</t>
  </si>
  <si>
    <t>360ApP0002581</t>
  </si>
  <si>
    <t>Lot 084290</t>
  </si>
  <si>
    <t>SO0001432</t>
  </si>
  <si>
    <t>Lot 084571</t>
  </si>
  <si>
    <t>SO0001433</t>
  </si>
  <si>
    <t>Lot 086173</t>
  </si>
  <si>
    <t>Lot 087235</t>
  </si>
  <si>
    <t>Lot 088035</t>
  </si>
  <si>
    <t>SO0001442</t>
  </si>
  <si>
    <t>Lot 088382</t>
  </si>
  <si>
    <t>Lot 089591</t>
  </si>
  <si>
    <t>360366ApP0000209</t>
  </si>
  <si>
    <t>Lot 089685</t>
  </si>
  <si>
    <t>SO0001448</t>
  </si>
  <si>
    <t>Lot 089928</t>
  </si>
  <si>
    <t>SO0001452</t>
  </si>
  <si>
    <t>Lot 090544</t>
  </si>
  <si>
    <t>SO0001454</t>
  </si>
  <si>
    <t>Lot 090547</t>
  </si>
  <si>
    <t>SO0001455</t>
  </si>
  <si>
    <t>Lot 090692</t>
  </si>
  <si>
    <t>SO0001458</t>
  </si>
  <si>
    <t>Lot 090771</t>
  </si>
  <si>
    <t>SO0001461</t>
  </si>
  <si>
    <t>Lot 090772</t>
  </si>
  <si>
    <t>SO0001462</t>
  </si>
  <si>
    <t>Lot 090773</t>
  </si>
  <si>
    <t>360366ApP0000214</t>
  </si>
  <si>
    <t>Lot 092000</t>
  </si>
  <si>
    <t>SO0001478</t>
  </si>
  <si>
    <t>Lot 092305</t>
  </si>
  <si>
    <t>SO0001481</t>
  </si>
  <si>
    <t>Lot 092312</t>
  </si>
  <si>
    <t>SO0001486</t>
  </si>
  <si>
    <t>Lot 093208</t>
  </si>
  <si>
    <t>360364ApP0000444</t>
  </si>
  <si>
    <t>Lot 093730</t>
  </si>
  <si>
    <t>SO0001499</t>
  </si>
  <si>
    <t>Lot 093755</t>
  </si>
  <si>
    <t>SO0001500</t>
  </si>
  <si>
    <t>Lot 094064</t>
  </si>
  <si>
    <t>SO0001510</t>
  </si>
  <si>
    <t>Lot 094207</t>
  </si>
  <si>
    <t>SO0001514</t>
  </si>
  <si>
    <t>Lot 094330</t>
  </si>
  <si>
    <t>SO0001520</t>
  </si>
  <si>
    <t>Lot 092572</t>
  </si>
  <si>
    <t>360364ApP0000417</t>
  </si>
  <si>
    <t>Lot 094355</t>
  </si>
  <si>
    <t>SO0001524</t>
  </si>
  <si>
    <t>Lot 094724</t>
  </si>
  <si>
    <t>SO0001528</t>
  </si>
  <si>
    <t>Lot 094728</t>
  </si>
  <si>
    <t>SO0001530</t>
  </si>
  <si>
    <t>Lot 094735</t>
  </si>
  <si>
    <t>SO0001535</t>
  </si>
  <si>
    <t>Lot 095427</t>
  </si>
  <si>
    <t>Lot 095835</t>
  </si>
  <si>
    <t>SO0001543</t>
  </si>
  <si>
    <t>Lot 096708</t>
  </si>
  <si>
    <t>SO0001562</t>
  </si>
  <si>
    <t>Lot 096746</t>
  </si>
  <si>
    <t>360365ApP0000379</t>
  </si>
  <si>
    <t>Lot 097853</t>
  </si>
  <si>
    <t>360363ApP0000420</t>
  </si>
  <si>
    <t>Lot 098151</t>
  </si>
  <si>
    <t>SO0001577</t>
  </si>
  <si>
    <t>Lot 098663</t>
  </si>
  <si>
    <t>SO0001588</t>
  </si>
  <si>
    <t>Lot 098664</t>
  </si>
  <si>
    <t>SO0001589</t>
  </si>
  <si>
    <t>Lot 098665</t>
  </si>
  <si>
    <t>SO0001590</t>
  </si>
  <si>
    <t>Lot 098667</t>
  </si>
  <si>
    <t>SO0001592</t>
  </si>
  <si>
    <t>Lot 098639</t>
  </si>
  <si>
    <t>360ApP0003047</t>
  </si>
  <si>
    <t>Lot 098983</t>
  </si>
  <si>
    <t>SO0001595</t>
  </si>
  <si>
    <t>Lot 098984</t>
  </si>
  <si>
    <t>SO0001596</t>
  </si>
  <si>
    <t>Lot 098843</t>
  </si>
  <si>
    <t>360365ApP0000388</t>
  </si>
  <si>
    <t>Lot 099340</t>
  </si>
  <si>
    <t>SO0001597</t>
  </si>
  <si>
    <t>Lot 099453</t>
  </si>
  <si>
    <t>SO0001599</t>
  </si>
  <si>
    <t>Lot 099454</t>
  </si>
  <si>
    <t>Lot 100456</t>
  </si>
  <si>
    <t>SO0001615</t>
  </si>
  <si>
    <t>Lot 100460</t>
  </si>
  <si>
    <t>SO0001616</t>
  </si>
  <si>
    <t>Lot 100632</t>
  </si>
  <si>
    <t>Lot 101761</t>
  </si>
  <si>
    <t>360ApP0003136</t>
  </si>
  <si>
    <t>Lot 103384</t>
  </si>
  <si>
    <t>SO0001647</t>
  </si>
  <si>
    <t>Lot 103385</t>
  </si>
  <si>
    <t>SO0001648</t>
  </si>
  <si>
    <t>Lot 103386</t>
  </si>
  <si>
    <t>SO0001649</t>
  </si>
  <si>
    <t>Lot 103559</t>
  </si>
  <si>
    <t>SO0001654</t>
  </si>
  <si>
    <t>Lot 104399</t>
  </si>
  <si>
    <t>SO0001659</t>
  </si>
  <si>
    <t>Lot 104435</t>
  </si>
  <si>
    <t>SO0001664</t>
  </si>
  <si>
    <t>Lot 104437</t>
  </si>
  <si>
    <t>SO0001666</t>
  </si>
  <si>
    <t>Lot 104464</t>
  </si>
  <si>
    <t>SO0001668</t>
  </si>
  <si>
    <t>Lot 104306</t>
  </si>
  <si>
    <t>Lot 104993</t>
  </si>
  <si>
    <t>Lot 104995</t>
  </si>
  <si>
    <t>SO0001675</t>
  </si>
  <si>
    <t>Lot 105574</t>
  </si>
  <si>
    <t>SO0001678</t>
  </si>
  <si>
    <t>Lot 105714</t>
  </si>
  <si>
    <t>SO0001679</t>
  </si>
  <si>
    <t>Lot 105929</t>
  </si>
  <si>
    <t>SO0001682</t>
  </si>
  <si>
    <t>Lot 106203</t>
  </si>
  <si>
    <t>SO0001688</t>
  </si>
  <si>
    <t>Lot 106447</t>
  </si>
  <si>
    <t>SO0001694</t>
  </si>
  <si>
    <t>Lot 106450</t>
  </si>
  <si>
    <t>SO0001697</t>
  </si>
  <si>
    <t>Lot 106452</t>
  </si>
  <si>
    <t>SO0001698</t>
  </si>
  <si>
    <t>Lot 106474</t>
  </si>
  <si>
    <t>SO0001702</t>
  </si>
  <si>
    <t>Lot 106570</t>
  </si>
  <si>
    <t>SO0001703</t>
  </si>
  <si>
    <t>Lot 106785</t>
  </si>
  <si>
    <t>SO0001705</t>
  </si>
  <si>
    <t>Lot 106787</t>
  </si>
  <si>
    <t>Lot 106849</t>
  </si>
  <si>
    <t>Lot 105922</t>
  </si>
  <si>
    <t>Lot 107310</t>
  </si>
  <si>
    <t>SO0001719</t>
  </si>
  <si>
    <t>Lot 107684</t>
  </si>
  <si>
    <t>SO0001727</t>
  </si>
  <si>
    <t>Lot 107685</t>
  </si>
  <si>
    <t>SO0001728</t>
  </si>
  <si>
    <t>Lot 107816</t>
  </si>
  <si>
    <t>SO0001733</t>
  </si>
  <si>
    <t>Lot 107943</t>
  </si>
  <si>
    <t>SO0001741</t>
  </si>
  <si>
    <t>Lot 108629</t>
  </si>
  <si>
    <t>SO0001746</t>
  </si>
  <si>
    <t>Lot 108776</t>
  </si>
  <si>
    <t>SO0001747</t>
  </si>
  <si>
    <t>Lot 108797</t>
  </si>
  <si>
    <t>SO0001750</t>
  </si>
  <si>
    <t>Lot 108799</t>
  </si>
  <si>
    <t>SO0001751</t>
  </si>
  <si>
    <t>Lot 109665</t>
  </si>
  <si>
    <t>Lot 109808</t>
  </si>
  <si>
    <t>SO0001762</t>
  </si>
  <si>
    <t>Lot 109819</t>
  </si>
  <si>
    <t>SO0001765</t>
  </si>
  <si>
    <t>Lot 109868</t>
  </si>
  <si>
    <t>Lot 109871</t>
  </si>
  <si>
    <t>SO0001774</t>
  </si>
  <si>
    <t>Lot 110800</t>
  </si>
  <si>
    <t>SO0001777</t>
  </si>
  <si>
    <t>Lot 110831</t>
  </si>
  <si>
    <t>SO0001778</t>
  </si>
  <si>
    <t>Lot 110842</t>
  </si>
  <si>
    <t>SO0001779</t>
  </si>
  <si>
    <t>Lot 110885</t>
  </si>
  <si>
    <t>SO0001783</t>
  </si>
  <si>
    <t>Lot 110886</t>
  </si>
  <si>
    <t>SO0001784</t>
  </si>
  <si>
    <t>Lot 112254</t>
  </si>
  <si>
    <t>SO0001804</t>
  </si>
  <si>
    <t>Lot 111245</t>
  </si>
  <si>
    <t>SO0001787</t>
  </si>
  <si>
    <t>Lot 111432</t>
  </si>
  <si>
    <t>SO0001788</t>
  </si>
  <si>
    <t>Lot 111434</t>
  </si>
  <si>
    <t>Lot 112090</t>
  </si>
  <si>
    <t>SO0001796</t>
  </si>
  <si>
    <t>Lot 112093</t>
  </si>
  <si>
    <t>SO0001798</t>
  </si>
  <si>
    <t>Lot 112094</t>
  </si>
  <si>
    <t>Lot 112232</t>
  </si>
  <si>
    <t>Lot 112465</t>
  </si>
  <si>
    <t>SO0001809</t>
  </si>
  <si>
    <t>Lot 112707</t>
  </si>
  <si>
    <t>Lot 112963</t>
  </si>
  <si>
    <t>Lot 113221</t>
  </si>
  <si>
    <t>SO0001823</t>
  </si>
  <si>
    <t>Lot 113222</t>
  </si>
  <si>
    <t>SO0001824</t>
  </si>
  <si>
    <t>Lot 113226</t>
  </si>
  <si>
    <t>Lot 113227</t>
  </si>
  <si>
    <t>SO0001828</t>
  </si>
  <si>
    <t>Lot 113254</t>
  </si>
  <si>
    <t>Lot 114318</t>
  </si>
  <si>
    <t>SO0001834</t>
  </si>
  <si>
    <t>Lot 114379</t>
  </si>
  <si>
    <t>SO0001838</t>
  </si>
  <si>
    <t>Lot 114386</t>
  </si>
  <si>
    <t>SO0001842</t>
  </si>
  <si>
    <t>Lot 114956</t>
  </si>
  <si>
    <t>SO0001844</t>
  </si>
  <si>
    <t>Lot 115776</t>
  </si>
  <si>
    <t>Lot 115797</t>
  </si>
  <si>
    <t>Lot 115802</t>
  </si>
  <si>
    <t>Lot 115799</t>
  </si>
  <si>
    <t>SO0001851</t>
  </si>
  <si>
    <t>Lot 116000</t>
  </si>
  <si>
    <t>Lot 116005</t>
  </si>
  <si>
    <t>SO0001855</t>
  </si>
  <si>
    <t>Lot 116011</t>
  </si>
  <si>
    <t>SO0001858</t>
  </si>
  <si>
    <t>Lot 116016</t>
  </si>
  <si>
    <t>SO0001862</t>
  </si>
  <si>
    <t>Lot 116528</t>
  </si>
  <si>
    <t>SO0001864</t>
  </si>
  <si>
    <t>Lot 117184</t>
  </si>
  <si>
    <t>SO0001873</t>
  </si>
  <si>
    <t>Lot 117185</t>
  </si>
  <si>
    <t>SO0001874</t>
  </si>
  <si>
    <t>Lot 117488</t>
  </si>
  <si>
    <t>SO0001879</t>
  </si>
  <si>
    <t>Lot 117486</t>
  </si>
  <si>
    <t>SO0001878</t>
  </si>
  <si>
    <t>Lot 118122</t>
  </si>
  <si>
    <t>SO0001885</t>
  </si>
  <si>
    <t>Lot 118123</t>
  </si>
  <si>
    <t>Lot 118126</t>
  </si>
  <si>
    <t>SO0001888</t>
  </si>
  <si>
    <t>Lot 114666</t>
  </si>
  <si>
    <t>360ApP0003407</t>
  </si>
  <si>
    <t>Lot 118934</t>
  </si>
  <si>
    <t>Lot 119126</t>
  </si>
  <si>
    <t>SO0001903</t>
  </si>
  <si>
    <t>Lot 119127</t>
  </si>
  <si>
    <t>Lot 121732</t>
  </si>
  <si>
    <t>Lot 121733</t>
  </si>
  <si>
    <t>SO0001921</t>
  </si>
  <si>
    <t>Lot 121734</t>
  </si>
  <si>
    <t>Lot 121837</t>
  </si>
  <si>
    <t>SO0001934</t>
  </si>
  <si>
    <t>Lot 121839</t>
  </si>
  <si>
    <t>SO0001935</t>
  </si>
  <si>
    <t>Lot 121844</t>
  </si>
  <si>
    <t>Lot 122010</t>
  </si>
  <si>
    <t>SO0001940</t>
  </si>
  <si>
    <t>Lot 122233</t>
  </si>
  <si>
    <t>SO0001959</t>
  </si>
  <si>
    <t>Lot 122254</t>
  </si>
  <si>
    <t>SO0001963</t>
  </si>
  <si>
    <t>Lot 122389</t>
  </si>
  <si>
    <t>Lot 122392</t>
  </si>
  <si>
    <t>SO0001971</t>
  </si>
  <si>
    <t>Lot 122669</t>
  </si>
  <si>
    <t>Lot 122672</t>
  </si>
  <si>
    <t>SO0001981</t>
  </si>
  <si>
    <t>Lot 122673</t>
  </si>
  <si>
    <t>SO0001982</t>
  </si>
  <si>
    <t>Lot 122928</t>
  </si>
  <si>
    <t>Lot 122931</t>
  </si>
  <si>
    <t>SO0001993</t>
  </si>
  <si>
    <t>Lot 123055</t>
  </si>
  <si>
    <t>Lot 123210</t>
  </si>
  <si>
    <t>SO0002005</t>
  </si>
  <si>
    <t>Lot 123110</t>
  </si>
  <si>
    <t>SO0001998</t>
  </si>
  <si>
    <t>Lot 123169</t>
  </si>
  <si>
    <t>Lot 123254</t>
  </si>
  <si>
    <t>Lot 123257</t>
  </si>
  <si>
    <t>SO0002011</t>
  </si>
  <si>
    <t>Lot 123475</t>
  </si>
  <si>
    <t>SO0002014</t>
  </si>
  <si>
    <t>Lot 124102</t>
  </si>
  <si>
    <t>Lot 124144</t>
  </si>
  <si>
    <t>SO0002029</t>
  </si>
  <si>
    <t>Lot 124263</t>
  </si>
  <si>
    <t>Lot 124557</t>
  </si>
  <si>
    <t>Lot 124576</t>
  </si>
  <si>
    <t>Lot 126810</t>
  </si>
  <si>
    <t>SO0002056</t>
  </si>
  <si>
    <t>Lot 126782</t>
  </si>
  <si>
    <t>SO0002053</t>
  </si>
  <si>
    <t>Lot 126809</t>
  </si>
  <si>
    <t>SO0002055</t>
  </si>
  <si>
    <t>Lot 127430</t>
  </si>
  <si>
    <t>Lot 127351</t>
  </si>
  <si>
    <t>Lot 127264</t>
  </si>
  <si>
    <t>SO0002063</t>
  </si>
  <si>
    <t>Lot 127306</t>
  </si>
  <si>
    <t>Lot 127307</t>
  </si>
  <si>
    <t>SO0002066</t>
  </si>
  <si>
    <t>Lot 126312</t>
  </si>
  <si>
    <t>Lot 128348</t>
  </si>
  <si>
    <t>SO0002081</t>
  </si>
  <si>
    <t>Lot 126611</t>
  </si>
  <si>
    <t>360364ApP0000587</t>
  </si>
  <si>
    <t>Lot 128353</t>
  </si>
  <si>
    <t>Lot 128946</t>
  </si>
  <si>
    <t>SO0002087</t>
  </si>
  <si>
    <t>Lot 129311</t>
  </si>
  <si>
    <t>SO0002090</t>
  </si>
  <si>
    <t>Lot 129693</t>
  </si>
  <si>
    <t>Lot 128947</t>
  </si>
  <si>
    <t>SO0002088</t>
  </si>
  <si>
    <t>Lot 129322</t>
  </si>
  <si>
    <t>SO0002100</t>
  </si>
  <si>
    <t>Lot 129319</t>
  </si>
  <si>
    <t>Lot 130575</t>
  </si>
  <si>
    <t>SO0002112</t>
  </si>
  <si>
    <t>Lot 129653</t>
  </si>
  <si>
    <t>SO0002103</t>
  </si>
  <si>
    <t>Lot 130068</t>
  </si>
  <si>
    <t>Lot 130910</t>
  </si>
  <si>
    <t>Lot 130925</t>
  </si>
  <si>
    <t>SO0002119</t>
  </si>
  <si>
    <t>Lot 131056</t>
  </si>
  <si>
    <t>SO0002121</t>
  </si>
  <si>
    <t>Lot 132544</t>
  </si>
  <si>
    <t>SO0002139</t>
  </si>
  <si>
    <t>Lot 132751</t>
  </si>
  <si>
    <t>SO0002144</t>
  </si>
  <si>
    <t>Lot 132752</t>
  </si>
  <si>
    <t>SO0002145</t>
  </si>
  <si>
    <t>Lot 132969</t>
  </si>
  <si>
    <t>SO0002152</t>
  </si>
  <si>
    <t>Lot 133306</t>
  </si>
  <si>
    <t>SO0002153</t>
  </si>
  <si>
    <t>Lot 133307</t>
  </si>
  <si>
    <t>Lot 133756</t>
  </si>
  <si>
    <t>SO0002157</t>
  </si>
  <si>
    <t>Lot 133936</t>
  </si>
  <si>
    <t>SO0002159</t>
  </si>
  <si>
    <t>Lot 134120</t>
  </si>
  <si>
    <t>SO0002160</t>
  </si>
  <si>
    <t>Lot 134143</t>
  </si>
  <si>
    <t>SO0002161</t>
  </si>
  <si>
    <t>Lot 193407</t>
  </si>
  <si>
    <t>360364ApP0000886</t>
  </si>
  <si>
    <t>Lot 193410</t>
  </si>
  <si>
    <t>Lot 194220</t>
  </si>
  <si>
    <t>Lot 194731</t>
  </si>
  <si>
    <t>Lot 195493</t>
  </si>
  <si>
    <t>360345ApP0000075</t>
  </si>
  <si>
    <t>Lot 198134</t>
  </si>
  <si>
    <t>SO0002877</t>
  </si>
  <si>
    <t>Lot 198233</t>
  </si>
  <si>
    <t>SO0002881</t>
  </si>
  <si>
    <t>Lot 197975</t>
  </si>
  <si>
    <t>360364ApP0000919</t>
  </si>
  <si>
    <t>Lot 199964</t>
  </si>
  <si>
    <t>SO0002896</t>
  </si>
  <si>
    <t>Lot 201218</t>
  </si>
  <si>
    <t>SO0002907</t>
  </si>
  <si>
    <t>Lot 201219</t>
  </si>
  <si>
    <t>Lot 204264</t>
  </si>
  <si>
    <t>Lot 204375</t>
  </si>
  <si>
    <t>Lot 204786</t>
  </si>
  <si>
    <t>SO0002931</t>
  </si>
  <si>
    <t>Lot 205108</t>
  </si>
  <si>
    <t>SO0002937</t>
  </si>
  <si>
    <t>Lot 204788</t>
  </si>
  <si>
    <t>Lot 205105</t>
  </si>
  <si>
    <t>SO0002936</t>
  </si>
  <si>
    <t>Lot 205758</t>
  </si>
  <si>
    <t>SO0002956</t>
  </si>
  <si>
    <t>Lot 205759</t>
  </si>
  <si>
    <t>Lot 205993</t>
  </si>
  <si>
    <t>SO0002962</t>
  </si>
  <si>
    <t>Lot 204778</t>
  </si>
  <si>
    <t>Lot 206782</t>
  </si>
  <si>
    <t>Lot 207070</t>
  </si>
  <si>
    <t>SO0002976</t>
  </si>
  <si>
    <t>Lot 207110</t>
  </si>
  <si>
    <t>SO0002978</t>
  </si>
  <si>
    <t>Lot 207892</t>
  </si>
  <si>
    <t>Lot 207067</t>
  </si>
  <si>
    <t>Lot 209192</t>
  </si>
  <si>
    <t>Lot 210113</t>
  </si>
  <si>
    <t>SO0003011</t>
  </si>
  <si>
    <t>Lot 210117</t>
  </si>
  <si>
    <t>SO0003014</t>
  </si>
  <si>
    <t>Lot 210116</t>
  </si>
  <si>
    <t>Lot 210840</t>
  </si>
  <si>
    <t>Lot 210842</t>
  </si>
  <si>
    <t>Lot 211472</t>
  </si>
  <si>
    <t>SO0003029</t>
  </si>
  <si>
    <t>Lot 211760</t>
  </si>
  <si>
    <t>SO0003036</t>
  </si>
  <si>
    <t>Lot 211752</t>
  </si>
  <si>
    <t>SO0003033</t>
  </si>
  <si>
    <t>Lot 211759</t>
  </si>
  <si>
    <t>SO0003035</t>
  </si>
  <si>
    <t>Lot 212278</t>
  </si>
  <si>
    <t>Lot 212280</t>
  </si>
  <si>
    <t>SO0003043</t>
  </si>
  <si>
    <t>Lot 212493</t>
  </si>
  <si>
    <t>SO0003044</t>
  </si>
  <si>
    <t>Lot 212497</t>
  </si>
  <si>
    <t>360371ApP0000875</t>
  </si>
  <si>
    <t>Lot 213378</t>
  </si>
  <si>
    <t>SO0003046</t>
  </si>
  <si>
    <t>Lot 213973</t>
  </si>
  <si>
    <t>SO0003051</t>
  </si>
  <si>
    <t>Lot 214018</t>
  </si>
  <si>
    <t>SO0003058</t>
  </si>
  <si>
    <t>Lot 213976</t>
  </si>
  <si>
    <t>SO0003054</t>
  </si>
  <si>
    <t>Lot 214017</t>
  </si>
  <si>
    <t>SO0003057</t>
  </si>
  <si>
    <t>Lot 215766</t>
  </si>
  <si>
    <t>SO0003066</t>
  </si>
  <si>
    <t>Lot 216348</t>
  </si>
  <si>
    <t>SO0003070</t>
  </si>
  <si>
    <t>Lot 216356</t>
  </si>
  <si>
    <t>SO0003075</t>
  </si>
  <si>
    <t>Lot 216595</t>
  </si>
  <si>
    <t>SO0003079</t>
  </si>
  <si>
    <t>Lot 216640</t>
  </si>
  <si>
    <t>SO0003086</t>
  </si>
  <si>
    <t>Lot 217129</t>
  </si>
  <si>
    <t>SO0003089</t>
  </si>
  <si>
    <t>Lot 217273</t>
  </si>
  <si>
    <t>SO0003093</t>
  </si>
  <si>
    <t>Lot 217789</t>
  </si>
  <si>
    <t>SO0003101</t>
  </si>
  <si>
    <t>Lot 217790</t>
  </si>
  <si>
    <t>SO0003102</t>
  </si>
  <si>
    <t>Lot 217791</t>
  </si>
  <si>
    <t>Lot 218915</t>
  </si>
  <si>
    <t>Lot 218919</t>
  </si>
  <si>
    <t>Lot 219676</t>
  </si>
  <si>
    <t>SO0003114</t>
  </si>
  <si>
    <t>Lot 219677</t>
  </si>
  <si>
    <t>SO0003115</t>
  </si>
  <si>
    <t>Lot 219678</t>
  </si>
  <si>
    <t>Lot 220468</t>
  </si>
  <si>
    <t>SO0003122</t>
  </si>
  <si>
    <t>Lot 220747</t>
  </si>
  <si>
    <t>SO0003124</t>
  </si>
  <si>
    <t>Lot 221641</t>
  </si>
  <si>
    <t>SO0003125</t>
  </si>
  <si>
    <t>Lot 221901</t>
  </si>
  <si>
    <t>SO0003127</t>
  </si>
  <si>
    <t>Lot 222224</t>
  </si>
  <si>
    <t>Lot 222577</t>
  </si>
  <si>
    <t>Lot 222581</t>
  </si>
  <si>
    <t>SO0003131</t>
  </si>
  <si>
    <t>Lot 222876</t>
  </si>
  <si>
    <t>SO0003141</t>
  </si>
  <si>
    <t>Lot 223887</t>
  </si>
  <si>
    <t>SO0003150</t>
  </si>
  <si>
    <t>Lot 224473</t>
  </si>
  <si>
    <t>SO0003152</t>
  </si>
  <si>
    <t>Lot 224474</t>
  </si>
  <si>
    <t>SO0003153</t>
  </si>
  <si>
    <t>Lot 224476</t>
  </si>
  <si>
    <t>SO0003154</t>
  </si>
  <si>
    <t>Lot 224589</t>
  </si>
  <si>
    <t>SO0003157</t>
  </si>
  <si>
    <t>Lot 224592</t>
  </si>
  <si>
    <t>SO0003158</t>
  </si>
  <si>
    <t>Lot 224969</t>
  </si>
  <si>
    <t>SO0003160</t>
  </si>
  <si>
    <t>Lot 224380</t>
  </si>
  <si>
    <t>360364ApP0001009</t>
  </si>
  <si>
    <t>Lot 225293</t>
  </si>
  <si>
    <t>Lot 225483</t>
  </si>
  <si>
    <t>SO0003168</t>
  </si>
  <si>
    <t>Lot 226969</t>
  </si>
  <si>
    <t>SO0003190</t>
  </si>
  <si>
    <t>Lot 227007</t>
  </si>
  <si>
    <t>SO0003201</t>
  </si>
  <si>
    <t>Lot 227034</t>
  </si>
  <si>
    <t>Lot 227036</t>
  </si>
  <si>
    <t>SO0003203</t>
  </si>
  <si>
    <t>Lot 227037</t>
  </si>
  <si>
    <t>Lot 228254</t>
  </si>
  <si>
    <t>SO0003225</t>
  </si>
  <si>
    <t>Lot 228341</t>
  </si>
  <si>
    <t>SO0003228</t>
  </si>
  <si>
    <t>Lot 229084</t>
  </si>
  <si>
    <t>SO0003234</t>
  </si>
  <si>
    <t>Lot 229089</t>
  </si>
  <si>
    <t>Lot 229093</t>
  </si>
  <si>
    <t>SO0003239</t>
  </si>
  <si>
    <t>Lot 229340</t>
  </si>
  <si>
    <t>SO0003246</t>
  </si>
  <si>
    <t>Lot 230612</t>
  </si>
  <si>
    <t>SO0003255</t>
  </si>
  <si>
    <t>Lot 230670</t>
  </si>
  <si>
    <t>SO0003257</t>
  </si>
  <si>
    <t>Lot 231822</t>
  </si>
  <si>
    <t>SO0003278</t>
  </si>
  <si>
    <t>Lot 231847</t>
  </si>
  <si>
    <t>SO0003280</t>
  </si>
  <si>
    <t>Lot 232054</t>
  </si>
  <si>
    <t>SO0003282</t>
  </si>
  <si>
    <t>Lot 232142</t>
  </si>
  <si>
    <t>Lot 231443</t>
  </si>
  <si>
    <t>Lot 232250</t>
  </si>
  <si>
    <t>SO0003285</t>
  </si>
  <si>
    <t>Lot 232613</t>
  </si>
  <si>
    <t>SO0003286</t>
  </si>
  <si>
    <t>Lot 233074</t>
  </si>
  <si>
    <t>Lot 233165</t>
  </si>
  <si>
    <t>Lot 233167</t>
  </si>
  <si>
    <t>SO0003291</t>
  </si>
  <si>
    <t>Lot 232140</t>
  </si>
  <si>
    <t>360365ApP0000867</t>
  </si>
  <si>
    <t>Lot 233171</t>
  </si>
  <si>
    <t>SO0003292</t>
  </si>
  <si>
    <t>Lot 233172</t>
  </si>
  <si>
    <t>Lot 233178</t>
  </si>
  <si>
    <t>Lot 233204</t>
  </si>
  <si>
    <t>SO0003297</t>
  </si>
  <si>
    <t>Lot 233499</t>
  </si>
  <si>
    <t>Lot 233691</t>
  </si>
  <si>
    <t>Lot 233941</t>
  </si>
  <si>
    <t>SO0003309</t>
  </si>
  <si>
    <t>Lot 233944</t>
  </si>
  <si>
    <t>SO0003312</t>
  </si>
  <si>
    <t>Lot 233948</t>
  </si>
  <si>
    <t>Lot 234215</t>
  </si>
  <si>
    <t>SO0003320</t>
  </si>
  <si>
    <t>Lot 234350</t>
  </si>
  <si>
    <t>SO0003323</t>
  </si>
  <si>
    <t>Lot 234749</t>
  </si>
  <si>
    <t>Lot 234755</t>
  </si>
  <si>
    <t>SO0003335</t>
  </si>
  <si>
    <t>Lot 234763</t>
  </si>
  <si>
    <t>Lot 235866</t>
  </si>
  <si>
    <t>SO0003342</t>
  </si>
  <si>
    <t>Lot 235868</t>
  </si>
  <si>
    <t>SO0003343</t>
  </si>
  <si>
    <t>Lot 235869</t>
  </si>
  <si>
    <t>Lot 235870</t>
  </si>
  <si>
    <t>Lot 237176</t>
  </si>
  <si>
    <t>Lot 237180</t>
  </si>
  <si>
    <t>Lot 237200</t>
  </si>
  <si>
    <t>Lot 237669</t>
  </si>
  <si>
    <t>SO0003356</t>
  </si>
  <si>
    <t>Lot 237734</t>
  </si>
  <si>
    <t>SO0003359</t>
  </si>
  <si>
    <t>Lot 237772</t>
  </si>
  <si>
    <t>Lot 237801</t>
  </si>
  <si>
    <t>SO0003365</t>
  </si>
  <si>
    <t>Lot 238217</t>
  </si>
  <si>
    <t>SO0003375</t>
  </si>
  <si>
    <t>Lot 238676</t>
  </si>
  <si>
    <t>Lot 238842</t>
  </si>
  <si>
    <t>SO0003386</t>
  </si>
  <si>
    <t>Lot 239219</t>
  </si>
  <si>
    <t>SO0003391</t>
  </si>
  <si>
    <t>Lot 235984</t>
  </si>
  <si>
    <t>360364ApP0001045</t>
  </si>
  <si>
    <t>Lot 239991</t>
  </si>
  <si>
    <t>SO0003398</t>
  </si>
  <si>
    <t>Lot 240004</t>
  </si>
  <si>
    <t>SO0003399</t>
  </si>
  <si>
    <t>Lot 240138</t>
  </si>
  <si>
    <t>Lot 240896</t>
  </si>
  <si>
    <t>Lot 241196</t>
  </si>
  <si>
    <t>Lot 241431</t>
  </si>
  <si>
    <t>SO0003417</t>
  </si>
  <si>
    <t>Lot 241539</t>
  </si>
  <si>
    <t>SO0003418</t>
  </si>
  <si>
    <t>Lot 241540</t>
  </si>
  <si>
    <t>SO0003419</t>
  </si>
  <si>
    <t>Lot 241805</t>
  </si>
  <si>
    <t>SO0003424</t>
  </si>
  <si>
    <t>Lot 241806</t>
  </si>
  <si>
    <t>SO0003425</t>
  </si>
  <si>
    <t>Lot 241807</t>
  </si>
  <si>
    <t>SO0003426</t>
  </si>
  <si>
    <t>Lot 242718</t>
  </si>
  <si>
    <t>Lot 242791</t>
  </si>
  <si>
    <t>Lot 242814</t>
  </si>
  <si>
    <t>SO0003446</t>
  </si>
  <si>
    <t>Lot 243003</t>
  </si>
  <si>
    <t>SO0003453</t>
  </si>
  <si>
    <t>Lot 243004</t>
  </si>
  <si>
    <t>SO0003454</t>
  </si>
  <si>
    <t>Lot 243135</t>
  </si>
  <si>
    <t>SO0003461</t>
  </si>
  <si>
    <t>Lot 243141</t>
  </si>
  <si>
    <t>SO0003464</t>
  </si>
  <si>
    <t>Lot 243142</t>
  </si>
  <si>
    <t>SO0003465</t>
  </si>
  <si>
    <t>Lot 243163</t>
  </si>
  <si>
    <t>Lot 243143</t>
  </si>
  <si>
    <t>SO0003466</t>
  </si>
  <si>
    <t>Lot 243144</t>
  </si>
  <si>
    <t>SO0003467</t>
  </si>
  <si>
    <t>Lot 244125</t>
  </si>
  <si>
    <t>SO0003479</t>
  </si>
  <si>
    <t>Lot 244145</t>
  </si>
  <si>
    <t>Lot 244187</t>
  </si>
  <si>
    <t>SO0003483</t>
  </si>
  <si>
    <t>Lot 245060</t>
  </si>
  <si>
    <t>SO0003493</t>
  </si>
  <si>
    <t>Lot 244743</t>
  </si>
  <si>
    <t>Lot 245049</t>
  </si>
  <si>
    <t>Lot 245051</t>
  </si>
  <si>
    <t>SO0003488</t>
  </si>
  <si>
    <t>Lot 245052</t>
  </si>
  <si>
    <t>SO0003489</t>
  </si>
  <si>
    <t>Lot 245398</t>
  </si>
  <si>
    <t>SO0003496</t>
  </si>
  <si>
    <t>Lot 245399</t>
  </si>
  <si>
    <t>SO0003497</t>
  </si>
  <si>
    <t>Lot 245400</t>
  </si>
  <si>
    <t>SO0003498</t>
  </si>
  <si>
    <t>Lot 245555</t>
  </si>
  <si>
    <t>SO0003506</t>
  </si>
  <si>
    <t>Lot 245401</t>
  </si>
  <si>
    <t>Lot 245406</t>
  </si>
  <si>
    <t>SO0003501</t>
  </si>
  <si>
    <t>Lot 245428</t>
  </si>
  <si>
    <t>SO0003504</t>
  </si>
  <si>
    <t>Lot 245546</t>
  </si>
  <si>
    <t>Lot 245550</t>
  </si>
  <si>
    <t>Lot 245554</t>
  </si>
  <si>
    <t>Lot 245556</t>
  </si>
  <si>
    <t>Lot 245701</t>
  </si>
  <si>
    <t>Lot 246669</t>
  </si>
  <si>
    <t>SO0003517</t>
  </si>
  <si>
    <t>Lot 246878</t>
  </si>
  <si>
    <t>SO0003524</t>
  </si>
  <si>
    <t>Lot 246879</t>
  </si>
  <si>
    <t>SO0003525</t>
  </si>
  <si>
    <t>Lot 246880</t>
  </si>
  <si>
    <t>SO0003526</t>
  </si>
  <si>
    <t>Lot 246998</t>
  </si>
  <si>
    <t>SO0003528</t>
  </si>
  <si>
    <t>Lot 248374</t>
  </si>
  <si>
    <t>SO0003554</t>
  </si>
  <si>
    <t>Lot 248902</t>
  </si>
  <si>
    <t>SO0003565</t>
  </si>
  <si>
    <t>Lot 250790</t>
  </si>
  <si>
    <t>SO0003570</t>
  </si>
  <si>
    <t>Lot 250791</t>
  </si>
  <si>
    <t>Lot 256876</t>
  </si>
  <si>
    <t>SO0003601</t>
  </si>
  <si>
    <t>Lot 257163</t>
  </si>
  <si>
    <t>Lot 257644</t>
  </si>
  <si>
    <t>360ApP0006291</t>
  </si>
  <si>
    <t>Lot 259688</t>
  </si>
  <si>
    <t>SO0003618</t>
  </si>
  <si>
    <t>Lot 261108</t>
  </si>
  <si>
    <t>Lot 261110</t>
  </si>
  <si>
    <t>SO0003641</t>
  </si>
  <si>
    <t>Lot 261111</t>
  </si>
  <si>
    <t>Lot 263105</t>
  </si>
  <si>
    <t>SO0003659</t>
  </si>
  <si>
    <t>Lot 263142</t>
  </si>
  <si>
    <t>SO0003660</t>
  </si>
  <si>
    <t>Lot 264236</t>
  </si>
  <si>
    <t>SO0003671</t>
  </si>
  <si>
    <t>Lot 264238</t>
  </si>
  <si>
    <t>Lot 264471</t>
  </si>
  <si>
    <t>SO0003675</t>
  </si>
  <si>
    <t>Lot 264477</t>
  </si>
  <si>
    <t>SO0003676</t>
  </si>
  <si>
    <t>Lot 263971</t>
  </si>
  <si>
    <t>Lot 264966</t>
  </si>
  <si>
    <t>SO0003682</t>
  </si>
  <si>
    <t>Lot 264967</t>
  </si>
  <si>
    <t>Lot 265141</t>
  </si>
  <si>
    <t>Lot 265143</t>
  </si>
  <si>
    <t>SO0003689</t>
  </si>
  <si>
    <t>Lot 265867</t>
  </si>
  <si>
    <t>SO0003694</t>
  </si>
  <si>
    <t>Lot 265868</t>
  </si>
  <si>
    <t>SO0003695</t>
  </si>
  <si>
    <t>Lot 266208</t>
  </si>
  <si>
    <t>SO0003701</t>
  </si>
  <si>
    <t>Lot 266227</t>
  </si>
  <si>
    <t>Lot 267223</t>
  </si>
  <si>
    <t>SO0003718</t>
  </si>
  <si>
    <t>Lot 267225</t>
  </si>
  <si>
    <t>SO0003719</t>
  </si>
  <si>
    <t>Lot 267229</t>
  </si>
  <si>
    <t>Lot 267337</t>
  </si>
  <si>
    <t>SO0003722</t>
  </si>
  <si>
    <t>Lot 267338</t>
  </si>
  <si>
    <t>SO0003723</t>
  </si>
  <si>
    <t>Lot 267340</t>
  </si>
  <si>
    <t>SO0003725</t>
  </si>
  <si>
    <t>Lot 267629</t>
  </si>
  <si>
    <t>Lot 267638</t>
  </si>
  <si>
    <t>SO0003732</t>
  </si>
  <si>
    <t>Lot 268430</t>
  </si>
  <si>
    <t>SO0003746</t>
  </si>
  <si>
    <t>Lot 268751</t>
  </si>
  <si>
    <t>Lot 268752</t>
  </si>
  <si>
    <t>SO0003758</t>
  </si>
  <si>
    <t>Lot 268559</t>
  </si>
  <si>
    <t>SO0003751</t>
  </si>
  <si>
    <t>Lot 269318</t>
  </si>
  <si>
    <t>Lot 269799</t>
  </si>
  <si>
    <t>SO0003773</t>
  </si>
  <si>
    <t>Lot 269884</t>
  </si>
  <si>
    <t>SO0003774</t>
  </si>
  <si>
    <t>Lot 269890</t>
  </si>
  <si>
    <t>SO0003780</t>
  </si>
  <si>
    <t>Lot 268637</t>
  </si>
  <si>
    <t>360366ApP0000584</t>
  </si>
  <si>
    <t>Lot 270408</t>
  </si>
  <si>
    <t>SO0003783</t>
  </si>
  <si>
    <t>Lot 272192</t>
  </si>
  <si>
    <t>Lot 271012</t>
  </si>
  <si>
    <t>SO0003792</t>
  </si>
  <si>
    <t>Lot 269885</t>
  </si>
  <si>
    <t>SO0003775</t>
  </si>
  <si>
    <t>Lot 272242</t>
  </si>
  <si>
    <t>SO0003805</t>
  </si>
  <si>
    <t>Lot 271917</t>
  </si>
  <si>
    <t>SO0003798</t>
  </si>
  <si>
    <t>Lot 272368</t>
  </si>
  <si>
    <t>Lot 272592</t>
  </si>
  <si>
    <t>Lot 272638</t>
  </si>
  <si>
    <t>Lot 272850</t>
  </si>
  <si>
    <t>SO0003828</t>
  </si>
  <si>
    <t>Lot 274737</t>
  </si>
  <si>
    <t>SO0003858</t>
  </si>
  <si>
    <t>Lot 274641</t>
  </si>
  <si>
    <t>SO0003845</t>
  </si>
  <si>
    <t>Lot 274645</t>
  </si>
  <si>
    <t>SO0003848</t>
  </si>
  <si>
    <t>Lot 274647</t>
  </si>
  <si>
    <t>SO0003849</t>
  </si>
  <si>
    <t>Lot 274734</t>
  </si>
  <si>
    <t>SO0003856</t>
  </si>
  <si>
    <t>Lot 269937</t>
  </si>
  <si>
    <t>Lot 275558</t>
  </si>
  <si>
    <t>SO0003860</t>
  </si>
  <si>
    <t>Lot 276567</t>
  </si>
  <si>
    <t>SO0003870</t>
  </si>
  <si>
    <t>Lot 276575</t>
  </si>
  <si>
    <t>Lot 276580</t>
  </si>
  <si>
    <t>Lot 277017</t>
  </si>
  <si>
    <t>Lot 277517</t>
  </si>
  <si>
    <t>SO0003887</t>
  </si>
  <si>
    <t>Lot 277518</t>
  </si>
  <si>
    <t>SO0003888</t>
  </si>
  <si>
    <t>Lot 277519</t>
  </si>
  <si>
    <t>SO0003889</t>
  </si>
  <si>
    <t>Lot 277520</t>
  </si>
  <si>
    <t>SO0003890</t>
  </si>
  <si>
    <t>Lot 277521</t>
  </si>
  <si>
    <t>SO0003891</t>
  </si>
  <si>
    <t>Lot 277719</t>
  </si>
  <si>
    <t>Lot 277721</t>
  </si>
  <si>
    <t>Lot 277897</t>
  </si>
  <si>
    <t>SO0003898</t>
  </si>
  <si>
    <t>Lot 277898</t>
  </si>
  <si>
    <t>Lot 278392</t>
  </si>
  <si>
    <t>SO0003907</t>
  </si>
  <si>
    <t>Lot 278558</t>
  </si>
  <si>
    <t>SO0003912</t>
  </si>
  <si>
    <t>Lot 278559</t>
  </si>
  <si>
    <t>Lot 278723</t>
  </si>
  <si>
    <t>SO0003920</t>
  </si>
  <si>
    <t>Lot 278725</t>
  </si>
  <si>
    <t>Lot 278143</t>
  </si>
  <si>
    <t>Lot 279426</t>
  </si>
  <si>
    <t>SO0003928</t>
  </si>
  <si>
    <t>Lot 279422</t>
  </si>
  <si>
    <t>SO0003925</t>
  </si>
  <si>
    <t>Lot 279480</t>
  </si>
  <si>
    <t>SO0003930</t>
  </si>
  <si>
    <t>Lot 279483</t>
  </si>
  <si>
    <t>Lot 279805</t>
  </si>
  <si>
    <t>SO0003932</t>
  </si>
  <si>
    <t>Lot 276390</t>
  </si>
  <si>
    <t>360366ApP0000603</t>
  </si>
  <si>
    <t>Lot 279979</t>
  </si>
  <si>
    <t>SO0003940</t>
  </si>
  <si>
    <t>Lot 279981</t>
  </si>
  <si>
    <t>SO0003941</t>
  </si>
  <si>
    <t>Lot 280059</t>
  </si>
  <si>
    <t>SO0003946</t>
  </si>
  <si>
    <t>Lot 280063</t>
  </si>
  <si>
    <t>Lot 280058</t>
  </si>
  <si>
    <t>SO0003945</t>
  </si>
  <si>
    <t>Lot 280300</t>
  </si>
  <si>
    <t>SO0003948</t>
  </si>
  <si>
    <t>Lot 280301</t>
  </si>
  <si>
    <t>SO0003949</t>
  </si>
  <si>
    <t>Lot 280416</t>
  </si>
  <si>
    <t>SO0003954</t>
  </si>
  <si>
    <t>Lot 280418</t>
  </si>
  <si>
    <t>SO0003955</t>
  </si>
  <si>
    <t>Lot 280523</t>
  </si>
  <si>
    <t>SO0003956</t>
  </si>
  <si>
    <t>Lot 280817</t>
  </si>
  <si>
    <t>SO0003958</t>
  </si>
  <si>
    <t>Lot 280819</t>
  </si>
  <si>
    <t>SO0003959</t>
  </si>
  <si>
    <t>Lot 280821</t>
  </si>
  <si>
    <t>Lot 280822</t>
  </si>
  <si>
    <t>SO0003961</t>
  </si>
  <si>
    <t>CAG0195200BO_obs</t>
  </si>
  <si>
    <t>Lot 060153</t>
  </si>
  <si>
    <t>Lot 007579</t>
  </si>
  <si>
    <t>Lot 004887</t>
  </si>
  <si>
    <t>Lot 014252</t>
  </si>
  <si>
    <t>SO0000172</t>
  </si>
  <si>
    <t>Lot 018353</t>
  </si>
  <si>
    <t>SO0000240</t>
  </si>
  <si>
    <t>Lot 032202</t>
  </si>
  <si>
    <t>Lot 032207</t>
  </si>
  <si>
    <t>Lot 039599</t>
  </si>
  <si>
    <t>360364ApP0000066</t>
  </si>
  <si>
    <t>Lot 039601</t>
  </si>
  <si>
    <t>Lot 039433</t>
  </si>
  <si>
    <t>360364ApP0000060</t>
  </si>
  <si>
    <t>Lot 039657</t>
  </si>
  <si>
    <t>Lot 040030</t>
  </si>
  <si>
    <t>Lot 045193</t>
  </si>
  <si>
    <t>Lot 046248</t>
  </si>
  <si>
    <t>SO0000870</t>
  </si>
  <si>
    <t>Lot 046249</t>
  </si>
  <si>
    <t>Lot 047078</t>
  </si>
  <si>
    <t>360364ApP0000203</t>
  </si>
  <si>
    <t>Lot 054937</t>
  </si>
  <si>
    <t>SO0000999</t>
  </si>
  <si>
    <t>Lot 055085</t>
  </si>
  <si>
    <t>SO0001014</t>
  </si>
  <si>
    <t>Lot 055225</t>
  </si>
  <si>
    <t>SO0001031</t>
  </si>
  <si>
    <t>Lot 064918</t>
  </si>
  <si>
    <t>360364ApP0000274</t>
  </si>
  <si>
    <t>Lot 070163</t>
  </si>
  <si>
    <t>360364ApP0000286</t>
  </si>
  <si>
    <t>Lot 071532</t>
  </si>
  <si>
    <t>Lot 078551</t>
  </si>
  <si>
    <t>SO0001384</t>
  </si>
  <si>
    <t>Lot 082246</t>
  </si>
  <si>
    <t>360364ApP0000335</t>
  </si>
  <si>
    <t>Lot 091481</t>
  </si>
  <si>
    <t>SO0001466</t>
  </si>
  <si>
    <t>Lot 096940</t>
  </si>
  <si>
    <t>Lot 097002</t>
  </si>
  <si>
    <t>Lot 105510</t>
  </si>
  <si>
    <t>360365ApP0000400</t>
  </si>
  <si>
    <t>Lot 109839</t>
  </si>
  <si>
    <t>SO0001767</t>
  </si>
  <si>
    <t>Lot 112145</t>
  </si>
  <si>
    <t>SO0001801</t>
  </si>
  <si>
    <t>Lot 117182</t>
  </si>
  <si>
    <t>360365ApP0000421</t>
  </si>
  <si>
    <t>Lot 124805</t>
  </si>
  <si>
    <t>SO0002039</t>
  </si>
  <si>
    <t>Lot 122661</t>
  </si>
  <si>
    <t>Lot 126608</t>
  </si>
  <si>
    <t>360365ApP0000455</t>
  </si>
  <si>
    <t>Lot 126610</t>
  </si>
  <si>
    <t>Lot 193412</t>
  </si>
  <si>
    <t>Lot 193621</t>
  </si>
  <si>
    <t>360365ApP0000748</t>
  </si>
  <si>
    <t>Lot 194219</t>
  </si>
  <si>
    <t>Lot 204263</t>
  </si>
  <si>
    <t>Lot 204374</t>
  </si>
  <si>
    <t>Lot 207072</t>
  </si>
  <si>
    <t>SO0002977</t>
  </si>
  <si>
    <t>Lot 231235</t>
  </si>
  <si>
    <t>SO0003266</t>
  </si>
  <si>
    <t>Lot 234758</t>
  </si>
  <si>
    <t>Lot 240898</t>
  </si>
  <si>
    <t>SO0003411</t>
  </si>
  <si>
    <t>Lot 252091</t>
  </si>
  <si>
    <t>Lot 259430</t>
  </si>
  <si>
    <t>Lot 271008</t>
  </si>
  <si>
    <t>Lot 272635</t>
  </si>
  <si>
    <t>SO0003815</t>
  </si>
  <si>
    <t>Lot 280396</t>
  </si>
  <si>
    <t>SO0003952</t>
  </si>
  <si>
    <t>Lot 277021</t>
  </si>
  <si>
    <t>Lot 067836</t>
  </si>
  <si>
    <t>360369ApP0000279</t>
  </si>
  <si>
    <t>Lot 104433</t>
  </si>
  <si>
    <t>SO0001663</t>
  </si>
  <si>
    <t>Lot 121731</t>
  </si>
  <si>
    <t>Lot 122924</t>
  </si>
  <si>
    <t>Lot 224597</t>
  </si>
  <si>
    <t>360369ApP0000800</t>
  </si>
  <si>
    <t>Lot 227590</t>
  </si>
  <si>
    <t>SO0003220</t>
  </si>
  <si>
    <t>Lot 227622</t>
  </si>
  <si>
    <t>360369ApP0000814</t>
  </si>
  <si>
    <t>Lot 227825</t>
  </si>
  <si>
    <t>Lot 239277</t>
  </si>
  <si>
    <t>360369ApP0000858</t>
  </si>
  <si>
    <t>Lot 269939</t>
  </si>
  <si>
    <t>Lot 270072</t>
  </si>
  <si>
    <t>Lot 270414</t>
  </si>
  <si>
    <t>Lot 276871</t>
  </si>
  <si>
    <t>Lot 277020</t>
  </si>
  <si>
    <t>Lot 279985</t>
  </si>
  <si>
    <t>360365ApP0001167</t>
  </si>
  <si>
    <t>Lot 279987</t>
  </si>
  <si>
    <t>360365ApP0001169</t>
  </si>
  <si>
    <t>Lot 279989</t>
  </si>
  <si>
    <t>360365ApP0001171</t>
  </si>
  <si>
    <t>Lot 279991</t>
  </si>
  <si>
    <t>360365ApP0001173</t>
  </si>
  <si>
    <t>Lot 279993</t>
  </si>
  <si>
    <t>360365ApP0001175</t>
  </si>
  <si>
    <t>Lot 279995</t>
  </si>
  <si>
    <t>360365ApP0001177</t>
  </si>
  <si>
    <t>Lot 279997</t>
  </si>
  <si>
    <t>360365ApP0001179</t>
  </si>
  <si>
    <t>Lot 011475</t>
  </si>
  <si>
    <t>Lot 012625</t>
  </si>
  <si>
    <t>Lot 012637</t>
  </si>
  <si>
    <t>Lot 012562</t>
  </si>
  <si>
    <t>SO0000102</t>
  </si>
  <si>
    <t>Lot 014158</t>
  </si>
  <si>
    <t>SO0000155</t>
  </si>
  <si>
    <t>Lot 014177</t>
  </si>
  <si>
    <t>SO0000156</t>
  </si>
  <si>
    <t>Lot 014181</t>
  </si>
  <si>
    <t>SO0000157</t>
  </si>
  <si>
    <t>Lot 014288</t>
  </si>
  <si>
    <t>Lot 018655</t>
  </si>
  <si>
    <t>Lot 018839</t>
  </si>
  <si>
    <t>Lot 018816</t>
  </si>
  <si>
    <t>Lot 024879</t>
  </si>
  <si>
    <t>360369ApP0000080</t>
  </si>
  <si>
    <t>Lot 026145</t>
  </si>
  <si>
    <t>360369ApP0000085</t>
  </si>
  <si>
    <t>Lot 027113</t>
  </si>
  <si>
    <t>360369ApP0000104</t>
  </si>
  <si>
    <t>Lot 027248</t>
  </si>
  <si>
    <t>360369ApP0000106</t>
  </si>
  <si>
    <t>Lot 027613</t>
  </si>
  <si>
    <t>360369ApP0000108</t>
  </si>
  <si>
    <t>Lot 027615</t>
  </si>
  <si>
    <t>360369ApP0000110</t>
  </si>
  <si>
    <t>Lot 028731</t>
  </si>
  <si>
    <t>360369ApP0000122</t>
  </si>
  <si>
    <t>Lot 027617</t>
  </si>
  <si>
    <t>360369ApP0000112</t>
  </si>
  <si>
    <t>Lot 039436</t>
  </si>
  <si>
    <t>Lot 039659</t>
  </si>
  <si>
    <t>Lot 040703</t>
  </si>
  <si>
    <t>360364ApP0000100</t>
  </si>
  <si>
    <t>Lot 041887</t>
  </si>
  <si>
    <t>Lot 044738</t>
  </si>
  <si>
    <t>Lot 045195</t>
  </si>
  <si>
    <t>Lot 045767</t>
  </si>
  <si>
    <t>360369ApP0000187</t>
  </si>
  <si>
    <t>Lot 046163</t>
  </si>
  <si>
    <t>360369ApP0000189</t>
  </si>
  <si>
    <t>Lot 046224</t>
  </si>
  <si>
    <t>Lot 047584</t>
  </si>
  <si>
    <t>Lot 048142</t>
  </si>
  <si>
    <t>360369ApP0000218</t>
  </si>
  <si>
    <t>Lot 051991</t>
  </si>
  <si>
    <t>360369ApP0000225</t>
  </si>
  <si>
    <t>Lot 051993</t>
  </si>
  <si>
    <t>360369ApP0000227</t>
  </si>
  <si>
    <t>Lot 052304</t>
  </si>
  <si>
    <t>360369ApP0000230</t>
  </si>
  <si>
    <t>Lot 059923</t>
  </si>
  <si>
    <t>360369ApP0000262</t>
  </si>
  <si>
    <t>Lot 052306</t>
  </si>
  <si>
    <t>360369ApP0000232</t>
  </si>
  <si>
    <t>Lot 061558</t>
  </si>
  <si>
    <t>360369ApP0000269</t>
  </si>
  <si>
    <t>Lot 061561</t>
  </si>
  <si>
    <t>360369ApP0000271</t>
  </si>
  <si>
    <t>Lot 064989</t>
  </si>
  <si>
    <t>360369ApP0000276</t>
  </si>
  <si>
    <t>Lot 070001</t>
  </si>
  <si>
    <t>360366ApP0000187</t>
  </si>
  <si>
    <t>Lot 070802</t>
  </si>
  <si>
    <t>360369ApP0000282</t>
  </si>
  <si>
    <t>Lot 074249</t>
  </si>
  <si>
    <t>360369ApP0000284</t>
  </si>
  <si>
    <t>Lot 082105</t>
  </si>
  <si>
    <t>360364ApP0000325</t>
  </si>
  <si>
    <t>Lot 082103</t>
  </si>
  <si>
    <t>360364ApP0000327</t>
  </si>
  <si>
    <t>Lot 089686</t>
  </si>
  <si>
    <t>360369ApP0000320</t>
  </si>
  <si>
    <t>Lot 094263</t>
  </si>
  <si>
    <t>SO0001515</t>
  </si>
  <si>
    <t>Lot 094522</t>
  </si>
  <si>
    <t>SO0001525</t>
  </si>
  <si>
    <t>Lot 092299</t>
  </si>
  <si>
    <t>Lot 094543</t>
  </si>
  <si>
    <t>Lot 095322</t>
  </si>
  <si>
    <t>360369ApP0000335</t>
  </si>
  <si>
    <t>Lot 096591</t>
  </si>
  <si>
    <t>SO0001555</t>
  </si>
  <si>
    <t>Lot 098103</t>
  </si>
  <si>
    <t>360369ApP0000341</t>
  </si>
  <si>
    <t>Lot 098101</t>
  </si>
  <si>
    <t>360369ApP0000343</t>
  </si>
  <si>
    <t>Lot 101760</t>
  </si>
  <si>
    <t>Lot 098099</t>
  </si>
  <si>
    <t>360369ApP0000345</t>
  </si>
  <si>
    <t>Lot 098097</t>
  </si>
  <si>
    <t>360369ApP0000347</t>
  </si>
  <si>
    <t>Lot 099718</t>
  </si>
  <si>
    <t>360369ApP0000351</t>
  </si>
  <si>
    <t>Lot 106076</t>
  </si>
  <si>
    <t>Lot 099720</t>
  </si>
  <si>
    <t>360369ApP0000353</t>
  </si>
  <si>
    <t>Lot 114384</t>
  </si>
  <si>
    <t>360368ApP0000307</t>
  </si>
  <si>
    <t>Lot 100447</t>
  </si>
  <si>
    <t>360369ApP0000355</t>
  </si>
  <si>
    <t>Lot 099722</t>
  </si>
  <si>
    <t>360369ApP0000357</t>
  </si>
  <si>
    <t>Lot 117798</t>
  </si>
  <si>
    <t>Lot 117801</t>
  </si>
  <si>
    <t>360369ApP0000399</t>
  </si>
  <si>
    <t>Lot 122228</t>
  </si>
  <si>
    <t>SO0001956</t>
  </si>
  <si>
    <t>Lot 122229</t>
  </si>
  <si>
    <t>Lot 122542</t>
  </si>
  <si>
    <t>Lot 122544</t>
  </si>
  <si>
    <t>360369ApP0000423</t>
  </si>
  <si>
    <t>Lot 205107</t>
  </si>
  <si>
    <t>Lot 204776</t>
  </si>
  <si>
    <t>Lot 204649</t>
  </si>
  <si>
    <t>360369ApP0000704</t>
  </si>
  <si>
    <t>Lot 206303</t>
  </si>
  <si>
    <t>360369ApP0000722</t>
  </si>
  <si>
    <t>Lot 205092</t>
  </si>
  <si>
    <t>360369ApP0000711</t>
  </si>
  <si>
    <t>Lot 211457</t>
  </si>
  <si>
    <t>Lot 215807</t>
  </si>
  <si>
    <t>Lot 225117</t>
  </si>
  <si>
    <t>360369ApP0000802</t>
  </si>
  <si>
    <t>Lot 225120</t>
  </si>
  <si>
    <t>Lot 227826</t>
  </si>
  <si>
    <t>Lot 228793</t>
  </si>
  <si>
    <t>Lot 231441</t>
  </si>
  <si>
    <t>Lot 231435</t>
  </si>
  <si>
    <t>360345ApP0000327</t>
  </si>
  <si>
    <t>Lot 234058</t>
  </si>
  <si>
    <t>360365ApP0000876</t>
  </si>
  <si>
    <t>Lot 234462</t>
  </si>
  <si>
    <t>Lot 235542</t>
  </si>
  <si>
    <t>SO0003338</t>
  </si>
  <si>
    <t>Lot 237667</t>
  </si>
  <si>
    <t>Lot 239226</t>
  </si>
  <si>
    <t>360369ApP0000856</t>
  </si>
  <si>
    <t>Lot 241070</t>
  </si>
  <si>
    <t>SO0003413</t>
  </si>
  <si>
    <t>Lot 242303</t>
  </si>
  <si>
    <t>360369ApP0000874</t>
  </si>
  <si>
    <t>Lot 243039</t>
  </si>
  <si>
    <t>360364ApP0001068</t>
  </si>
  <si>
    <t>Lot 257307</t>
  </si>
  <si>
    <t>360371ApP0001132</t>
  </si>
  <si>
    <t>Lot 262306</t>
  </si>
  <si>
    <t>360365ApP0001037</t>
  </si>
  <si>
    <t>Lot 264718</t>
  </si>
  <si>
    <t>Lot 262310</t>
  </si>
  <si>
    <t>360365ApP0001041</t>
  </si>
  <si>
    <t>Lot 266257</t>
  </si>
  <si>
    <t>360369ApP0000947</t>
  </si>
  <si>
    <t>Lot 266253</t>
  </si>
  <si>
    <t>360369ApP0000940</t>
  </si>
  <si>
    <t>Lot 269299</t>
  </si>
  <si>
    <t>SO0003768</t>
  </si>
  <si>
    <t>Lot 269324</t>
  </si>
  <si>
    <t>Lot 274638</t>
  </si>
  <si>
    <t>SO0003843</t>
  </si>
  <si>
    <t>Lot 274642</t>
  </si>
  <si>
    <t>SO0003847</t>
  </si>
  <si>
    <t>Lot 274652</t>
  </si>
  <si>
    <t>360365ApP0001126</t>
  </si>
  <si>
    <t>Lot 277711</t>
  </si>
  <si>
    <t>Lot 278146</t>
  </si>
  <si>
    <t>360369ApP0001010</t>
  </si>
  <si>
    <t>Lot 280417</t>
  </si>
  <si>
    <t>Lot 018571</t>
  </si>
  <si>
    <t>Lot 024186</t>
  </si>
  <si>
    <t>Lot 025381</t>
  </si>
  <si>
    <t>Lot 025416</t>
  </si>
  <si>
    <t>Lot 025418</t>
  </si>
  <si>
    <t>Lot 025788</t>
  </si>
  <si>
    <t>SO0000367</t>
  </si>
  <si>
    <t>Lot 025789</t>
  </si>
  <si>
    <t>Lot 025881</t>
  </si>
  <si>
    <t>Lot 027441</t>
  </si>
  <si>
    <t>Lot 027995</t>
  </si>
  <si>
    <t>Lot 028230</t>
  </si>
  <si>
    <t>Lot 028559</t>
  </si>
  <si>
    <t>Lot 032551</t>
  </si>
  <si>
    <t>Lot 032586</t>
  </si>
  <si>
    <t>Lot 033676</t>
  </si>
  <si>
    <t>Lot 035906</t>
  </si>
  <si>
    <t>Lot 048138</t>
  </si>
  <si>
    <t>Lot 055202</t>
  </si>
  <si>
    <t>SO0001027</t>
  </si>
  <si>
    <t>Lot 059468</t>
  </si>
  <si>
    <t>SO0001088</t>
  </si>
  <si>
    <t>Lot 094332</t>
  </si>
  <si>
    <t>SO0001521</t>
  </si>
  <si>
    <t>Lot 104401</t>
  </si>
  <si>
    <t>SO0001661</t>
  </si>
  <si>
    <t>Lot 116012</t>
  </si>
  <si>
    <t>Lot 118127</t>
  </si>
  <si>
    <t>SO0001889</t>
  </si>
  <si>
    <t>Lot 122100</t>
  </si>
  <si>
    <t>SO0001945</t>
  </si>
  <si>
    <t>Lot 122919</t>
  </si>
  <si>
    <t>SO0001987</t>
  </si>
  <si>
    <t>Lot 207598</t>
  </si>
  <si>
    <t>Lot 207600</t>
  </si>
  <si>
    <t>Lot 242522</t>
  </si>
  <si>
    <t>SO0003434</t>
  </si>
  <si>
    <t>Lot 280065</t>
  </si>
  <si>
    <t>FOLIAFR</t>
  </si>
  <si>
    <t>Lot 132065</t>
  </si>
  <si>
    <t>SO0002133</t>
  </si>
  <si>
    <t>Lot 276873</t>
  </si>
  <si>
    <t>Lot 277714</t>
  </si>
  <si>
    <t>360369ApP0001006</t>
  </si>
  <si>
    <t>Lot 279456</t>
  </si>
  <si>
    <t>Lot 279485</t>
  </si>
  <si>
    <t>360366ApP0000619</t>
  </si>
  <si>
    <t>Lot 279841</t>
  </si>
  <si>
    <t>360369ApP0001018</t>
  </si>
  <si>
    <t>Lot 280810</t>
  </si>
  <si>
    <t>360364ApP0001224</t>
  </si>
  <si>
    <t>Lot 002493</t>
  </si>
  <si>
    <t>Lot 008460</t>
  </si>
  <si>
    <t>SO0000068</t>
  </si>
  <si>
    <t>Lot 009596</t>
  </si>
  <si>
    <t>SO0000072</t>
  </si>
  <si>
    <t>Lot 009599</t>
  </si>
  <si>
    <t>Lot 009622</t>
  </si>
  <si>
    <t>SO0000074</t>
  </si>
  <si>
    <t>Lot 009673</t>
  </si>
  <si>
    <t>Lot 010852</t>
  </si>
  <si>
    <t>Lot 010881</t>
  </si>
  <si>
    <t>Lot 010892</t>
  </si>
  <si>
    <t>Lot 010899</t>
  </si>
  <si>
    <t>Lot 010906</t>
  </si>
  <si>
    <t>Lot 010844</t>
  </si>
  <si>
    <t>SO0000078</t>
  </si>
  <si>
    <t>Lot 011469</t>
  </si>
  <si>
    <t>SO0000096</t>
  </si>
  <si>
    <t>Lot 012923</t>
  </si>
  <si>
    <t>SO0000119</t>
  </si>
  <si>
    <t>Lot 013013</t>
  </si>
  <si>
    <t>Lot 013347</t>
  </si>
  <si>
    <t>SO0000141</t>
  </si>
  <si>
    <t>Lot 013342</t>
  </si>
  <si>
    <t>SO0000137</t>
  </si>
  <si>
    <t>Lot 014156</t>
  </si>
  <si>
    <t>SO0000153</t>
  </si>
  <si>
    <t>Lot 014213</t>
  </si>
  <si>
    <t>Lot 014270</t>
  </si>
  <si>
    <t>SO0000173</t>
  </si>
  <si>
    <t>Lot 014284</t>
  </si>
  <si>
    <t>SO0000180</t>
  </si>
  <si>
    <t>Lot 014286</t>
  </si>
  <si>
    <t>Lot 014354</t>
  </si>
  <si>
    <t>SO0000194</t>
  </si>
  <si>
    <t>Lot 014355</t>
  </si>
  <si>
    <t>SO0000195</t>
  </si>
  <si>
    <t>Lot 014356</t>
  </si>
  <si>
    <t>SO0000196</t>
  </si>
  <si>
    <t>Lot 015162</t>
  </si>
  <si>
    <t>SO0000207</t>
  </si>
  <si>
    <t>Lot 015252</t>
  </si>
  <si>
    <t>SO0000210</t>
  </si>
  <si>
    <t>Lot 015344</t>
  </si>
  <si>
    <t>SO0000217</t>
  </si>
  <si>
    <t>Lot 018213</t>
  </si>
  <si>
    <t>SO0000224</t>
  </si>
  <si>
    <t>Lot 018274</t>
  </si>
  <si>
    <t>SO0000228</t>
  </si>
  <si>
    <t>Lot 018349</t>
  </si>
  <si>
    <t>SO0000238</t>
  </si>
  <si>
    <t>Lot 018653</t>
  </si>
  <si>
    <t>SO0000261</t>
  </si>
  <si>
    <t>Lot 018654</t>
  </si>
  <si>
    <t>SO0000262</t>
  </si>
  <si>
    <t>Lot 018607</t>
  </si>
  <si>
    <t>SO0000257</t>
  </si>
  <si>
    <t>Lot 018644</t>
  </si>
  <si>
    <t>SO0000258</t>
  </si>
  <si>
    <t>Lot 018646</t>
  </si>
  <si>
    <t>SO0000259</t>
  </si>
  <si>
    <t>Lot 018651</t>
  </si>
  <si>
    <t>SO0000260</t>
  </si>
  <si>
    <t>Lot 019071</t>
  </si>
  <si>
    <t>360366ApP0000004</t>
  </si>
  <si>
    <t>Lot 018837</t>
  </si>
  <si>
    <t>Lot 020123</t>
  </si>
  <si>
    <t>Lot 020126</t>
  </si>
  <si>
    <t>Lot 024058</t>
  </si>
  <si>
    <t>360SO0003377</t>
  </si>
  <si>
    <t>Lot 024102</t>
  </si>
  <si>
    <t>SO0000290</t>
  </si>
  <si>
    <t>Lot 024497</t>
  </si>
  <si>
    <t>Lot 024504</t>
  </si>
  <si>
    <t>SO0000303</t>
  </si>
  <si>
    <t>Lot 024513</t>
  </si>
  <si>
    <t>SO0000307</t>
  </si>
  <si>
    <t>Lot 024069</t>
  </si>
  <si>
    <t>Lot 024880</t>
  </si>
  <si>
    <t>Lot 025378</t>
  </si>
  <si>
    <t>SO0000331</t>
  </si>
  <si>
    <t>Lot 025386</t>
  </si>
  <si>
    <t>SO0000335</t>
  </si>
  <si>
    <t>Lot 025732</t>
  </si>
  <si>
    <t>SO0000357</t>
  </si>
  <si>
    <t>Lot 026604</t>
  </si>
  <si>
    <t>360366ApP0000049</t>
  </si>
  <si>
    <t>Lot 025792</t>
  </si>
  <si>
    <t>SO0000370</t>
  </si>
  <si>
    <t>Lot 025710</t>
  </si>
  <si>
    <t>360ApP0001248</t>
  </si>
  <si>
    <t>Lot 025816</t>
  </si>
  <si>
    <t>SO0000374</t>
  </si>
  <si>
    <t>Lot 025854</t>
  </si>
  <si>
    <t>SO0000375</t>
  </si>
  <si>
    <t>Lot 025857</t>
  </si>
  <si>
    <t>360ApP0001253</t>
  </si>
  <si>
    <t>Lot 025860</t>
  </si>
  <si>
    <t>SO0000378</t>
  </si>
  <si>
    <t>Lot 025927</t>
  </si>
  <si>
    <t>SO0000382</t>
  </si>
  <si>
    <t>Lot 025959</t>
  </si>
  <si>
    <t>Lot 026063</t>
  </si>
  <si>
    <t>Lot 026108</t>
  </si>
  <si>
    <t>Lot 026068</t>
  </si>
  <si>
    <t>Lot 026223</t>
  </si>
  <si>
    <t>SO0000402</t>
  </si>
  <si>
    <t>Lot 026133</t>
  </si>
  <si>
    <t>Lot 026333</t>
  </si>
  <si>
    <t>SO0000411</t>
  </si>
  <si>
    <t>Lot 026413</t>
  </si>
  <si>
    <t>SO0000415</t>
  </si>
  <si>
    <t>Lot 026415</t>
  </si>
  <si>
    <t>SO0000416</t>
  </si>
  <si>
    <t>Lot 026468</t>
  </si>
  <si>
    <t>SO0000422</t>
  </si>
  <si>
    <t>Lot 026511</t>
  </si>
  <si>
    <t>Lot 026516</t>
  </si>
  <si>
    <t>360366ApP0000045</t>
  </si>
  <si>
    <t>Lot 026526</t>
  </si>
  <si>
    <t>SO0000431</t>
  </si>
  <si>
    <t>Lot 026738</t>
  </si>
  <si>
    <t>SO0000443</t>
  </si>
  <si>
    <t>Lot 026806</t>
  </si>
  <si>
    <t>Lot 026933</t>
  </si>
  <si>
    <t>SO0000452</t>
  </si>
  <si>
    <t>Lot 026708</t>
  </si>
  <si>
    <t>SO0000441</t>
  </si>
  <si>
    <t>Lot 026978</t>
  </si>
  <si>
    <t>SO0000456</t>
  </si>
  <si>
    <t>Lot 027072</t>
  </si>
  <si>
    <t>SO0000457</t>
  </si>
  <si>
    <t>Lot 027074</t>
  </si>
  <si>
    <t>SO0000458</t>
  </si>
  <si>
    <t>Lot 027242</t>
  </si>
  <si>
    <t>360366ApP0000053</t>
  </si>
  <si>
    <t>Lot 027245</t>
  </si>
  <si>
    <t>Lot 027575</t>
  </si>
  <si>
    <t>SO0000472</t>
  </si>
  <si>
    <t>Lot 027577</t>
  </si>
  <si>
    <t>SO0000473</t>
  </si>
  <si>
    <t>Lot 027665</t>
  </si>
  <si>
    <t>SO0000478</t>
  </si>
  <si>
    <t>Lot 027702</t>
  </si>
  <si>
    <t>SO0000479</t>
  </si>
  <si>
    <t>Lot 027795</t>
  </si>
  <si>
    <t>SO0000481</t>
  </si>
  <si>
    <t>Lot 027659</t>
  </si>
  <si>
    <t>Lot 027980</t>
  </si>
  <si>
    <t>SO0000484</t>
  </si>
  <si>
    <t>Lot 027986</t>
  </si>
  <si>
    <t>SO0000488</t>
  </si>
  <si>
    <t>Lot 027988</t>
  </si>
  <si>
    <t>SO0000489</t>
  </si>
  <si>
    <t>Lot 027990</t>
  </si>
  <si>
    <t>SO0000490</t>
  </si>
  <si>
    <t>Lot 027992</t>
  </si>
  <si>
    <t>SO0000491</t>
  </si>
  <si>
    <t>Lot 027996</t>
  </si>
  <si>
    <t>SO0000493</t>
  </si>
  <si>
    <t>Lot 028052</t>
  </si>
  <si>
    <t>SO0000499</t>
  </si>
  <si>
    <t>Lot 028225</t>
  </si>
  <si>
    <t>SO0000502</t>
  </si>
  <si>
    <t>Lot 028766</t>
  </si>
  <si>
    <t>Lot 028326</t>
  </si>
  <si>
    <t>SO0000512</t>
  </si>
  <si>
    <t>Lot 028657</t>
  </si>
  <si>
    <t>SO0000517</t>
  </si>
  <si>
    <t>Lot 028768</t>
  </si>
  <si>
    <t>360366ApP0000064</t>
  </si>
  <si>
    <t>Lot 028827</t>
  </si>
  <si>
    <t>SO0000522</t>
  </si>
  <si>
    <t>Lot 028831</t>
  </si>
  <si>
    <t>Lot 032162</t>
  </si>
  <si>
    <t>360366ApP0000070</t>
  </si>
  <si>
    <t>Lot 032211</t>
  </si>
  <si>
    <t>Lot 032546</t>
  </si>
  <si>
    <t>Lot 032604</t>
  </si>
  <si>
    <t>Lot 032651</t>
  </si>
  <si>
    <t>Lot 032760</t>
  </si>
  <si>
    <t>Lot 032896</t>
  </si>
  <si>
    <t>Lot 032545</t>
  </si>
  <si>
    <t>SO0000539</t>
  </si>
  <si>
    <t>Lot 032548</t>
  </si>
  <si>
    <t>Lot 032587</t>
  </si>
  <si>
    <t>SO0000553</t>
  </si>
  <si>
    <t>Lot 032566</t>
  </si>
  <si>
    <t>SO0000550</t>
  </si>
  <si>
    <t>Lot 033001</t>
  </si>
  <si>
    <t>SO0000568</t>
  </si>
  <si>
    <t>Lot 033548</t>
  </si>
  <si>
    <t>SO0000589</t>
  </si>
  <si>
    <t>Lot 033544</t>
  </si>
  <si>
    <t>SO0000587</t>
  </si>
  <si>
    <t>Lot 033567</t>
  </si>
  <si>
    <t>SO0000597</t>
  </si>
  <si>
    <t>Lot 033669</t>
  </si>
  <si>
    <t>SO0000599</t>
  </si>
  <si>
    <t>Lot 034738</t>
  </si>
  <si>
    <t>SO0000606</t>
  </si>
  <si>
    <t>Lot 034782</t>
  </si>
  <si>
    <t>SO0000610</t>
  </si>
  <si>
    <t>Lot 034915</t>
  </si>
  <si>
    <t>SO0000616</t>
  </si>
  <si>
    <t>Lot 034574</t>
  </si>
  <si>
    <t>SO0000605</t>
  </si>
  <si>
    <t>Lot 032960</t>
  </si>
  <si>
    <t>360ApP0001487</t>
  </si>
  <si>
    <t>Lot 034927</t>
  </si>
  <si>
    <t>SO0000624</t>
  </si>
  <si>
    <t>Lot 035093</t>
  </si>
  <si>
    <t>SO0000629</t>
  </si>
  <si>
    <t>Lot 035095</t>
  </si>
  <si>
    <t>SO0000631</t>
  </si>
  <si>
    <t>Lot 035164</t>
  </si>
  <si>
    <t>SO0000640</t>
  </si>
  <si>
    <t>Lot 035362</t>
  </si>
  <si>
    <t>SO0000649</t>
  </si>
  <si>
    <t>Lot 035637</t>
  </si>
  <si>
    <t>SO0000657</t>
  </si>
  <si>
    <t>Lot 035706</t>
  </si>
  <si>
    <t>360366ApP0000085</t>
  </si>
  <si>
    <t>Lot 036438</t>
  </si>
  <si>
    <t>Lot 036564</t>
  </si>
  <si>
    <t>SO0000689</t>
  </si>
  <si>
    <t>Lot 036748</t>
  </si>
  <si>
    <t>SO0000693</t>
  </si>
  <si>
    <t>Lot 036963</t>
  </si>
  <si>
    <t>SO0000709</t>
  </si>
  <si>
    <t>Lot 037059</t>
  </si>
  <si>
    <t>SO0000712</t>
  </si>
  <si>
    <t>Lot 037060</t>
  </si>
  <si>
    <t>SO0000713</t>
  </si>
  <si>
    <t>Lot 037182</t>
  </si>
  <si>
    <t>SO0000714</t>
  </si>
  <si>
    <t>Lot 037692</t>
  </si>
  <si>
    <t>SO0000716</t>
  </si>
  <si>
    <t>Lot 039816</t>
  </si>
  <si>
    <t>360368ApP0000114</t>
  </si>
  <si>
    <t>Lot 040009</t>
  </si>
  <si>
    <t>SO0000746</t>
  </si>
  <si>
    <t>Lot 040033</t>
  </si>
  <si>
    <t>Lot 040151</t>
  </si>
  <si>
    <t>Lot 040218</t>
  </si>
  <si>
    <t>360366ApP0000111</t>
  </si>
  <si>
    <t>Lot 040702</t>
  </si>
  <si>
    <t>Lot 041548</t>
  </si>
  <si>
    <t>SO0000756</t>
  </si>
  <si>
    <t>Lot 041617</t>
  </si>
  <si>
    <t>SO0000762</t>
  </si>
  <si>
    <t>Lot 041885</t>
  </si>
  <si>
    <t>Lot 041717</t>
  </si>
  <si>
    <t>SO0000767</t>
  </si>
  <si>
    <t>Lot 041864</t>
  </si>
  <si>
    <t>SO0000783</t>
  </si>
  <si>
    <t>Lot 041828</t>
  </si>
  <si>
    <t>Lot 041832</t>
  </si>
  <si>
    <t>360366ApP0000115</t>
  </si>
  <si>
    <t>Lot 043972</t>
  </si>
  <si>
    <t>SO0000785</t>
  </si>
  <si>
    <t>Lot 043981</t>
  </si>
  <si>
    <t>SO0000794</t>
  </si>
  <si>
    <t>Lot 044008</t>
  </si>
  <si>
    <t>SO0000799</t>
  </si>
  <si>
    <t>Lot 044606</t>
  </si>
  <si>
    <t>360363ApP0000194</t>
  </si>
  <si>
    <t>Lot 044054</t>
  </si>
  <si>
    <t>Lot 043992</t>
  </si>
  <si>
    <t>Lot 045020</t>
  </si>
  <si>
    <t>Lot 045058</t>
  </si>
  <si>
    <t>SO0000813</t>
  </si>
  <si>
    <t>Lot 045060</t>
  </si>
  <si>
    <t>SO0000814</t>
  </si>
  <si>
    <t>Lot 045063</t>
  </si>
  <si>
    <t>SO0000816</t>
  </si>
  <si>
    <t>Lot 045048</t>
  </si>
  <si>
    <t>SO0000808</t>
  </si>
  <si>
    <t>Lot 045050</t>
  </si>
  <si>
    <t>SO0000809</t>
  </si>
  <si>
    <t>Lot 045119</t>
  </si>
  <si>
    <t>SO0000825</t>
  </si>
  <si>
    <t>Lot 045350</t>
  </si>
  <si>
    <t>SO0000834</t>
  </si>
  <si>
    <t>Lot 045166</t>
  </si>
  <si>
    <t>360366ApP0000131</t>
  </si>
  <si>
    <t>Lot 045197</t>
  </si>
  <si>
    <t>Lot 045362</t>
  </si>
  <si>
    <t>SO0000839</t>
  </si>
  <si>
    <t>Lot 045425</t>
  </si>
  <si>
    <t>SO0000841</t>
  </si>
  <si>
    <t>Lot 045452</t>
  </si>
  <si>
    <t>SO0000844</t>
  </si>
  <si>
    <t>Lot 045514</t>
  </si>
  <si>
    <t>SO0000848</t>
  </si>
  <si>
    <t>Lot 045686</t>
  </si>
  <si>
    <t>SO0000857</t>
  </si>
  <si>
    <t>Lot 046183</t>
  </si>
  <si>
    <t>SO0000867</t>
  </si>
  <si>
    <t>Lot 045765</t>
  </si>
  <si>
    <t>360366ApP0000133</t>
  </si>
  <si>
    <t>Lot 046252</t>
  </si>
  <si>
    <t>SO0000872</t>
  </si>
  <si>
    <t>Lot 046508</t>
  </si>
  <si>
    <t>SO0000874</t>
  </si>
  <si>
    <t>Lot 046221</t>
  </si>
  <si>
    <t>Lot 046596</t>
  </si>
  <si>
    <t>SO0000878</t>
  </si>
  <si>
    <t>Lot 047116</t>
  </si>
  <si>
    <t>SO0000883</t>
  </si>
  <si>
    <t>Lot 047117</t>
  </si>
  <si>
    <t>SO0000884</t>
  </si>
  <si>
    <t>Lot 046592</t>
  </si>
  <si>
    <t>Lot 047141</t>
  </si>
  <si>
    <t>Lot 047210</t>
  </si>
  <si>
    <t>SO0000892</t>
  </si>
  <si>
    <t>Lot 047320</t>
  </si>
  <si>
    <t>SO0000896</t>
  </si>
  <si>
    <t>Lot 047478</t>
  </si>
  <si>
    <t>SO0000902</t>
  </si>
  <si>
    <t>Lot 047491</t>
  </si>
  <si>
    <t>SO0000904</t>
  </si>
  <si>
    <t>Lot 047546</t>
  </si>
  <si>
    <t>SO0000906</t>
  </si>
  <si>
    <t>Lot 047592</t>
  </si>
  <si>
    <t>360369ApP0000202</t>
  </si>
  <si>
    <t>Lot 047587</t>
  </si>
  <si>
    <t>Lot 047776</t>
  </si>
  <si>
    <t>SO0000915</t>
  </si>
  <si>
    <t>Lot 047779</t>
  </si>
  <si>
    <t>360363ApP0000229</t>
  </si>
  <si>
    <t>Lot 047849</t>
  </si>
  <si>
    <t>SO0000930</t>
  </si>
  <si>
    <t>Lot 047834</t>
  </si>
  <si>
    <t>SO0000919</t>
  </si>
  <si>
    <t>Lot 047844</t>
  </si>
  <si>
    <t>SO0000927</t>
  </si>
  <si>
    <t>Lot 047994</t>
  </si>
  <si>
    <t>SO0000936</t>
  </si>
  <si>
    <t>Lot 047997</t>
  </si>
  <si>
    <t>SO0000937</t>
  </si>
  <si>
    <t>Lot 047986</t>
  </si>
  <si>
    <t>360363ApP0000236</t>
  </si>
  <si>
    <t>Lot 048140</t>
  </si>
  <si>
    <t>360369ApP0000216</t>
  </si>
  <si>
    <t>Lot 048215</t>
  </si>
  <si>
    <t>SO0000951</t>
  </si>
  <si>
    <t>Lot 052050</t>
  </si>
  <si>
    <t>Lot 052329</t>
  </si>
  <si>
    <t>SO0000965</t>
  </si>
  <si>
    <t>Lot 048145</t>
  </si>
  <si>
    <t>360366ApP0000142</t>
  </si>
  <si>
    <t>Lot 048147</t>
  </si>
  <si>
    <t>360366ApP0000144</t>
  </si>
  <si>
    <t>Lot 055016</t>
  </si>
  <si>
    <t>360369ApP0000241</t>
  </si>
  <si>
    <t>Lot 053948</t>
  </si>
  <si>
    <t>SO0000979</t>
  </si>
  <si>
    <t>Lot 054474</t>
  </si>
  <si>
    <t>SO0000990</t>
  </si>
  <si>
    <t>Lot 055039</t>
  </si>
  <si>
    <t>SO0001012</t>
  </si>
  <si>
    <t>Lot 054481</t>
  </si>
  <si>
    <t>360ApP0002108</t>
  </si>
  <si>
    <t>Lot 055136</t>
  </si>
  <si>
    <t>SO0001022</t>
  </si>
  <si>
    <t>Lot 055206</t>
  </si>
  <si>
    <t>SO0001030</t>
  </si>
  <si>
    <t>Lot 055244</t>
  </si>
  <si>
    <t>SO0001032</t>
  </si>
  <si>
    <t>Lot 054904</t>
  </si>
  <si>
    <t>360366ApP0000152</t>
  </si>
  <si>
    <t>Lot 048269</t>
  </si>
  <si>
    <t>360366ApP0000146</t>
  </si>
  <si>
    <t>Lot 055018</t>
  </si>
  <si>
    <t>Lot 057990</t>
  </si>
  <si>
    <t>SO0001057</t>
  </si>
  <si>
    <t>Lot 058456</t>
  </si>
  <si>
    <t>SO0001061</t>
  </si>
  <si>
    <t>Lot 057476</t>
  </si>
  <si>
    <t>Lot 058681</t>
  </si>
  <si>
    <t>SO0001066</t>
  </si>
  <si>
    <t>Lot 058701</t>
  </si>
  <si>
    <t>SO0001067</t>
  </si>
  <si>
    <t>Lot 058961</t>
  </si>
  <si>
    <t>SO0001076</t>
  </si>
  <si>
    <t>Lot 059230</t>
  </si>
  <si>
    <t>Lot 059469</t>
  </si>
  <si>
    <t>SO0001089</t>
  </si>
  <si>
    <t>Lot 058465</t>
  </si>
  <si>
    <t>360369ApP0000258</t>
  </si>
  <si>
    <t>Lot 059929</t>
  </si>
  <si>
    <t>SO0001096</t>
  </si>
  <si>
    <t>Lot 060954</t>
  </si>
  <si>
    <t>SO0001113</t>
  </si>
  <si>
    <t>Lot 060950</t>
  </si>
  <si>
    <t>SO0001111</t>
  </si>
  <si>
    <t>Lot 057311</t>
  </si>
  <si>
    <t>360366ApP0000164</t>
  </si>
  <si>
    <t>Lot 061706</t>
  </si>
  <si>
    <t>SO0001129</t>
  </si>
  <si>
    <t>Lot 061802</t>
  </si>
  <si>
    <t>SO0001131</t>
  </si>
  <si>
    <t>Lot 062138</t>
  </si>
  <si>
    <t>SO0001136</t>
  </si>
  <si>
    <t>Lot 062141</t>
  </si>
  <si>
    <t>SO0001137</t>
  </si>
  <si>
    <t>Lot 062466</t>
  </si>
  <si>
    <t>SO0001150</t>
  </si>
  <si>
    <t>Lot 062779</t>
  </si>
  <si>
    <t>SO0001155</t>
  </si>
  <si>
    <t>Lot 064025</t>
  </si>
  <si>
    <t>SO0001174</t>
  </si>
  <si>
    <t>Lot 064028</t>
  </si>
  <si>
    <t>SO0001175</t>
  </si>
  <si>
    <t>Lot 061568</t>
  </si>
  <si>
    <t>Lot 061563</t>
  </si>
  <si>
    <t>360366ApP0000171</t>
  </si>
  <si>
    <t>Lot 064230</t>
  </si>
  <si>
    <t>SO0001177</t>
  </si>
  <si>
    <t>Lot 064945</t>
  </si>
  <si>
    <t>SO0001189</t>
  </si>
  <si>
    <t>Lot 065195</t>
  </si>
  <si>
    <t>SO0001199</t>
  </si>
  <si>
    <t>Lot 068106</t>
  </si>
  <si>
    <t>SO0001213</t>
  </si>
  <si>
    <t>Lot 068391</t>
  </si>
  <si>
    <t>SO0001217</t>
  </si>
  <si>
    <t>Lot 068393</t>
  </si>
  <si>
    <t>SO0001218</t>
  </si>
  <si>
    <t>Lot 069346</t>
  </si>
  <si>
    <t>SO0001236</t>
  </si>
  <si>
    <t>Lot 069367</t>
  </si>
  <si>
    <t>SO0001238</t>
  </si>
  <si>
    <t>Lot 068594</t>
  </si>
  <si>
    <t>360366ApP0000183</t>
  </si>
  <si>
    <t>Lot 070176</t>
  </si>
  <si>
    <t>SO0001249</t>
  </si>
  <si>
    <t>Lot 069303</t>
  </si>
  <si>
    <t>Lot 070774</t>
  </si>
  <si>
    <t>SO0001263</t>
  </si>
  <si>
    <t>Lot 070775</t>
  </si>
  <si>
    <t>SO0001264</t>
  </si>
  <si>
    <t>Lot 070805</t>
  </si>
  <si>
    <t>SO0001271</t>
  </si>
  <si>
    <t>Lot 071764</t>
  </si>
  <si>
    <t>SO0001281</t>
  </si>
  <si>
    <t>Lot 071242</t>
  </si>
  <si>
    <t>SO0001273</t>
  </si>
  <si>
    <t>Lot 071272</t>
  </si>
  <si>
    <t>SO0001275</t>
  </si>
  <si>
    <t>Lot 070000</t>
  </si>
  <si>
    <t>Lot 071742</t>
  </si>
  <si>
    <t>SO0001278</t>
  </si>
  <si>
    <t>Lot 072981</t>
  </si>
  <si>
    <t>SO0001294</t>
  </si>
  <si>
    <t>Lot 072983</t>
  </si>
  <si>
    <t>SO0001296</t>
  </si>
  <si>
    <t>Lot 073255</t>
  </si>
  <si>
    <t>SO0001303</t>
  </si>
  <si>
    <t>Lot 072003</t>
  </si>
  <si>
    <t>360366ApP0000189</t>
  </si>
  <si>
    <t>Lot 074807</t>
  </si>
  <si>
    <t>SO0001322</t>
  </si>
  <si>
    <t>Lot 074813</t>
  </si>
  <si>
    <t>SO0001326</t>
  </si>
  <si>
    <t>Lot 075813</t>
  </si>
  <si>
    <t>SO0001348</t>
  </si>
  <si>
    <t>Lot 075806</t>
  </si>
  <si>
    <t>SO0001345</t>
  </si>
  <si>
    <t>Lot 075809</t>
  </si>
  <si>
    <t>SO0001346</t>
  </si>
  <si>
    <t>Lot 076632</t>
  </si>
  <si>
    <t>Lot 076864</t>
  </si>
  <si>
    <t>SO0001364</t>
  </si>
  <si>
    <t>Lot 077219</t>
  </si>
  <si>
    <t>SO0001374</t>
  </si>
  <si>
    <t>Lot 078550</t>
  </si>
  <si>
    <t>SO0001383</t>
  </si>
  <si>
    <t>Lot 078572</t>
  </si>
  <si>
    <t>SO0001386</t>
  </si>
  <si>
    <t>Lot 078655</t>
  </si>
  <si>
    <t>SO0001389</t>
  </si>
  <si>
    <t>Lot 078815</t>
  </si>
  <si>
    <t>SO0001391</t>
  </si>
  <si>
    <t>Lot 079736</t>
  </si>
  <si>
    <t>SO0001407</t>
  </si>
  <si>
    <t>Lot 081000</t>
  </si>
  <si>
    <t>SO0001417</t>
  </si>
  <si>
    <t>Lot 081910</t>
  </si>
  <si>
    <t>Lot 081987</t>
  </si>
  <si>
    <t>360ApP0002554</t>
  </si>
  <si>
    <t>Lot 082114</t>
  </si>
  <si>
    <t>Lot 085387</t>
  </si>
  <si>
    <t>360366ApP0000201</t>
  </si>
  <si>
    <t>Lot 082248</t>
  </si>
  <si>
    <t>360364ApP0000337</t>
  </si>
  <si>
    <t>Lot 088380</t>
  </si>
  <si>
    <t>Lot 089268</t>
  </si>
  <si>
    <t>SO0001447</t>
  </si>
  <si>
    <t>Lot 091569</t>
  </si>
  <si>
    <t>SO0001467</t>
  </si>
  <si>
    <t>Lot 091772</t>
  </si>
  <si>
    <t>360366ApP0000216</t>
  </si>
  <si>
    <t>Lot 091775</t>
  </si>
  <si>
    <t>360366ApP0000218</t>
  </si>
  <si>
    <t>Lot 091881</t>
  </si>
  <si>
    <t>SO0001472</t>
  </si>
  <si>
    <t>Lot 091889</t>
  </si>
  <si>
    <t>SO0001476</t>
  </si>
  <si>
    <t>Lot 092001</t>
  </si>
  <si>
    <t>SO0001479</t>
  </si>
  <si>
    <t>Lot 092308</t>
  </si>
  <si>
    <t>SO0001484</t>
  </si>
  <si>
    <t>Lot 093210</t>
  </si>
  <si>
    <t>SO0001498</t>
  </si>
  <si>
    <t>Lot 093828</t>
  </si>
  <si>
    <t>SO0001503</t>
  </si>
  <si>
    <t>Lot 092214</t>
  </si>
  <si>
    <t>Lot 092300</t>
  </si>
  <si>
    <t>Lot 094336</t>
  </si>
  <si>
    <t>SO0001523</t>
  </si>
  <si>
    <t>Lot 094659</t>
  </si>
  <si>
    <t>SO0001527</t>
  </si>
  <si>
    <t>Lot 094729</t>
  </si>
  <si>
    <t>SO0001531</t>
  </si>
  <si>
    <t>Lot 094731</t>
  </si>
  <si>
    <t>SO0001532</t>
  </si>
  <si>
    <t>Lot 095120</t>
  </si>
  <si>
    <t>SO0001537</t>
  </si>
  <si>
    <t>Lot 095428</t>
  </si>
  <si>
    <t>SO0001539</t>
  </si>
  <si>
    <t>Lot 094524</t>
  </si>
  <si>
    <t>360366ApP0000223</t>
  </si>
  <si>
    <t>Lot 094541</t>
  </si>
  <si>
    <t>Lot 096338</t>
  </si>
  <si>
    <t>SO0001546</t>
  </si>
  <si>
    <t>Lot 096339</t>
  </si>
  <si>
    <t>SO0001547</t>
  </si>
  <si>
    <t>Lot 096340</t>
  </si>
  <si>
    <t>SO0001548</t>
  </si>
  <si>
    <t>Lot 096505</t>
  </si>
  <si>
    <t>SO0001552</t>
  </si>
  <si>
    <t>Lot 096684</t>
  </si>
  <si>
    <t>SO0001559</t>
  </si>
  <si>
    <t>Lot 096594</t>
  </si>
  <si>
    <t>SO0001557</t>
  </si>
  <si>
    <t>Lot 096588</t>
  </si>
  <si>
    <t>360366ApP0000233</t>
  </si>
  <si>
    <t>Lot 098095</t>
  </si>
  <si>
    <t>SO0001576</t>
  </si>
  <si>
    <t>Lot 098427</t>
  </si>
  <si>
    <t>SO0001582</t>
  </si>
  <si>
    <t>Lot 098634</t>
  </si>
  <si>
    <t>SO0001585</t>
  </si>
  <si>
    <t>Lot 098642</t>
  </si>
  <si>
    <t>SO0001586</t>
  </si>
  <si>
    <t>Lot 098643</t>
  </si>
  <si>
    <t>SO0001587</t>
  </si>
  <si>
    <t>Lot 098641</t>
  </si>
  <si>
    <t>Lot 099320</t>
  </si>
  <si>
    <t>360369ApP0000349</t>
  </si>
  <si>
    <t>Lot 100452</t>
  </si>
  <si>
    <t>SO0001612</t>
  </si>
  <si>
    <t>Lot 100265</t>
  </si>
  <si>
    <t>360366ApP0000241</t>
  </si>
  <si>
    <t>Lot 101756</t>
  </si>
  <si>
    <t>SO0001629</t>
  </si>
  <si>
    <t>Lot 102163</t>
  </si>
  <si>
    <t>SO0001634</t>
  </si>
  <si>
    <t>Lot 102444</t>
  </si>
  <si>
    <t>SO0001637</t>
  </si>
  <si>
    <t>Lot 102550</t>
  </si>
  <si>
    <t>SO0001639</t>
  </si>
  <si>
    <t>Lot 103387</t>
  </si>
  <si>
    <t>SO0001650</t>
  </si>
  <si>
    <t>Lot 103393</t>
  </si>
  <si>
    <t>360366ApP0000243</t>
  </si>
  <si>
    <t>Lot 104305</t>
  </si>
  <si>
    <t>Lot 105554</t>
  </si>
  <si>
    <t>SO0001676</t>
  </si>
  <si>
    <t>Lot 105920</t>
  </si>
  <si>
    <t>Lot 105928</t>
  </si>
  <si>
    <t>360366ApP0000249</t>
  </si>
  <si>
    <t>Lot 107095</t>
  </si>
  <si>
    <t>SO0001712</t>
  </si>
  <si>
    <t>Lot 106893</t>
  </si>
  <si>
    <t>360363ApP0000460</t>
  </si>
  <si>
    <t>Lot 107307</t>
  </si>
  <si>
    <t>SO0001717</t>
  </si>
  <si>
    <t>Lot 107491</t>
  </si>
  <si>
    <t>SO0001725</t>
  </si>
  <si>
    <t>Lot 106206</t>
  </si>
  <si>
    <t>360ApP0003213</t>
  </si>
  <si>
    <t>Lot 106207</t>
  </si>
  <si>
    <t>360ApP0003214</t>
  </si>
  <si>
    <t>Lot 106089</t>
  </si>
  <si>
    <t>360366ApP0000251</t>
  </si>
  <si>
    <t>Lot 107904</t>
  </si>
  <si>
    <t>SO0001740</t>
  </si>
  <si>
    <t>Lot 108777</t>
  </si>
  <si>
    <t>SO0001749</t>
  </si>
  <si>
    <t>Lot 109562</t>
  </si>
  <si>
    <t>SO0001757</t>
  </si>
  <si>
    <t>Lot 109870</t>
  </si>
  <si>
    <t>SO0001773</t>
  </si>
  <si>
    <t>Lot 109720</t>
  </si>
  <si>
    <t>360366ApP0000255</t>
  </si>
  <si>
    <t>Lot 109815</t>
  </si>
  <si>
    <t>360366ApP0000257</t>
  </si>
  <si>
    <t>Lot 112449</t>
  </si>
  <si>
    <t>SO0001805</t>
  </si>
  <si>
    <t>Lot 112956</t>
  </si>
  <si>
    <t>SO0001814</t>
  </si>
  <si>
    <t>Lot 113257</t>
  </si>
  <si>
    <t>SO0001833</t>
  </si>
  <si>
    <t>Lot 114376</t>
  </si>
  <si>
    <t>SO0001837</t>
  </si>
  <si>
    <t>Lot 115516</t>
  </si>
  <si>
    <t>360366ApP0000262</t>
  </si>
  <si>
    <t>Lot 117025</t>
  </si>
  <si>
    <t>SO0001868</t>
  </si>
  <si>
    <t>Lot 117027</t>
  </si>
  <si>
    <t>SO0001869</t>
  </si>
  <si>
    <t>Lot 116525</t>
  </si>
  <si>
    <t>360366ApP0000264</t>
  </si>
  <si>
    <t>Lot 119237</t>
  </si>
  <si>
    <t>SO0001906</t>
  </si>
  <si>
    <t>Lot 121723</t>
  </si>
  <si>
    <t>SO0001923</t>
  </si>
  <si>
    <t>Lot 121861</t>
  </si>
  <si>
    <t>SO0001939</t>
  </si>
  <si>
    <t>Lot 122012</t>
  </si>
  <si>
    <t>SO0001941</t>
  </si>
  <si>
    <t>Lot 119122</t>
  </si>
  <si>
    <t>Lot 122149</t>
  </si>
  <si>
    <t>SO0001949</t>
  </si>
  <si>
    <t>Lot 122174</t>
  </si>
  <si>
    <t>SO0001953</t>
  </si>
  <si>
    <t>Lot 122232</t>
  </si>
  <si>
    <t>Lot 122252</t>
  </si>
  <si>
    <t>SO0001962</t>
  </si>
  <si>
    <t>Lot 122253</t>
  </si>
  <si>
    <t>Lot 122103</t>
  </si>
  <si>
    <t>360366ApP0000268</t>
  </si>
  <si>
    <t>Lot 122396</t>
  </si>
  <si>
    <t>SO0001973</t>
  </si>
  <si>
    <t>Lot 122523</t>
  </si>
  <si>
    <t>SO0001976</t>
  </si>
  <si>
    <t>Lot 122670</t>
  </si>
  <si>
    <t>SO0001979</t>
  </si>
  <si>
    <t>Lot 122671</t>
  </si>
  <si>
    <t>SO0001980</t>
  </si>
  <si>
    <t>Lot 122925</t>
  </si>
  <si>
    <t>SO0001990</t>
  </si>
  <si>
    <t>Lot 125687</t>
  </si>
  <si>
    <t>SO0002046</t>
  </si>
  <si>
    <t>Lot 125755</t>
  </si>
  <si>
    <t>SO0002048</t>
  </si>
  <si>
    <t>Lot 124150</t>
  </si>
  <si>
    <t>360366ApP0000270</t>
  </si>
  <si>
    <t>Lot 126891</t>
  </si>
  <si>
    <t>Lot 126913</t>
  </si>
  <si>
    <t>SO0002062</t>
  </si>
  <si>
    <t>Lot 129318</t>
  </si>
  <si>
    <t>SO0002097</t>
  </si>
  <si>
    <t>Lot 129316</t>
  </si>
  <si>
    <t>SO0002095</t>
  </si>
  <si>
    <t>Lot 130072</t>
  </si>
  <si>
    <t>SO0002109</t>
  </si>
  <si>
    <t>Lot 131161</t>
  </si>
  <si>
    <t>SO0002123</t>
  </si>
  <si>
    <t>Lot 132541</t>
  </si>
  <si>
    <t>SO0002136</t>
  </si>
  <si>
    <t>Lot 132543</t>
  </si>
  <si>
    <t>SO0002138</t>
  </si>
  <si>
    <t>Lot 193396</t>
  </si>
  <si>
    <t>SO0002852</t>
  </si>
  <si>
    <t>Lot 193402</t>
  </si>
  <si>
    <t>360364ApP0000885</t>
  </si>
  <si>
    <t>Lot 193624</t>
  </si>
  <si>
    <t>Lot 194812</t>
  </si>
  <si>
    <t>SO0002860</t>
  </si>
  <si>
    <t>Lot 194734</t>
  </si>
  <si>
    <t>Lot 195491</t>
  </si>
  <si>
    <t>Lot 199070</t>
  </si>
  <si>
    <t>SO0002887</t>
  </si>
  <si>
    <t>Lot 197981</t>
  </si>
  <si>
    <t>Lot 199965</t>
  </si>
  <si>
    <t>SO0002897</t>
  </si>
  <si>
    <t>Lot 199967</t>
  </si>
  <si>
    <t>SO0002898</t>
  </si>
  <si>
    <t>Lot 200383</t>
  </si>
  <si>
    <t>SO0002900</t>
  </si>
  <si>
    <t>Lot 203115</t>
  </si>
  <si>
    <t>SO0002916</t>
  </si>
  <si>
    <t>Lot 199957</t>
  </si>
  <si>
    <t>360366ApP0000445</t>
  </si>
  <si>
    <t>Lot 205098</t>
  </si>
  <si>
    <t>SO0002930</t>
  </si>
  <si>
    <t>Lot 205099</t>
  </si>
  <si>
    <t>SO0002932</t>
  </si>
  <si>
    <t>Lot 205480</t>
  </si>
  <si>
    <t>SO0002944</t>
  </si>
  <si>
    <t>Lot 205095</t>
  </si>
  <si>
    <t>SO0002929</t>
  </si>
  <si>
    <t>Lot 204773</t>
  </si>
  <si>
    <t>Lot 205447</t>
  </si>
  <si>
    <t>SO0002943</t>
  </si>
  <si>
    <t>Lot 205485</t>
  </si>
  <si>
    <t>SO0002949</t>
  </si>
  <si>
    <t>Lot 205590</t>
  </si>
  <si>
    <t>SO0002951</t>
  </si>
  <si>
    <t>Lot 206565</t>
  </si>
  <si>
    <t>SO0002966</t>
  </si>
  <si>
    <t>Lot 206566</t>
  </si>
  <si>
    <t>SO0002967</t>
  </si>
  <si>
    <t>Lot 206781</t>
  </si>
  <si>
    <t>SO0002968</t>
  </si>
  <si>
    <t>Lot 206786</t>
  </si>
  <si>
    <t>SO0002970</t>
  </si>
  <si>
    <t>Lot 207065</t>
  </si>
  <si>
    <t>SO0002974</t>
  </si>
  <si>
    <t>Lot 207064</t>
  </si>
  <si>
    <t>SO0002973</t>
  </si>
  <si>
    <t>Lot 207753</t>
  </si>
  <si>
    <t>SO0002983</t>
  </si>
  <si>
    <t>Lot 207890</t>
  </si>
  <si>
    <t>SO0002985</t>
  </si>
  <si>
    <t>Lot 208633</t>
  </si>
  <si>
    <t>SO0002993</t>
  </si>
  <si>
    <t>Lot 208634</t>
  </si>
  <si>
    <t>SO0002995</t>
  </si>
  <si>
    <t>Lot 208638</t>
  </si>
  <si>
    <t>SO0002996</t>
  </si>
  <si>
    <t>Lot 209262</t>
  </si>
  <si>
    <t>SO0003000</t>
  </si>
  <si>
    <t>Lot 209263</t>
  </si>
  <si>
    <t>SO0003001</t>
  </si>
  <si>
    <t>Lot 209607</t>
  </si>
  <si>
    <t>SO0003008</t>
  </si>
  <si>
    <t>Lot 209663</t>
  </si>
  <si>
    <t>Lot 209764</t>
  </si>
  <si>
    <t>SO0003009</t>
  </si>
  <si>
    <t>Lot 209773</t>
  </si>
  <si>
    <t>Lot 210406</t>
  </si>
  <si>
    <t>SO0003017</t>
  </si>
  <si>
    <t>Lot 210427</t>
  </si>
  <si>
    <t>SO0003019</t>
  </si>
  <si>
    <t>Lot 211701</t>
  </si>
  <si>
    <t>SO0003031</t>
  </si>
  <si>
    <t>Lot 211757</t>
  </si>
  <si>
    <t>SO0003034</t>
  </si>
  <si>
    <t>Lot 211758</t>
  </si>
  <si>
    <t>Lot 212275</t>
  </si>
  <si>
    <t>SO0003040</t>
  </si>
  <si>
    <t>Lot 211975</t>
  </si>
  <si>
    <t>360366ApP0000464</t>
  </si>
  <si>
    <t>Lot 211765</t>
  </si>
  <si>
    <t>360366ApP0000458</t>
  </si>
  <si>
    <t>Lot 215702</t>
  </si>
  <si>
    <t>SO0003065</t>
  </si>
  <si>
    <t>Lot 215714</t>
  </si>
  <si>
    <t>Lot 215808</t>
  </si>
  <si>
    <t>Lot 216377</t>
  </si>
  <si>
    <t>SO0003076</t>
  </si>
  <si>
    <t>Lot 216379</t>
  </si>
  <si>
    <t>SO0003078</t>
  </si>
  <si>
    <t>Lot 217299</t>
  </si>
  <si>
    <t>SO0003094</t>
  </si>
  <si>
    <t>Lot 217788</t>
  </si>
  <si>
    <t>360365ApP0000827</t>
  </si>
  <si>
    <t>Lot 217975</t>
  </si>
  <si>
    <t>SO0003104</t>
  </si>
  <si>
    <t>Lot 217596</t>
  </si>
  <si>
    <t>Lot 217601</t>
  </si>
  <si>
    <t>360364ApP0000987</t>
  </si>
  <si>
    <t>Lot 218752</t>
  </si>
  <si>
    <t>SO0003108</t>
  </si>
  <si>
    <t>Lot 219945</t>
  </si>
  <si>
    <t>SO0003117</t>
  </si>
  <si>
    <t>Lot 219947</t>
  </si>
  <si>
    <t>SO0003118</t>
  </si>
  <si>
    <t>Lot 219956</t>
  </si>
  <si>
    <t>SO0003120</t>
  </si>
  <si>
    <t>Lot 219123</t>
  </si>
  <si>
    <t>360366ApP0000470</t>
  </si>
  <si>
    <t>Lot 219126</t>
  </si>
  <si>
    <t>360366ApP0000472</t>
  </si>
  <si>
    <t>Lot 220284</t>
  </si>
  <si>
    <t>SO0003121</t>
  </si>
  <si>
    <t>Lot 222594</t>
  </si>
  <si>
    <t>SO0003137</t>
  </si>
  <si>
    <t>Lot 223371</t>
  </si>
  <si>
    <t>SO0003143</t>
  </si>
  <si>
    <t>Lot 223533</t>
  </si>
  <si>
    <t>SO0003145</t>
  </si>
  <si>
    <t>Lot 224121</t>
  </si>
  <si>
    <t>360365ApP0000849</t>
  </si>
  <si>
    <t>Lot 224743</t>
  </si>
  <si>
    <t>SO0003159</t>
  </si>
  <si>
    <t>Lot 224595</t>
  </si>
  <si>
    <t>360369ApP0000798</t>
  </si>
  <si>
    <t>Lot 226345</t>
  </si>
  <si>
    <t>SO0003183</t>
  </si>
  <si>
    <t>Lot 226548</t>
  </si>
  <si>
    <t>SO0003187</t>
  </si>
  <si>
    <t>Lot 226999</t>
  </si>
  <si>
    <t>SO0003193</t>
  </si>
  <si>
    <t>Lot 227000</t>
  </si>
  <si>
    <t>SO0003194</t>
  </si>
  <si>
    <t>Lot 227001</t>
  </si>
  <si>
    <t>SO0003195</t>
  </si>
  <si>
    <t>Lot 227069</t>
  </si>
  <si>
    <t>SO0003208</t>
  </si>
  <si>
    <t>Lot 227450</t>
  </si>
  <si>
    <t>SO0003215</t>
  </si>
  <si>
    <t>Lot 227592</t>
  </si>
  <si>
    <t>SO0003221</t>
  </si>
  <si>
    <t>Lot 227203</t>
  </si>
  <si>
    <t>360366ApP0000484</t>
  </si>
  <si>
    <t>Lot 228339</t>
  </si>
  <si>
    <t>SO0003227</t>
  </si>
  <si>
    <t>Lot 227967</t>
  </si>
  <si>
    <t>360369ApP0000817</t>
  </si>
  <si>
    <t>Lot 229336</t>
  </si>
  <si>
    <t>SO0003243</t>
  </si>
  <si>
    <t>Lot 230576</t>
  </si>
  <si>
    <t>360369ApP0000832</t>
  </si>
  <si>
    <t>Lot 231844</t>
  </si>
  <si>
    <t>Lot 231795</t>
  </si>
  <si>
    <t>360366ApP0000489</t>
  </si>
  <si>
    <t>Lot 231255</t>
  </si>
  <si>
    <t>360369ApP0000834</t>
  </si>
  <si>
    <t>Lot 233177</t>
  </si>
  <si>
    <t>SO0003295</t>
  </si>
  <si>
    <t>Lot 233500</t>
  </si>
  <si>
    <t>SO0003301</t>
  </si>
  <si>
    <t>Lot 233501</t>
  </si>
  <si>
    <t>SO0003302</t>
  </si>
  <si>
    <t>Lot 234214</t>
  </si>
  <si>
    <t>SO0003319</t>
  </si>
  <si>
    <t>Lot 234458</t>
  </si>
  <si>
    <t>SO0003325</t>
  </si>
  <si>
    <t>Lot 234745</t>
  </si>
  <si>
    <t>SO0003330</t>
  </si>
  <si>
    <t>Lot 234252</t>
  </si>
  <si>
    <t>360366ApP0000493</t>
  </si>
  <si>
    <t>Lot 234759</t>
  </si>
  <si>
    <t>Lot 236353</t>
  </si>
  <si>
    <t>SO0003346</t>
  </si>
  <si>
    <t>Lot 235386</t>
  </si>
  <si>
    <t>Lot 237796</t>
  </si>
  <si>
    <t>SO0003363</t>
  </si>
  <si>
    <t>Lot 238081</t>
  </si>
  <si>
    <t>SO0003370</t>
  </si>
  <si>
    <t>Lot 238101</t>
  </si>
  <si>
    <t>SO0003371</t>
  </si>
  <si>
    <t>Lot 238140</t>
  </si>
  <si>
    <t>SO0003372</t>
  </si>
  <si>
    <t>Lot 238195</t>
  </si>
  <si>
    <t>SO0003373</t>
  </si>
  <si>
    <t>Lot 238516</t>
  </si>
  <si>
    <t>SO0003379</t>
  </si>
  <si>
    <t>Lot 238647</t>
  </si>
  <si>
    <t>Lot 238654</t>
  </si>
  <si>
    <t>Lot 238656</t>
  </si>
  <si>
    <t>Lot 239218</t>
  </si>
  <si>
    <t>SO0003390</t>
  </si>
  <si>
    <t>Lot 239592</t>
  </si>
  <si>
    <t>SO0003394</t>
  </si>
  <si>
    <t>Lot 240065</t>
  </si>
  <si>
    <t>SO0003400</t>
  </si>
  <si>
    <t>Lot 240646</t>
  </si>
  <si>
    <t>SO0003409</t>
  </si>
  <si>
    <t>Lot 240917</t>
  </si>
  <si>
    <t>SO0003412</t>
  </si>
  <si>
    <t>Lot 241317</t>
  </si>
  <si>
    <t>SO0003416</t>
  </si>
  <si>
    <t>Lot 241808</t>
  </si>
  <si>
    <t>SO0003427</t>
  </si>
  <si>
    <t>Lot 242519</t>
  </si>
  <si>
    <t>SO0003432</t>
  </si>
  <si>
    <t>Lot 235897</t>
  </si>
  <si>
    <t>360366ApP0000503</t>
  </si>
  <si>
    <t>Lot 242541</t>
  </si>
  <si>
    <t>SO0003435</t>
  </si>
  <si>
    <t>Lot 242542</t>
  </si>
  <si>
    <t>SO0003436</t>
  </si>
  <si>
    <t>Lot 242813</t>
  </si>
  <si>
    <t>SO0003445</t>
  </si>
  <si>
    <t>Lot 242824</t>
  </si>
  <si>
    <t>SO0003449</t>
  </si>
  <si>
    <t>Lot 243042</t>
  </si>
  <si>
    <t>SO0003460</t>
  </si>
  <si>
    <t>Lot 243179</t>
  </si>
  <si>
    <t>SO0003473</t>
  </si>
  <si>
    <t>Lot 243176</t>
  </si>
  <si>
    <t>SO0003472</t>
  </si>
  <si>
    <t>Lot 244147</t>
  </si>
  <si>
    <t>SO0003481</t>
  </si>
  <si>
    <t>Lot 245404</t>
  </si>
  <si>
    <t>SO0003500</t>
  </si>
  <si>
    <t>Lot 245549</t>
  </si>
  <si>
    <t>Lot 245553</t>
  </si>
  <si>
    <t>Lot 245698</t>
  </si>
  <si>
    <t>SO0003510</t>
  </si>
  <si>
    <t>Lot 245750</t>
  </si>
  <si>
    <t>SO0003512</t>
  </si>
  <si>
    <t>Lot 243011</t>
  </si>
  <si>
    <t>Lot 247022</t>
  </si>
  <si>
    <t>SO0003532</t>
  </si>
  <si>
    <t>Lot 247019</t>
  </si>
  <si>
    <t>SO0003531</t>
  </si>
  <si>
    <t>Lot 247165</t>
  </si>
  <si>
    <t>SO0003538</t>
  </si>
  <si>
    <t>Lot 247595</t>
  </si>
  <si>
    <t>SO0003545</t>
  </si>
  <si>
    <t>Lot 247813</t>
  </si>
  <si>
    <t>SO0003549</t>
  </si>
  <si>
    <t>Lot 248153</t>
  </si>
  <si>
    <t>SO0003551</t>
  </si>
  <si>
    <t>Lot 252095</t>
  </si>
  <si>
    <t>360364ApP0001102</t>
  </si>
  <si>
    <t>Lot 252088</t>
  </si>
  <si>
    <t>360366ApP0000537</t>
  </si>
  <si>
    <t>Lot 257189</t>
  </si>
  <si>
    <t>SO0003603</t>
  </si>
  <si>
    <t>Lot 257646</t>
  </si>
  <si>
    <t>Lot 258479</t>
  </si>
  <si>
    <t>SO0003610</t>
  </si>
  <si>
    <t>Lot 259179</t>
  </si>
  <si>
    <t>360366ApP0000544</t>
  </si>
  <si>
    <t>Lot 259687</t>
  </si>
  <si>
    <t>SO0003617</t>
  </si>
  <si>
    <t>Lot 260172</t>
  </si>
  <si>
    <t>Lot 260314</t>
  </si>
  <si>
    <t>360369ApP0000909</t>
  </si>
  <si>
    <t>Lot 260574</t>
  </si>
  <si>
    <t>SO0003632</t>
  </si>
  <si>
    <t>Lot 263097</t>
  </si>
  <si>
    <t>SO0003656</t>
  </si>
  <si>
    <t>Lot 263225</t>
  </si>
  <si>
    <t>SO0003663</t>
  </si>
  <si>
    <t>Lot 263742</t>
  </si>
  <si>
    <t>SO0003665</t>
  </si>
  <si>
    <t>Lot 262747</t>
  </si>
  <si>
    <t>Lot 264090</t>
  </si>
  <si>
    <t>SO0003666</t>
  </si>
  <si>
    <t>Lot 264231</t>
  </si>
  <si>
    <t>SO0003669</t>
  </si>
  <si>
    <t>Lot 264235</t>
  </si>
  <si>
    <t>Lot 264478</t>
  </si>
  <si>
    <t>Lot 264678</t>
  </si>
  <si>
    <t>Lot 264867</t>
  </si>
  <si>
    <t>SO0003680</t>
  </si>
  <si>
    <t>Lot 263970</t>
  </si>
  <si>
    <t>Lot 264096</t>
  </si>
  <si>
    <t>360366ApP0000564</t>
  </si>
  <si>
    <t>Lot 264719</t>
  </si>
  <si>
    <t>Lot 265906</t>
  </si>
  <si>
    <t>SO0003696</t>
  </si>
  <si>
    <t>Lot 265864</t>
  </si>
  <si>
    <t>SO0003692</t>
  </si>
  <si>
    <t>Lot 265975</t>
  </si>
  <si>
    <t>SO0003697</t>
  </si>
  <si>
    <t>Lot 266230</t>
  </si>
  <si>
    <t>Lot 266425</t>
  </si>
  <si>
    <t>SO0003711</t>
  </si>
  <si>
    <t>Lot 268433</t>
  </si>
  <si>
    <t>SO0003747</t>
  </si>
  <si>
    <t>Lot 266250</t>
  </si>
  <si>
    <t>Lot 268639</t>
  </si>
  <si>
    <t>SO0003752</t>
  </si>
  <si>
    <t>Lot 268754</t>
  </si>
  <si>
    <t>SO0003759</t>
  </si>
  <si>
    <t>Lot 269296</t>
  </si>
  <si>
    <t>SO0003766</t>
  </si>
  <si>
    <t>Lot 269064</t>
  </si>
  <si>
    <t>360366ApP0000586</t>
  </si>
  <si>
    <t>Lot 268636</t>
  </si>
  <si>
    <t>Lot 270991</t>
  </si>
  <si>
    <t>SO0003788</t>
  </si>
  <si>
    <t>Lot 270996</t>
  </si>
  <si>
    <t>SO0003789</t>
  </si>
  <si>
    <t>Lot 270998</t>
  </si>
  <si>
    <t>SO0003790</t>
  </si>
  <si>
    <t>Lot 270999</t>
  </si>
  <si>
    <t>SO0003791</t>
  </si>
  <si>
    <t>Lot 271075</t>
  </si>
  <si>
    <t>SO0003796</t>
  </si>
  <si>
    <t>Lot 272249</t>
  </si>
  <si>
    <t>360369ApP0000967</t>
  </si>
  <si>
    <t>Lot 272595</t>
  </si>
  <si>
    <t>SO0003812</t>
  </si>
  <si>
    <t>Lot 272596</t>
  </si>
  <si>
    <t>SO0003813</t>
  </si>
  <si>
    <t>Lot 272846</t>
  </si>
  <si>
    <t>SO0003824</t>
  </si>
  <si>
    <t>Lot 272843</t>
  </si>
  <si>
    <t>SO0003823</t>
  </si>
  <si>
    <t>Lot 273075</t>
  </si>
  <si>
    <t>SO0003831</t>
  </si>
  <si>
    <t>Lot 273270</t>
  </si>
  <si>
    <t>360366ApP0000592</t>
  </si>
  <si>
    <t>Lot 273276</t>
  </si>
  <si>
    <t>SO0003838</t>
  </si>
  <si>
    <t>Lot 273391</t>
  </si>
  <si>
    <t>360365ApP0001115</t>
  </si>
  <si>
    <t>Lot 274735</t>
  </si>
  <si>
    <t>SO0003857</t>
  </si>
  <si>
    <t>Lot 276064</t>
  </si>
  <si>
    <t>SO0003864</t>
  </si>
  <si>
    <t>Lot 276118</t>
  </si>
  <si>
    <t>SO0003866</t>
  </si>
  <si>
    <t>Lot 276119</t>
  </si>
  <si>
    <t>SO0003867</t>
  </si>
  <si>
    <t>Lot 277015</t>
  </si>
  <si>
    <t>Lot 277139</t>
  </si>
  <si>
    <t>SO0003884</t>
  </si>
  <si>
    <t>Lot 277718</t>
  </si>
  <si>
    <t>Lot 277725</t>
  </si>
  <si>
    <t>SO0003895</t>
  </si>
  <si>
    <t>Lot 278301</t>
  </si>
  <si>
    <t>SO0003903</t>
  </si>
  <si>
    <t>Lot 278303</t>
  </si>
  <si>
    <t>SO0003905</t>
  </si>
  <si>
    <t>Lot 278562</t>
  </si>
  <si>
    <t>SO0003914</t>
  </si>
  <si>
    <t>Lot 278144</t>
  </si>
  <si>
    <t>Lot 279424</t>
  </si>
  <si>
    <t>SO0003926</t>
  </si>
  <si>
    <t>Lot 279806</t>
  </si>
  <si>
    <t>SO0003933</t>
  </si>
  <si>
    <t>Lot 279482</t>
  </si>
  <si>
    <t>Lot 279977</t>
  </si>
  <si>
    <t>SO0003939</t>
  </si>
  <si>
    <t>Lot 280062</t>
  </si>
  <si>
    <t>Lot 277300</t>
  </si>
  <si>
    <t>360369ApP0000992</t>
  </si>
  <si>
    <t>Lot 280524</t>
  </si>
  <si>
    <t>Lot 280308</t>
  </si>
  <si>
    <t>Lot 001856</t>
  </si>
  <si>
    <t>SO0000019</t>
  </si>
  <si>
    <t>Lot 009601</t>
  </si>
  <si>
    <t>Lot 024059</t>
  </si>
  <si>
    <t>Lot 028833</t>
  </si>
  <si>
    <t>Lot 032210</t>
  </si>
  <si>
    <t>SO0000530</t>
  </si>
  <si>
    <t>Lot 033374</t>
  </si>
  <si>
    <t>Lot 033558</t>
  </si>
  <si>
    <t>Lot 033562</t>
  </si>
  <si>
    <t>Lot 033597</t>
  </si>
  <si>
    <t>360365ApP0000166</t>
  </si>
  <si>
    <t>Lot 039602</t>
  </si>
  <si>
    <t>Lot 039434</t>
  </si>
  <si>
    <t>Lot 056599</t>
  </si>
  <si>
    <t>360364ApP0000253</t>
  </si>
  <si>
    <t>Lot 071534</t>
  </si>
  <si>
    <t>360364ApP0000290</t>
  </si>
  <si>
    <t>Lot 074523</t>
  </si>
  <si>
    <t>SO0001313</t>
  </si>
  <si>
    <t>Lot 074524</t>
  </si>
  <si>
    <t>SO0001314</t>
  </si>
  <si>
    <t>Lot 075559</t>
  </si>
  <si>
    <t>SO0001339</t>
  </si>
  <si>
    <t>Lot 075811</t>
  </si>
  <si>
    <t>SO0001347</t>
  </si>
  <si>
    <t>Lot 076631</t>
  </si>
  <si>
    <t>SO0001362</t>
  </si>
  <si>
    <t>Lot 098244</t>
  </si>
  <si>
    <t>SO0001578</t>
  </si>
  <si>
    <t>Lot 104429</t>
  </si>
  <si>
    <t>360364ApP0000502</t>
  </si>
  <si>
    <t>Lot 106082</t>
  </si>
  <si>
    <t>SO0001686</t>
  </si>
  <si>
    <t>Lot 111241</t>
  </si>
  <si>
    <t>SO0001786</t>
  </si>
  <si>
    <t>Lot 112251</t>
  </si>
  <si>
    <t>SO0001803</t>
  </si>
  <si>
    <t>Lot 112957</t>
  </si>
  <si>
    <t>SO0001815</t>
  </si>
  <si>
    <t>Lot 119115</t>
  </si>
  <si>
    <t>360364ApP0000559</t>
  </si>
  <si>
    <t>Lot 193406</t>
  </si>
  <si>
    <t>Lot 193628</t>
  </si>
  <si>
    <t>Lot 193622</t>
  </si>
  <si>
    <t>Lot 216378</t>
  </si>
  <si>
    <t>SO0003077</t>
  </si>
  <si>
    <t>Lot 217787</t>
  </si>
  <si>
    <t>SO0003100</t>
  </si>
  <si>
    <t>Lot 217600</t>
  </si>
  <si>
    <t>Lot 222591</t>
  </si>
  <si>
    <t>Lot 224123</t>
  </si>
  <si>
    <t>Lot 240346</t>
  </si>
  <si>
    <t>Lot 252097</t>
  </si>
  <si>
    <t>Lot 259744</t>
  </si>
  <si>
    <t>360364ApP0001125</t>
  </si>
  <si>
    <t>Lot 262748</t>
  </si>
  <si>
    <t>Lot 264480</t>
  </si>
  <si>
    <t>Lot 264679</t>
  </si>
  <si>
    <t>Lot 270073</t>
  </si>
  <si>
    <t>Lot 008031</t>
  </si>
  <si>
    <t>SO0000067</t>
  </si>
  <si>
    <t>Lot 009625</t>
  </si>
  <si>
    <t>SO0000075</t>
  </si>
  <si>
    <t>Lot 024057</t>
  </si>
  <si>
    <t>Lot 027334</t>
  </si>
  <si>
    <t>Lot 035956</t>
  </si>
  <si>
    <t>360SO0004157</t>
  </si>
  <si>
    <t>Lot 039848</t>
  </si>
  <si>
    <t>360364ApP0000082</t>
  </si>
  <si>
    <t>Lot 040038</t>
  </si>
  <si>
    <t>360364ApP0000094</t>
  </si>
  <si>
    <t>Lot 047981</t>
  </si>
  <si>
    <t>360364ApP0000230</t>
  </si>
  <si>
    <t>Lot 082249</t>
  </si>
  <si>
    <t>Lot 088279</t>
  </si>
  <si>
    <t>360364ApP0000358</t>
  </si>
  <si>
    <t>Lot 091469</t>
  </si>
  <si>
    <t>360364ApP0000377</t>
  </si>
  <si>
    <t>Lot 091471</t>
  </si>
  <si>
    <t>360364ApP0000379</t>
  </si>
  <si>
    <t>Lot 091473</t>
  </si>
  <si>
    <t>360364ApP0000381</t>
  </si>
  <si>
    <t>Lot 092217</t>
  </si>
  <si>
    <t>360364ApP0000400</t>
  </si>
  <si>
    <t>Lot 092658</t>
  </si>
  <si>
    <t>360364ApP0000439</t>
  </si>
  <si>
    <t>Lot 092660</t>
  </si>
  <si>
    <t>360364ApP0000441</t>
  </si>
  <si>
    <t>Lot 092220</t>
  </si>
  <si>
    <t>360364ApP0000402</t>
  </si>
  <si>
    <t>Lot 092654</t>
  </si>
  <si>
    <t>360364ApP0000435</t>
  </si>
  <si>
    <t>Lot 092656</t>
  </si>
  <si>
    <t>360364ApP0000437</t>
  </si>
  <si>
    <t>Lot 098627</t>
  </si>
  <si>
    <t>360364ApP0000459</t>
  </si>
  <si>
    <t>Lot 098630</t>
  </si>
  <si>
    <t>360364ApP0000461</t>
  </si>
  <si>
    <t>Lot 099729</t>
  </si>
  <si>
    <t>360364ApP0000479</t>
  </si>
  <si>
    <t>Lot 105752</t>
  </si>
  <si>
    <t>360364ApP0000506</t>
  </si>
  <si>
    <t>Lot 106214</t>
  </si>
  <si>
    <t>360364ApP0000516</t>
  </si>
  <si>
    <t>Lot 106209</t>
  </si>
  <si>
    <t>360364ApP0000510</t>
  </si>
  <si>
    <t>Lot 106211</t>
  </si>
  <si>
    <t>360364ApP0000512</t>
  </si>
  <si>
    <t>Lot 106216</t>
  </si>
  <si>
    <t>360364ApP0000514</t>
  </si>
  <si>
    <t>Lot 109811</t>
  </si>
  <si>
    <t>360364ApP0000541</t>
  </si>
  <si>
    <t>Lot 109799</t>
  </si>
  <si>
    <t>SO0001761</t>
  </si>
  <si>
    <t>Lot 112968</t>
  </si>
  <si>
    <t>360364ApP0000546</t>
  </si>
  <si>
    <t>Lot 112970</t>
  </si>
  <si>
    <t>360364ApP0000548</t>
  </si>
  <si>
    <t>Lot 106238</t>
  </si>
  <si>
    <t>360364ApP0000518</t>
  </si>
  <si>
    <t>Lot 112965</t>
  </si>
  <si>
    <t>360364ApP0000543</t>
  </si>
  <si>
    <t>Lot 121724</t>
  </si>
  <si>
    <t>Lot 121725</t>
  </si>
  <si>
    <t>SO0001931</t>
  </si>
  <si>
    <t>Lot 121726</t>
  </si>
  <si>
    <t>SO0001932</t>
  </si>
  <si>
    <t>Lot 194224</t>
  </si>
  <si>
    <t>Lot 204268</t>
  </si>
  <si>
    <t>Lot 204379</t>
  </si>
  <si>
    <t>Lot 217598</t>
  </si>
  <si>
    <t>Lot 227201</t>
  </si>
  <si>
    <t>Lot 231438</t>
  </si>
  <si>
    <t>360364ApP0001031</t>
  </si>
  <si>
    <t>Lot 259745</t>
  </si>
  <si>
    <t>Lot 269322</t>
  </si>
  <si>
    <t>Lot 271001</t>
  </si>
  <si>
    <t>360364ApP0001163</t>
  </si>
  <si>
    <t>Lot 270077</t>
  </si>
  <si>
    <t>Lot 275341</t>
  </si>
  <si>
    <t>360364ApP0001179</t>
  </si>
  <si>
    <t>Lot 095433</t>
  </si>
  <si>
    <t>360366ApP0000226</t>
  </si>
  <si>
    <t>Lot 099178</t>
  </si>
  <si>
    <t>360366ApP0000239</t>
  </si>
  <si>
    <t>Lot 099734</t>
  </si>
  <si>
    <t>360364ApP0000481</t>
  </si>
  <si>
    <t>Lot 121715</t>
  </si>
  <si>
    <t>SO0001920</t>
  </si>
  <si>
    <t>Lot 193627</t>
  </si>
  <si>
    <t>Lot 211764</t>
  </si>
  <si>
    <t>Lot 223374</t>
  </si>
  <si>
    <t>360366ApP0000476</t>
  </si>
  <si>
    <t>Lot 255199</t>
  </si>
  <si>
    <t>360366ApP0000541</t>
  </si>
  <si>
    <t>Lot 269065</t>
  </si>
  <si>
    <t>Lot 268634</t>
  </si>
  <si>
    <t>Lot 271077</t>
  </si>
  <si>
    <t>Lot 273271</t>
  </si>
  <si>
    <t>Lot 277023</t>
  </si>
  <si>
    <t>360366ApP0000605</t>
  </si>
  <si>
    <t>Lot 276389</t>
  </si>
  <si>
    <t>GLG0100120</t>
  </si>
  <si>
    <t>Lot 086251</t>
  </si>
  <si>
    <t>360369ApP0000304</t>
  </si>
  <si>
    <t>Lot 100049</t>
  </si>
  <si>
    <t>SO0001605</t>
  </si>
  <si>
    <t>GLG010020BIT</t>
  </si>
  <si>
    <t>Lot 011472</t>
  </si>
  <si>
    <t>Lot 012623</t>
  </si>
  <si>
    <t>Lot 045055</t>
  </si>
  <si>
    <t>SO0000811</t>
  </si>
  <si>
    <t>Lot 045062</t>
  </si>
  <si>
    <t>SO0000815</t>
  </si>
  <si>
    <t>Lot 045361</t>
  </si>
  <si>
    <t>SO0000838</t>
  </si>
  <si>
    <t>GLG0125120</t>
  </si>
  <si>
    <t>Lot 278563</t>
  </si>
  <si>
    <t>SO0003915</t>
  </si>
  <si>
    <t>Lot 280809</t>
  </si>
  <si>
    <t>Lot 001803</t>
  </si>
  <si>
    <t>SO0000001</t>
  </si>
  <si>
    <t>Lot 003255</t>
  </si>
  <si>
    <t>SO0000042</t>
  </si>
  <si>
    <t>Lot 012976</t>
  </si>
  <si>
    <t>SO0000127</t>
  </si>
  <si>
    <t>Lot 014214</t>
  </si>
  <si>
    <t>Lot 018312</t>
  </si>
  <si>
    <t>SO0000237</t>
  </si>
  <si>
    <t>Lot 018838</t>
  </si>
  <si>
    <t>Lot 020124</t>
  </si>
  <si>
    <t>Lot 020127</t>
  </si>
  <si>
    <t>Lot 025385</t>
  </si>
  <si>
    <t>Lot 025793</t>
  </si>
  <si>
    <t>Lot 025890</t>
  </si>
  <si>
    <t>Lot 025962</t>
  </si>
  <si>
    <t>Lot 026066</t>
  </si>
  <si>
    <t>Lot 026111</t>
  </si>
  <si>
    <t>Lot 026261</t>
  </si>
  <si>
    <t>SO0000403</t>
  </si>
  <si>
    <t>Lot 027073</t>
  </si>
  <si>
    <t>Lot 027165</t>
  </si>
  <si>
    <t>Lot 027246</t>
  </si>
  <si>
    <t>Lot 028656</t>
  </si>
  <si>
    <t>Lot 032556</t>
  </si>
  <si>
    <t>SO0000544</t>
  </si>
  <si>
    <t>Lot 033553</t>
  </si>
  <si>
    <t>SO0000593</t>
  </si>
  <si>
    <t>Lot 034785</t>
  </si>
  <si>
    <t>SO0000612</t>
  </si>
  <si>
    <t>Lot 034921</t>
  </si>
  <si>
    <t>SO0000620</t>
  </si>
  <si>
    <t>Lot 034916</t>
  </si>
  <si>
    <t>SO0000617</t>
  </si>
  <si>
    <t>Lot 034936</t>
  </si>
  <si>
    <t>360SO0004092</t>
  </si>
  <si>
    <t>Lot 035353</t>
  </si>
  <si>
    <t>Lot 036443</t>
  </si>
  <si>
    <t>SO0000685</t>
  </si>
  <si>
    <t>Lot 040034</t>
  </si>
  <si>
    <t>Lot 040700</t>
  </si>
  <si>
    <t>Lot 043983</t>
  </si>
  <si>
    <t>SO0000795</t>
  </si>
  <si>
    <t>Lot 043803</t>
  </si>
  <si>
    <t>Lot 045054</t>
  </si>
  <si>
    <t>Lot 045349</t>
  </si>
  <si>
    <t>Lot 045198</t>
  </si>
  <si>
    <t>Lot 045346</t>
  </si>
  <si>
    <t>SO0000832</t>
  </si>
  <si>
    <t>Lot 045426</t>
  </si>
  <si>
    <t>Lot 045553</t>
  </si>
  <si>
    <t>SO0000851</t>
  </si>
  <si>
    <t>Lot 046162</t>
  </si>
  <si>
    <t>SO0000866</t>
  </si>
  <si>
    <t>Lot 046255</t>
  </si>
  <si>
    <t>SO0000873</t>
  </si>
  <si>
    <t>Lot 047476</t>
  </si>
  <si>
    <t>SO0000901</t>
  </si>
  <si>
    <t>Lot 047778</t>
  </si>
  <si>
    <t>Lot 047837</t>
  </si>
  <si>
    <t>SO0000921</t>
  </si>
  <si>
    <t>Lot 047848</t>
  </si>
  <si>
    <t>Lot 047996</t>
  </si>
  <si>
    <t>Lot 053945</t>
  </si>
  <si>
    <t>SO0000977</t>
  </si>
  <si>
    <t>Lot 053949</t>
  </si>
  <si>
    <t>SO0000980</t>
  </si>
  <si>
    <t>Lot 054933</t>
  </si>
  <si>
    <t>SO0000996</t>
  </si>
  <si>
    <t>Lot 056048</t>
  </si>
  <si>
    <t>SO0001037</t>
  </si>
  <si>
    <t>Lot 054449</t>
  </si>
  <si>
    <t>Lot 058706</t>
  </si>
  <si>
    <t>SO0001070</t>
  </si>
  <si>
    <t>Lot 058707</t>
  </si>
  <si>
    <t>SO0001071</t>
  </si>
  <si>
    <t>Lot 059161</t>
  </si>
  <si>
    <t>Lot 059933</t>
  </si>
  <si>
    <t>SO0001098</t>
  </si>
  <si>
    <t>Lot 059942</t>
  </si>
  <si>
    <t>SO0001099</t>
  </si>
  <si>
    <t>Lot 060952</t>
  </si>
  <si>
    <t>SO0001112</t>
  </si>
  <si>
    <t>Lot 061366</t>
  </si>
  <si>
    <t>SO0001117</t>
  </si>
  <si>
    <t>Lot 061369</t>
  </si>
  <si>
    <t>SO0001119</t>
  </si>
  <si>
    <t>Lot 061703</t>
  </si>
  <si>
    <t>SO0001126</t>
  </si>
  <si>
    <t>Lot 062452</t>
  </si>
  <si>
    <t>SO0001143</t>
  </si>
  <si>
    <t>Lot 062451</t>
  </si>
  <si>
    <t>SO0001142</t>
  </si>
  <si>
    <t>Lot 062465</t>
  </si>
  <si>
    <t>Lot 062780</t>
  </si>
  <si>
    <t>Lot 064024</t>
  </si>
  <si>
    <t>Lot 064027</t>
  </si>
  <si>
    <t>Lot 064250</t>
  </si>
  <si>
    <t>SO0001178</t>
  </si>
  <si>
    <t>Lot 064946</t>
  </si>
  <si>
    <t>SO0001190</t>
  </si>
  <si>
    <t>Lot 065090</t>
  </si>
  <si>
    <t>SO0001195</t>
  </si>
  <si>
    <t>Lot 065401</t>
  </si>
  <si>
    <t>SO0001202</t>
  </si>
  <si>
    <t>Lot 068392</t>
  </si>
  <si>
    <t>Lot 067837</t>
  </si>
  <si>
    <t>Lot 069348</t>
  </si>
  <si>
    <t>SO0001237</t>
  </si>
  <si>
    <t>Lot 069368</t>
  </si>
  <si>
    <t>SO0001239</t>
  </si>
  <si>
    <t>Lot 070170</t>
  </si>
  <si>
    <t>SO0001244</t>
  </si>
  <si>
    <t>Lot 070177</t>
  </si>
  <si>
    <t>Lot 071743</t>
  </si>
  <si>
    <t>SO0001279</t>
  </si>
  <si>
    <t>Lot 071271</t>
  </si>
  <si>
    <t>Lot 071635</t>
  </si>
  <si>
    <t>SO0001277</t>
  </si>
  <si>
    <t>Lot 074155</t>
  </si>
  <si>
    <t>SO0001305</t>
  </si>
  <si>
    <t>Lot 074812</t>
  </si>
  <si>
    <t>SO0001325</t>
  </si>
  <si>
    <t>Lot 075805</t>
  </si>
  <si>
    <t>Lot 075808</t>
  </si>
  <si>
    <t>Lot 082251</t>
  </si>
  <si>
    <t>360364ApP0000339</t>
  </si>
  <si>
    <t>Lot 091882</t>
  </si>
  <si>
    <t>SO0001473</t>
  </si>
  <si>
    <t>Lot 091884</t>
  </si>
  <si>
    <t>SO0001474</t>
  </si>
  <si>
    <t>Lot 092310</t>
  </si>
  <si>
    <t>SO0001485</t>
  </si>
  <si>
    <t>Lot 094726</t>
  </si>
  <si>
    <t>SO0001529</t>
  </si>
  <si>
    <t>Lot 096686</t>
  </si>
  <si>
    <t>SO0001560</t>
  </si>
  <si>
    <t>Lot 100029</t>
  </si>
  <si>
    <t>SO0001604</t>
  </si>
  <si>
    <t>Lot 101755</t>
  </si>
  <si>
    <t>SO0001628</t>
  </si>
  <si>
    <t>Lot 102443</t>
  </si>
  <si>
    <t>Lot 103391</t>
  </si>
  <si>
    <t>SO0001652</t>
  </si>
  <si>
    <t>Lot 104432</t>
  </si>
  <si>
    <t>Lot 105998</t>
  </si>
  <si>
    <t>SO0001683</t>
  </si>
  <si>
    <t>Lot 106080</t>
  </si>
  <si>
    <t>SO0001685</t>
  </si>
  <si>
    <t>Lot 106078</t>
  </si>
  <si>
    <t>SO0001684</t>
  </si>
  <si>
    <t>Lot 106444</t>
  </si>
  <si>
    <t>SO0001692</t>
  </si>
  <si>
    <t>Lot 106454</t>
  </si>
  <si>
    <t>SO0001700</t>
  </si>
  <si>
    <t>Lot 107268</t>
  </si>
  <si>
    <t>SO0001716</t>
  </si>
  <si>
    <t>Lot 109865</t>
  </si>
  <si>
    <t>SO0001770</t>
  </si>
  <si>
    <t>Lot 109873</t>
  </si>
  <si>
    <t>SO0001775</t>
  </si>
  <si>
    <t>Lot 110718</t>
  </si>
  <si>
    <t>SO0001776</t>
  </si>
  <si>
    <t>Lot 115777</t>
  </si>
  <si>
    <t>SO0001848</t>
  </si>
  <si>
    <t>Lot 117340</t>
  </si>
  <si>
    <t>SO0001876</t>
  </si>
  <si>
    <t>Lot 118217</t>
  </si>
  <si>
    <t>SO0001892</t>
  </si>
  <si>
    <t>Lot 121716</t>
  </si>
  <si>
    <t>Lot 121862</t>
  </si>
  <si>
    <t>Lot 122011</t>
  </si>
  <si>
    <t>Lot 122675</t>
  </si>
  <si>
    <t>SO0001984</t>
  </si>
  <si>
    <t>Lot 124338</t>
  </si>
  <si>
    <t>SO0002034</t>
  </si>
  <si>
    <t>Lot 125194</t>
  </si>
  <si>
    <t>SO0002043</t>
  </si>
  <si>
    <t>Lot 126808</t>
  </si>
  <si>
    <t>SO0002054</t>
  </si>
  <si>
    <t>Lot 126893</t>
  </si>
  <si>
    <t>SO0002059</t>
  </si>
  <si>
    <t>Lot 126914</t>
  </si>
  <si>
    <t>Lot 127624</t>
  </si>
  <si>
    <t>SO0002074</t>
  </si>
  <si>
    <t>Lot 129312</t>
  </si>
  <si>
    <t>SO0002091</t>
  </si>
  <si>
    <t>Lot 130070</t>
  </si>
  <si>
    <t>SO0002107</t>
  </si>
  <si>
    <t>Lot 131489</t>
  </si>
  <si>
    <t>SO0002125</t>
  </si>
  <si>
    <t>Lot 132066</t>
  </si>
  <si>
    <t>SO0002134</t>
  </si>
  <si>
    <t>Lot 193401</t>
  </si>
  <si>
    <t>Lot 195499</t>
  </si>
  <si>
    <t>SO0002861</t>
  </si>
  <si>
    <t>Lot 198132</t>
  </si>
  <si>
    <t>SO0002876</t>
  </si>
  <si>
    <t>Lot 197982</t>
  </si>
  <si>
    <t>Lot 199616</t>
  </si>
  <si>
    <t>SO0002894</t>
  </si>
  <si>
    <t>Lot 204781</t>
  </si>
  <si>
    <t>Lot 207063</t>
  </si>
  <si>
    <t>Lot 207748</t>
  </si>
  <si>
    <t>Lot 208639</t>
  </si>
  <si>
    <t>SO0002997</t>
  </si>
  <si>
    <t>Lot 209334</t>
  </si>
  <si>
    <t>SO0003006</t>
  </si>
  <si>
    <t>Lot 209606</t>
  </si>
  <si>
    <t>Lot 209662</t>
  </si>
  <si>
    <t>Lot 209765</t>
  </si>
  <si>
    <t>Lot 209775</t>
  </si>
  <si>
    <t>Lot 210550</t>
  </si>
  <si>
    <t>SO0003021</t>
  </si>
  <si>
    <t>Lot 211755</t>
  </si>
  <si>
    <t>Lot 211756</t>
  </si>
  <si>
    <t>Lot 215716</t>
  </si>
  <si>
    <t>Lot 215717</t>
  </si>
  <si>
    <t>Lot 219127</t>
  </si>
  <si>
    <t>Lot 219958</t>
  </si>
  <si>
    <t>360365ApP0000840</t>
  </si>
  <si>
    <t>Lot 222587</t>
  </si>
  <si>
    <t>SO0003135</t>
  </si>
  <si>
    <t>Lot 222588</t>
  </si>
  <si>
    <t>SO0003136</t>
  </si>
  <si>
    <t>Lot 223551</t>
  </si>
  <si>
    <t>SO0003146</t>
  </si>
  <si>
    <t>Lot 224744</t>
  </si>
  <si>
    <t>Lot 226124</t>
  </si>
  <si>
    <t>SO0003181</t>
  </si>
  <si>
    <t>Lot 226365</t>
  </si>
  <si>
    <t>SO0003184</t>
  </si>
  <si>
    <t>Lot 228253</t>
  </si>
  <si>
    <t>SO0003224</t>
  </si>
  <si>
    <t>Lot 229087</t>
  </si>
  <si>
    <t>SO0003236</t>
  </si>
  <si>
    <t>Lot 227968</t>
  </si>
  <si>
    <t>Lot 229095</t>
  </si>
  <si>
    <t>SO0003241</t>
  </si>
  <si>
    <t>Lot 229335</t>
  </si>
  <si>
    <t>SO0003242</t>
  </si>
  <si>
    <t>Lot 231256</t>
  </si>
  <si>
    <t>Lot 233170</t>
  </si>
  <si>
    <t>Lot 233176</t>
  </si>
  <si>
    <t>Lot 233502</t>
  </si>
  <si>
    <t>Lot 233947</t>
  </si>
  <si>
    <t>Lot 234040</t>
  </si>
  <si>
    <t>SO0003314</t>
  </si>
  <si>
    <t>Lot 234060</t>
  </si>
  <si>
    <t>SO0003315</t>
  </si>
  <si>
    <t>Lot 234061</t>
  </si>
  <si>
    <t>SO0003316</t>
  </si>
  <si>
    <t>Lot 234207</t>
  </si>
  <si>
    <t>SO0003318</t>
  </si>
  <si>
    <t>Lot 234208</t>
  </si>
  <si>
    <t>Lot 234204</t>
  </si>
  <si>
    <t>Lot 234748</t>
  </si>
  <si>
    <t>SO0003332</t>
  </si>
  <si>
    <t>Lot 235815</t>
  </si>
  <si>
    <t>SO0003339</t>
  </si>
  <si>
    <t>Lot 237792</t>
  </si>
  <si>
    <t>SO0003362</t>
  </si>
  <si>
    <t>Lot 237799</t>
  </si>
  <si>
    <t>SO0003364</t>
  </si>
  <si>
    <t>Lot 238102</t>
  </si>
  <si>
    <t>Lot 238196</t>
  </si>
  <si>
    <t>Lot 238515</t>
  </si>
  <si>
    <t>Lot 238646</t>
  </si>
  <si>
    <t>Lot 238651</t>
  </si>
  <si>
    <t>SO0003381</t>
  </si>
  <si>
    <t>Lot 238845</t>
  </si>
  <si>
    <t>SO0003389</t>
  </si>
  <si>
    <t>Lot 239966</t>
  </si>
  <si>
    <t>SO0003397</t>
  </si>
  <si>
    <t>Lot 240338</t>
  </si>
  <si>
    <t>SO0003403</t>
  </si>
  <si>
    <t>Lot 241194</t>
  </si>
  <si>
    <t>SO0003414</t>
  </si>
  <si>
    <t>Lot 241316</t>
  </si>
  <si>
    <t>Lot 241667</t>
  </si>
  <si>
    <t>SO0003423</t>
  </si>
  <si>
    <t>Lot 242520</t>
  </si>
  <si>
    <t>SO0003433</t>
  </si>
  <si>
    <t>Lot 243043</t>
  </si>
  <si>
    <t>Lot 240794</t>
  </si>
  <si>
    <t>360365ApP0000918</t>
  </si>
  <si>
    <t>Lot 243178</t>
  </si>
  <si>
    <t>Lot 243175</t>
  </si>
  <si>
    <t>Lot 244167</t>
  </si>
  <si>
    <t>SO0003482</t>
  </si>
  <si>
    <t>Lot 245752</t>
  </si>
  <si>
    <t>SO0003513</t>
  </si>
  <si>
    <t>Lot 247021</t>
  </si>
  <si>
    <t>Lot 247186</t>
  </si>
  <si>
    <t>SO0003539</t>
  </si>
  <si>
    <t>Lot 247188</t>
  </si>
  <si>
    <t>SO0003540</t>
  </si>
  <si>
    <t>Lot 247596</t>
  </si>
  <si>
    <t>Lot 248152</t>
  </si>
  <si>
    <t>Lot 248296</t>
  </si>
  <si>
    <t>SO0003552</t>
  </si>
  <si>
    <t>Lot 248779</t>
  </si>
  <si>
    <t>SO0003563</t>
  </si>
  <si>
    <t>Lot 250629</t>
  </si>
  <si>
    <t>SO0003571</t>
  </si>
  <si>
    <t>Lot 252086</t>
  </si>
  <si>
    <t>360366ApP0000535</t>
  </si>
  <si>
    <t>Lot 257363</t>
  </si>
  <si>
    <t>SO0003605</t>
  </si>
  <si>
    <t>Lot 259178</t>
  </si>
  <si>
    <t>Lot 259691</t>
  </si>
  <si>
    <t>SO0003620</t>
  </si>
  <si>
    <t>Lot 260490</t>
  </si>
  <si>
    <t>SO0003631</t>
  </si>
  <si>
    <t>Lot 263096</t>
  </si>
  <si>
    <t>Lot 263224</t>
  </si>
  <si>
    <t>Lot 263741</t>
  </si>
  <si>
    <t>Lot 264234</t>
  </si>
  <si>
    <t>Lot 264971</t>
  </si>
  <si>
    <t>SO0003684</t>
  </si>
  <si>
    <t>Lot 265974</t>
  </si>
  <si>
    <t>Lot 266231</t>
  </si>
  <si>
    <t>Lot 266424</t>
  </si>
  <si>
    <t>Lot 267096</t>
  </si>
  <si>
    <t>SO0003715</t>
  </si>
  <si>
    <t>Lot 267727</t>
  </si>
  <si>
    <t>SO0003733</t>
  </si>
  <si>
    <t>Lot 268432</t>
  </si>
  <si>
    <t>Lot 266251</t>
  </si>
  <si>
    <t>Lot 268986</t>
  </si>
  <si>
    <t>SO0003762</t>
  </si>
  <si>
    <t>Lot 268635</t>
  </si>
  <si>
    <t>Lot 270992</t>
  </si>
  <si>
    <t>Lot 271020</t>
  </si>
  <si>
    <t>SO0003795</t>
  </si>
  <si>
    <t>Lot 272193</t>
  </si>
  <si>
    <t>SO0003804</t>
  </si>
  <si>
    <t>Lot 271004</t>
  </si>
  <si>
    <t>Lot 272845</t>
  </si>
  <si>
    <t>Lot 273096</t>
  </si>
  <si>
    <t>SO0003833</t>
  </si>
  <si>
    <t>Lot 273277</t>
  </si>
  <si>
    <t>Lot 274644</t>
  </si>
  <si>
    <t>SO0003846</t>
  </si>
  <si>
    <t>Lot 269934</t>
  </si>
  <si>
    <t>Lot 276120</t>
  </si>
  <si>
    <t>Lot 277724</t>
  </si>
  <si>
    <t>Lot 277895</t>
  </si>
  <si>
    <t>SO0003896</t>
  </si>
  <si>
    <t>Lot 278987</t>
  </si>
  <si>
    <t>SO0003921</t>
  </si>
  <si>
    <t>Lot 280320</t>
  </si>
  <si>
    <t>Lot 001809</t>
  </si>
  <si>
    <t>SO0000003</t>
  </si>
  <si>
    <t>Lot 007581</t>
  </si>
  <si>
    <t>Lot 001855</t>
  </si>
  <si>
    <t>Lot 012963</t>
  </si>
  <si>
    <t>SO0000122</t>
  </si>
  <si>
    <t>Lot 018169</t>
  </si>
  <si>
    <t>Lot 018301</t>
  </si>
  <si>
    <t>Lot 018287</t>
  </si>
  <si>
    <t>Lot 027166</t>
  </si>
  <si>
    <t>Lot 032554</t>
  </si>
  <si>
    <t>SO0000543</t>
  </si>
  <si>
    <t>Lot 032209</t>
  </si>
  <si>
    <t>Lot 032609</t>
  </si>
  <si>
    <t>360365ApP0000164</t>
  </si>
  <si>
    <t>Lot 034935</t>
  </si>
  <si>
    <t>Lot 039429</t>
  </si>
  <si>
    <t>360365ApP0000196</t>
  </si>
  <si>
    <t>Lot 039598</t>
  </si>
  <si>
    <t>Lot 040701</t>
  </si>
  <si>
    <t>Lot 044012</t>
  </si>
  <si>
    <t>360365ApP0000237</t>
  </si>
  <si>
    <t>Lot 056600</t>
  </si>
  <si>
    <t>Lot 070164</t>
  </si>
  <si>
    <t>Lot 071535</t>
  </si>
  <si>
    <t>Lot 074531</t>
  </si>
  <si>
    <t>360365ApP0000321</t>
  </si>
  <si>
    <t>Lot 082253</t>
  </si>
  <si>
    <t>360364ApP0000341</t>
  </si>
  <si>
    <t>Lot 084740</t>
  </si>
  <si>
    <t>360365ApP0000355</t>
  </si>
  <si>
    <t>Lot 087878</t>
  </si>
  <si>
    <t>360364ApP0000356</t>
  </si>
  <si>
    <t>Lot 104430</t>
  </si>
  <si>
    <t>Lot 112252</t>
  </si>
  <si>
    <t>Lot 114319</t>
  </si>
  <si>
    <t>SO0001835</t>
  </si>
  <si>
    <t>Lot 121712</t>
  </si>
  <si>
    <t>SO0001917</t>
  </si>
  <si>
    <t>Lot 193405</t>
  </si>
  <si>
    <t>Lot 199682</t>
  </si>
  <si>
    <t>Lot 204793</t>
  </si>
  <si>
    <t>360364ApP0000957</t>
  </si>
  <si>
    <t>Lot 227199</t>
  </si>
  <si>
    <t>Lot 240796</t>
  </si>
  <si>
    <t>Lot 251564</t>
  </si>
  <si>
    <t>360365ApP0000986</t>
  </si>
  <si>
    <t>Lot 259428</t>
  </si>
  <si>
    <t>Lot 262749</t>
  </si>
  <si>
    <t>Lot 264482</t>
  </si>
  <si>
    <t>Lot 264680</t>
  </si>
  <si>
    <t>Lot 270074</t>
  </si>
  <si>
    <t>Lot 240647</t>
  </si>
  <si>
    <t>SO0003405</t>
  </si>
  <si>
    <t>Lot 241177</t>
  </si>
  <si>
    <t>Lot 280548</t>
  </si>
  <si>
    <t>Lot 009624</t>
  </si>
  <si>
    <t>Lot 015257</t>
  </si>
  <si>
    <t>SO0000212</t>
  </si>
  <si>
    <t>Lot 015260</t>
  </si>
  <si>
    <t>SO0000213</t>
  </si>
  <si>
    <t>Lot 015266</t>
  </si>
  <si>
    <t>SO0000214</t>
  </si>
  <si>
    <t>Lot 018459</t>
  </si>
  <si>
    <t>SO0000243</t>
  </si>
  <si>
    <t>Lot 018462</t>
  </si>
  <si>
    <t>SO0000245</t>
  </si>
  <si>
    <t>Lot 018953</t>
  </si>
  <si>
    <t>SO0000273</t>
  </si>
  <si>
    <t>Lot 018955</t>
  </si>
  <si>
    <t>SO0000275</t>
  </si>
  <si>
    <t>Lot 019754</t>
  </si>
  <si>
    <t>SO0000278</t>
  </si>
  <si>
    <t>Lot 019755</t>
  </si>
  <si>
    <t>SO0000279</t>
  </si>
  <si>
    <t>Lot 020128</t>
  </si>
  <si>
    <t>360SO0003354</t>
  </si>
  <si>
    <t>Lot 020129</t>
  </si>
  <si>
    <t>360SO0003352</t>
  </si>
  <si>
    <t>Lot 044001</t>
  </si>
  <si>
    <t>360364ApP0000157</t>
  </si>
  <si>
    <t>Lot 045648</t>
  </si>
  <si>
    <t>360364ApP0000177</t>
  </si>
  <si>
    <t>Lot 083059</t>
  </si>
  <si>
    <t>360364ApP0000349</t>
  </si>
  <si>
    <t>Lot 091474</t>
  </si>
  <si>
    <t>Lot 093209</t>
  </si>
  <si>
    <t>Lot 092218</t>
  </si>
  <si>
    <t>Lot 098631</t>
  </si>
  <si>
    <t>Lot 111242</t>
  </si>
  <si>
    <t>Lot 114320</t>
  </si>
  <si>
    <t>Lot 121727</t>
  </si>
  <si>
    <t>Lot 122660</t>
  </si>
  <si>
    <t>Lot 129327</t>
  </si>
  <si>
    <t>360364ApP0000605</t>
  </si>
  <si>
    <t>Lot 204794</t>
  </si>
  <si>
    <t>Lot 206681</t>
  </si>
  <si>
    <t>360364ApP0000962</t>
  </si>
  <si>
    <t>Lot 211245</t>
  </si>
  <si>
    <t>360364ApP0000972</t>
  </si>
  <si>
    <t>Lot 217599</t>
  </si>
  <si>
    <t>Lot 222592</t>
  </si>
  <si>
    <t>Lot 231439</t>
  </si>
  <si>
    <t>Lot 240343</t>
  </si>
  <si>
    <t>Lot 252092</t>
  </si>
  <si>
    <t>Lot 259427</t>
  </si>
  <si>
    <t>Lot 259746</t>
  </si>
  <si>
    <t>Lot 270078</t>
  </si>
  <si>
    <t>Lot 270415</t>
  </si>
  <si>
    <t>Lot 277616</t>
  </si>
  <si>
    <t>360366ApP0000609</t>
  </si>
  <si>
    <t>Lot 277708</t>
  </si>
  <si>
    <t>Lot 277715</t>
  </si>
  <si>
    <t>Lot 278156</t>
  </si>
  <si>
    <t>360365ApP0001147</t>
  </si>
  <si>
    <t>Lot 278158</t>
  </si>
  <si>
    <t>360365ApP0001152</t>
  </si>
  <si>
    <t>Lot 278160</t>
  </si>
  <si>
    <t>360365ApP0001154</t>
  </si>
  <si>
    <t>Lot 278993</t>
  </si>
  <si>
    <t>360ApP0006928</t>
  </si>
  <si>
    <t>Lot 278996</t>
  </si>
  <si>
    <t>Lot 279457</t>
  </si>
  <si>
    <t>Lot 279842</t>
  </si>
  <si>
    <t>Lot 279998</t>
  </si>
  <si>
    <t>Lot 280815</t>
  </si>
  <si>
    <t>360364ApP0001228</t>
  </si>
  <si>
    <t>Lot 001804</t>
  </si>
  <si>
    <t>Lot 001808</t>
  </si>
  <si>
    <t>Lot 001828</t>
  </si>
  <si>
    <t>SO0000012</t>
  </si>
  <si>
    <t>Lot 001854</t>
  </si>
  <si>
    <t>Lot 002057</t>
  </si>
  <si>
    <t>SO0000020</t>
  </si>
  <si>
    <t>Lot 002492</t>
  </si>
  <si>
    <t>Lot 002643</t>
  </si>
  <si>
    <t>Lot 006585</t>
  </si>
  <si>
    <t>SO0000052</t>
  </si>
  <si>
    <t>Lot 008461</t>
  </si>
  <si>
    <t>Lot 009592</t>
  </si>
  <si>
    <t>SO0000071</t>
  </si>
  <si>
    <t>Lot 009595</t>
  </si>
  <si>
    <t>Lot 009672</t>
  </si>
  <si>
    <t>Lot 010851</t>
  </si>
  <si>
    <t>Lot 010879</t>
  </si>
  <si>
    <t>Lot 010891</t>
  </si>
  <si>
    <t>Lot 010897</t>
  </si>
  <si>
    <t>Lot 010905</t>
  </si>
  <si>
    <t>Lot 010843</t>
  </si>
  <si>
    <t>Lot 011335</t>
  </si>
  <si>
    <t>SO0000095</t>
  </si>
  <si>
    <t>Lot 011470</t>
  </si>
  <si>
    <t>Lot 012519</t>
  </si>
  <si>
    <t>SO0000099</t>
  </si>
  <si>
    <t>Lot 012561</t>
  </si>
  <si>
    <t>Lot 012942</t>
  </si>
  <si>
    <t>Lot 012969</t>
  </si>
  <si>
    <t>SO0000125</t>
  </si>
  <si>
    <t>Lot 012971</t>
  </si>
  <si>
    <t>Lot 013012</t>
  </si>
  <si>
    <t>Lot 013340</t>
  </si>
  <si>
    <t>SO0000135</t>
  </si>
  <si>
    <t>Lot 013341</t>
  </si>
  <si>
    <t>SO0000136</t>
  </si>
  <si>
    <t>Lot 013343</t>
  </si>
  <si>
    <t>Lot 013344</t>
  </si>
  <si>
    <t>SO0000138</t>
  </si>
  <si>
    <t>Lot 013345</t>
  </si>
  <si>
    <t>SO0000139</t>
  </si>
  <si>
    <t>Lot 014617</t>
  </si>
  <si>
    <t>SO0000197</t>
  </si>
  <si>
    <t>Lot 013554</t>
  </si>
  <si>
    <t>SO0000151</t>
  </si>
  <si>
    <t>Lot 014155</t>
  </si>
  <si>
    <t>Lot 014185</t>
  </si>
  <si>
    <t>SO0000159</t>
  </si>
  <si>
    <t>Lot 014186</t>
  </si>
  <si>
    <t>SO0000160</t>
  </si>
  <si>
    <t>Lot 014250</t>
  </si>
  <si>
    <t>Lot 014269</t>
  </si>
  <si>
    <t>Lot 014281</t>
  </si>
  <si>
    <t>Lot 014249</t>
  </si>
  <si>
    <t>SO0000170</t>
  </si>
  <si>
    <t>Lot 014283</t>
  </si>
  <si>
    <t>Lot 014285</t>
  </si>
  <si>
    <t>Lot 014329</t>
  </si>
  <si>
    <t>SO0000190</t>
  </si>
  <si>
    <t>Lot 014713</t>
  </si>
  <si>
    <t>SO0000202</t>
  </si>
  <si>
    <t>Lot 015163</t>
  </si>
  <si>
    <t>Lot 015164</t>
  </si>
  <si>
    <t>SO0000208</t>
  </si>
  <si>
    <t>Lot 015167</t>
  </si>
  <si>
    <t>SO0000209</t>
  </si>
  <si>
    <t>Lot 015254</t>
  </si>
  <si>
    <t>Lot 015343</t>
  </si>
  <si>
    <t>Lot 018173</t>
  </si>
  <si>
    <t>SO0000221</t>
  </si>
  <si>
    <t>Lot 018214</t>
  </si>
  <si>
    <t>Lot 018234</t>
  </si>
  <si>
    <t>SO0000225</t>
  </si>
  <si>
    <t>Lot 018255</t>
  </si>
  <si>
    <t>SO0000227</t>
  </si>
  <si>
    <t>Lot 018275</t>
  </si>
  <si>
    <t>Lot 018305</t>
  </si>
  <si>
    <t>SO0000234</t>
  </si>
  <si>
    <t>Lot 018570</t>
  </si>
  <si>
    <t>Lot 018959</t>
  </si>
  <si>
    <t>SO0000276</t>
  </si>
  <si>
    <t>Lot 018295</t>
  </si>
  <si>
    <t>SO0000231</t>
  </si>
  <si>
    <t>Lot 018311</t>
  </si>
  <si>
    <t>Lot 018712</t>
  </si>
  <si>
    <t>Lot 018811</t>
  </si>
  <si>
    <t>Lot 018840</t>
  </si>
  <si>
    <t>Lot 018842</t>
  </si>
  <si>
    <t>Lot 018594</t>
  </si>
  <si>
    <t>Lot 018645</t>
  </si>
  <si>
    <t>Lot 018648</t>
  </si>
  <si>
    <t>Lot 018652</t>
  </si>
  <si>
    <t>Lot 018818</t>
  </si>
  <si>
    <t>Lot 018864</t>
  </si>
  <si>
    <t>360366ApP0000003</t>
  </si>
  <si>
    <t>Lot 018962</t>
  </si>
  <si>
    <t>360363ApP0000052</t>
  </si>
  <si>
    <t>Lot 024493</t>
  </si>
  <si>
    <t>SO0000299</t>
  </si>
  <si>
    <t>Lot 024098</t>
  </si>
  <si>
    <t>SO0000286</t>
  </si>
  <si>
    <t>Lot 024103</t>
  </si>
  <si>
    <t>Lot 024105</t>
  </si>
  <si>
    <t>SO0000291</t>
  </si>
  <si>
    <t>Lot 024492</t>
  </si>
  <si>
    <t>SO0000298</t>
  </si>
  <si>
    <t>Lot 024187</t>
  </si>
  <si>
    <t>Lot 024503</t>
  </si>
  <si>
    <t>Lot 024512</t>
  </si>
  <si>
    <t>Lot 024515</t>
  </si>
  <si>
    <t>SO0000308</t>
  </si>
  <si>
    <t>Lot 024883</t>
  </si>
  <si>
    <t>SO0000309</t>
  </si>
  <si>
    <t>Lot 024884</t>
  </si>
  <si>
    <t>Lot 024881</t>
  </si>
  <si>
    <t>Lot 025184</t>
  </si>
  <si>
    <t>SO0000317</t>
  </si>
  <si>
    <t>Lot 025188</t>
  </si>
  <si>
    <t>Lot 025211</t>
  </si>
  <si>
    <t>SO0000320</t>
  </si>
  <si>
    <t>Lot 025217</t>
  </si>
  <si>
    <t>SO0000326</t>
  </si>
  <si>
    <t>Lot 025375</t>
  </si>
  <si>
    <t>SO0000328</t>
  </si>
  <si>
    <t>Lot 025218</t>
  </si>
  <si>
    <t>360366ApP0000019</t>
  </si>
  <si>
    <t>Lot 025376</t>
  </si>
  <si>
    <t>SO0000329</t>
  </si>
  <si>
    <t>Lot 025377</t>
  </si>
  <si>
    <t>SO0000330</t>
  </si>
  <si>
    <t>Lot 025384</t>
  </si>
  <si>
    <t>Lot 025405</t>
  </si>
  <si>
    <t>SO0000334</t>
  </si>
  <si>
    <t>Lot 025420</t>
  </si>
  <si>
    <t>Lot 025431</t>
  </si>
  <si>
    <t>SO0000348</t>
  </si>
  <si>
    <t>Lot 025784</t>
  </si>
  <si>
    <t>SO0000364</t>
  </si>
  <si>
    <t>Lot 026605</t>
  </si>
  <si>
    <t>Lot 025709</t>
  </si>
  <si>
    <t>Lot 025791</t>
  </si>
  <si>
    <t>SO0000369</t>
  </si>
  <si>
    <t>Lot 025812</t>
  </si>
  <si>
    <t>SO0000371</t>
  </si>
  <si>
    <t>Lot 025813</t>
  </si>
  <si>
    <t>SO0000372</t>
  </si>
  <si>
    <t>Lot 025853</t>
  </si>
  <si>
    <t>Lot 025855</t>
  </si>
  <si>
    <t>360ApP0001252</t>
  </si>
  <si>
    <t>Lot 025856</t>
  </si>
  <si>
    <t>Lot 025859</t>
  </si>
  <si>
    <t>SO0000377</t>
  </si>
  <si>
    <t>Lot 025879</t>
  </si>
  <si>
    <t>SO0000379</t>
  </si>
  <si>
    <t>Lot 025928</t>
  </si>
  <si>
    <t>SO0000383</t>
  </si>
  <si>
    <t>Lot 025929</t>
  </si>
  <si>
    <t>SO0000384</t>
  </si>
  <si>
    <t>Lot 025956</t>
  </si>
  <si>
    <t>SO0000389</t>
  </si>
  <si>
    <t>Lot 025888</t>
  </si>
  <si>
    <t>Lot 025889</t>
  </si>
  <si>
    <t>Lot 025951</t>
  </si>
  <si>
    <t>Lot 025964</t>
  </si>
  <si>
    <t>SO0000391</t>
  </si>
  <si>
    <t>Lot 026303</t>
  </si>
  <si>
    <t>SO0000407</t>
  </si>
  <si>
    <t>Lot 025958</t>
  </si>
  <si>
    <t>360369ApP0000083</t>
  </si>
  <si>
    <t>Lot 026041</t>
  </si>
  <si>
    <t>SO0000394</t>
  </si>
  <si>
    <t>Lot 026042</t>
  </si>
  <si>
    <t>Lot 026044</t>
  </si>
  <si>
    <t>SO0000395</t>
  </si>
  <si>
    <t>Lot 026304</t>
  </si>
  <si>
    <t>SO0000408</t>
  </si>
  <si>
    <t>Lot 026306</t>
  </si>
  <si>
    <t>Lot 026069</t>
  </si>
  <si>
    <t>Lot 026132</t>
  </si>
  <si>
    <t>SO0000397</t>
  </si>
  <si>
    <t>Lot 026140</t>
  </si>
  <si>
    <t>SO0000398</t>
  </si>
  <si>
    <t>Lot 026203</t>
  </si>
  <si>
    <t>Lot 026242</t>
  </si>
  <si>
    <t>Lot 026601</t>
  </si>
  <si>
    <t>SO0000436</t>
  </si>
  <si>
    <t>Lot 026602</t>
  </si>
  <si>
    <t>SO0000437</t>
  </si>
  <si>
    <t>Lot 026134</t>
  </si>
  <si>
    <t>Lot 026138</t>
  </si>
  <si>
    <t>360363ApP0000099</t>
  </si>
  <si>
    <t>Lot 026142</t>
  </si>
  <si>
    <t>SO0000399</t>
  </si>
  <si>
    <t>Lot 026143</t>
  </si>
  <si>
    <t>360369ApP0000087</t>
  </si>
  <si>
    <t>Lot 026313</t>
  </si>
  <si>
    <t>Lot 026353</t>
  </si>
  <si>
    <t>SO0000412</t>
  </si>
  <si>
    <t>Lot 026334</t>
  </si>
  <si>
    <t>Lot 026414</t>
  </si>
  <si>
    <t>Lot 026416</t>
  </si>
  <si>
    <t>Lot 026427</t>
  </si>
  <si>
    <t>SO0000420</t>
  </si>
  <si>
    <t>Lot 026466</t>
  </si>
  <si>
    <t>Lot 026515</t>
  </si>
  <si>
    <t>Lot 026807</t>
  </si>
  <si>
    <t>Lot 026830</t>
  </si>
  <si>
    <t>SO0000447</t>
  </si>
  <si>
    <t>Lot 026934</t>
  </si>
  <si>
    <t>Lot 026935</t>
  </si>
  <si>
    <t>SO0000453</t>
  </si>
  <si>
    <t>Lot 026954</t>
  </si>
  <si>
    <t>Lot 026974</t>
  </si>
  <si>
    <t>Lot 026977</t>
  </si>
  <si>
    <t>Lot 027164</t>
  </si>
  <si>
    <t>Lot 027243</t>
  </si>
  <si>
    <t>Lot 027247</t>
  </si>
  <si>
    <t>Lot 027481</t>
  </si>
  <si>
    <t>SO0000469</t>
  </si>
  <si>
    <t>Lot 028324</t>
  </si>
  <si>
    <t>SO0000510</t>
  </si>
  <si>
    <t>Lot 028325</t>
  </si>
  <si>
    <t>SO0000511</t>
  </si>
  <si>
    <t>Lot 027510</t>
  </si>
  <si>
    <t>SO0000470</t>
  </si>
  <si>
    <t>Lot 027576</t>
  </si>
  <si>
    <t>Lot 027619</t>
  </si>
  <si>
    <t>SO0000475</t>
  </si>
  <si>
    <t>Lot 027649</t>
  </si>
  <si>
    <t>SO0000476</t>
  </si>
  <si>
    <t>Lot 027796</t>
  </si>
  <si>
    <t>Lot 027660</t>
  </si>
  <si>
    <t>Lot 027981</t>
  </si>
  <si>
    <t>Lot 027982</t>
  </si>
  <si>
    <t>SO0000485</t>
  </si>
  <si>
    <t>Lot 027983</t>
  </si>
  <si>
    <t>Lot 027985</t>
  </si>
  <si>
    <t>SO0000487</t>
  </si>
  <si>
    <t>Lot 027987</t>
  </si>
  <si>
    <t>Lot 027989</t>
  </si>
  <si>
    <t>Lot 027991</t>
  </si>
  <si>
    <t>Lot 027993</t>
  </si>
  <si>
    <t>Lot 028002</t>
  </si>
  <si>
    <t>SO0000496</t>
  </si>
  <si>
    <t>Lot 028223</t>
  </si>
  <si>
    <t>SO0000501</t>
  </si>
  <si>
    <t>Lot 028224</t>
  </si>
  <si>
    <t>Lot 028231</t>
  </si>
  <si>
    <t>SO0000505</t>
  </si>
  <si>
    <t>Lot 028233</t>
  </si>
  <si>
    <t>SO0000506</t>
  </si>
  <si>
    <t>Lot 028235</t>
  </si>
  <si>
    <t>Lot 028327</t>
  </si>
  <si>
    <t>Lot 028655</t>
  </si>
  <si>
    <t>Lot 028662</t>
  </si>
  <si>
    <t>Lot 028735</t>
  </si>
  <si>
    <t>SO0000520</t>
  </si>
  <si>
    <t>Lot 028733</t>
  </si>
  <si>
    <t>360369ApP0000124</t>
  </si>
  <si>
    <t>Lot 032555</t>
  </si>
  <si>
    <t>Lot 032558</t>
  </si>
  <si>
    <t>SO0000546</t>
  </si>
  <si>
    <t>Lot 032163</t>
  </si>
  <si>
    <t>Lot 032212</t>
  </si>
  <si>
    <t>Lot 032535</t>
  </si>
  <si>
    <t>SO0000533</t>
  </si>
  <si>
    <t>Lot 032605</t>
  </si>
  <si>
    <t>Lot 032652</t>
  </si>
  <si>
    <t>Lot 032761</t>
  </si>
  <si>
    <t>Lot 032897</t>
  </si>
  <si>
    <t>Lot 032534</t>
  </si>
  <si>
    <t>SO0000532</t>
  </si>
  <si>
    <t>Lot 032537</t>
  </si>
  <si>
    <t>SO0000534</t>
  </si>
  <si>
    <t>Lot 032538</t>
  </si>
  <si>
    <t>Lot 032557</t>
  </si>
  <si>
    <t>SO0000545</t>
  </si>
  <si>
    <t>Lot 032559</t>
  </si>
  <si>
    <t>Lot 032871</t>
  </si>
  <si>
    <t>SO0000560</t>
  </si>
  <si>
    <t>Lot 032872</t>
  </si>
  <si>
    <t>SO0000561</t>
  </si>
  <si>
    <t>Lot 032873</t>
  </si>
  <si>
    <t>SO0000562</t>
  </si>
  <si>
    <t>Lot 032874</t>
  </si>
  <si>
    <t>SO0000563</t>
  </si>
  <si>
    <t>Lot 032876</t>
  </si>
  <si>
    <t>360366ApP0000072</t>
  </si>
  <si>
    <t>Lot 032901</t>
  </si>
  <si>
    <t>SO0000565</t>
  </si>
  <si>
    <t>Lot 032902</t>
  </si>
  <si>
    <t>Lot 032611</t>
  </si>
  <si>
    <t>360SO0003957</t>
  </si>
  <si>
    <t>Lot 032999</t>
  </si>
  <si>
    <t>SO0000567</t>
  </si>
  <si>
    <t>Lot 033000</t>
  </si>
  <si>
    <t>Lot 033013</t>
  </si>
  <si>
    <t>SO0000571</t>
  </si>
  <si>
    <t>Lot 033355</t>
  </si>
  <si>
    <t>SO0000580</t>
  </si>
  <si>
    <t>Lot 033356</t>
  </si>
  <si>
    <t>SO0000581</t>
  </si>
  <si>
    <t>Lot 033549</t>
  </si>
  <si>
    <t>SO0000590</t>
  </si>
  <si>
    <t>Lot 033550</t>
  </si>
  <si>
    <t>SO0000591</t>
  </si>
  <si>
    <t>Lot 033049</t>
  </si>
  <si>
    <t>SO0000574</t>
  </si>
  <si>
    <t>Lot 033050</t>
  </si>
  <si>
    <t>Lot 033357</t>
  </si>
  <si>
    <t>Lot 033359</t>
  </si>
  <si>
    <t>SO0000583</t>
  </si>
  <si>
    <t>Lot 033084</t>
  </si>
  <si>
    <t>SO0000577</t>
  </si>
  <si>
    <t>Lot 033361</t>
  </si>
  <si>
    <t>SO0000585</t>
  </si>
  <si>
    <t>Lot 033547</t>
  </si>
  <si>
    <t>Lot 033552</t>
  </si>
  <si>
    <t>Lot 033554</t>
  </si>
  <si>
    <t>Lot 033372</t>
  </si>
  <si>
    <t>Lot 033556</t>
  </si>
  <si>
    <t>Lot 033560</t>
  </si>
  <si>
    <t>Lot 033674</t>
  </si>
  <si>
    <t>SO0000602</t>
  </si>
  <si>
    <t>Lot 033599</t>
  </si>
  <si>
    <t>Lot 034737</t>
  </si>
  <si>
    <t>Lot 034783</t>
  </si>
  <si>
    <t>SO0000611</t>
  </si>
  <si>
    <t>Lot 034784</t>
  </si>
  <si>
    <t>Lot 034918</t>
  </si>
  <si>
    <t>SO0000618</t>
  </si>
  <si>
    <t>Lot 034919</t>
  </si>
  <si>
    <t>Lot 034922</t>
  </si>
  <si>
    <t>Lot 034925</t>
  </si>
  <si>
    <t>Lot 034926</t>
  </si>
  <si>
    <t>SO0000623</t>
  </si>
  <si>
    <t>Lot 034917</t>
  </si>
  <si>
    <t>Lot 032961</t>
  </si>
  <si>
    <t>Lot 034928</t>
  </si>
  <si>
    <t>SO0000625</t>
  </si>
  <si>
    <t>Lot 035092</t>
  </si>
  <si>
    <t>SO0000628</t>
  </si>
  <si>
    <t>Lot 035096</t>
  </si>
  <si>
    <t>Lot 034571</t>
  </si>
  <si>
    <t>360366ApP0000080</t>
  </si>
  <si>
    <t>Lot 034934</t>
  </si>
  <si>
    <t>Lot 034986</t>
  </si>
  <si>
    <t>360SO0004094</t>
  </si>
  <si>
    <t>Lot 035159</t>
  </si>
  <si>
    <t>Lot 035162</t>
  </si>
  <si>
    <t>SO0000639</t>
  </si>
  <si>
    <t>Lot 035355</t>
  </si>
  <si>
    <t>Lot 035358</t>
  </si>
  <si>
    <t>SO0000646</t>
  </si>
  <si>
    <t>Lot 035359</t>
  </si>
  <si>
    <t>SO0000647</t>
  </si>
  <si>
    <t>Lot 035361</t>
  </si>
  <si>
    <t>Lot 035363</t>
  </si>
  <si>
    <t>SO0000650</t>
  </si>
  <si>
    <t>Lot 035634</t>
  </si>
  <si>
    <t>SO0000654</t>
  </si>
  <si>
    <t>Lot 035635</t>
  </si>
  <si>
    <t>SO0000655</t>
  </si>
  <si>
    <t>Lot 035636</t>
  </si>
  <si>
    <t>SO0000656</t>
  </si>
  <si>
    <t>Lot 036114</t>
  </si>
  <si>
    <t>Lot 036115</t>
  </si>
  <si>
    <t>Lot 036306</t>
  </si>
  <si>
    <t>Lot 036437</t>
  </si>
  <si>
    <t>SO0000680</t>
  </si>
  <si>
    <t>Lot 036440</t>
  </si>
  <si>
    <t>SO0000682</t>
  </si>
  <si>
    <t>Lot 036444</t>
  </si>
  <si>
    <t>Lot 036565</t>
  </si>
  <si>
    <t>Lot 036749</t>
  </si>
  <si>
    <t>Lot 036750</t>
  </si>
  <si>
    <t>SO0000694</t>
  </si>
  <si>
    <t>Lot 036769</t>
  </si>
  <si>
    <t>SO0000695</t>
  </si>
  <si>
    <t>Lot 036790</t>
  </si>
  <si>
    <t>SO0000696</t>
  </si>
  <si>
    <t>Lot 036960</t>
  </si>
  <si>
    <t>SO0000706</t>
  </si>
  <si>
    <t>Lot 037024</t>
  </si>
  <si>
    <t>SO0000710</t>
  </si>
  <si>
    <t>Lot 037183</t>
  </si>
  <si>
    <t>Lot 037694</t>
  </si>
  <si>
    <t>SO0000718</t>
  </si>
  <si>
    <t>Lot 039204</t>
  </si>
  <si>
    <t>360366ApP0000092</t>
  </si>
  <si>
    <t>Lot 039438</t>
  </si>
  <si>
    <t>360364ApP0000062</t>
  </si>
  <si>
    <t>Lot 039805</t>
  </si>
  <si>
    <t>Lot 039826</t>
  </si>
  <si>
    <t>360365ApP0000204</t>
  </si>
  <si>
    <t>Lot 040010</t>
  </si>
  <si>
    <t>Lot 040219</t>
  </si>
  <si>
    <t>Lot 040324</t>
  </si>
  <si>
    <t>360ApP0001736</t>
  </si>
  <si>
    <t>Lot 041618</t>
  </si>
  <si>
    <t>Lot 041886</t>
  </si>
  <si>
    <t>Lot 041716</t>
  </si>
  <si>
    <t>SO0000766</t>
  </si>
  <si>
    <t>Lot 041718</t>
  </si>
  <si>
    <t>SO0000768</t>
  </si>
  <si>
    <t>Lot 041722</t>
  </si>
  <si>
    <t>SO0000772</t>
  </si>
  <si>
    <t>Lot 041769</t>
  </si>
  <si>
    <t>SO0000780</t>
  </si>
  <si>
    <t>Lot 041827</t>
  </si>
  <si>
    <t>SO0000782</t>
  </si>
  <si>
    <t>Lot 043767</t>
  </si>
  <si>
    <t>360365ApP0000226</t>
  </si>
  <si>
    <t>Lot 041829</t>
  </si>
  <si>
    <t>Lot 041833</t>
  </si>
  <si>
    <t>Lot 043973</t>
  </si>
  <si>
    <t>SO0000786</t>
  </si>
  <si>
    <t>Lot 043978</t>
  </si>
  <si>
    <t>SO0000791</t>
  </si>
  <si>
    <t>Lot 043980</t>
  </si>
  <si>
    <t>SO0000793</t>
  </si>
  <si>
    <t>Lot 043982</t>
  </si>
  <si>
    <t>Lot 044010</t>
  </si>
  <si>
    <t>SO0000801</t>
  </si>
  <si>
    <t>Lot 044605</t>
  </si>
  <si>
    <t>Lot 044055</t>
  </si>
  <si>
    <t>Lot 044740</t>
  </si>
  <si>
    <t>Lot 045021</t>
  </si>
  <si>
    <t>Lot 045051</t>
  </si>
  <si>
    <t>Lot 045053</t>
  </si>
  <si>
    <t>Lot 045057</t>
  </si>
  <si>
    <t>Lot 045059</t>
  </si>
  <si>
    <t>Lot 045049</t>
  </si>
  <si>
    <t>Lot 045065</t>
  </si>
  <si>
    <t>SO0000818</t>
  </si>
  <si>
    <t>Lot 045110</t>
  </si>
  <si>
    <t>SO0000820</t>
  </si>
  <si>
    <t>Lot 045111</t>
  </si>
  <si>
    <t>SO0000821</t>
  </si>
  <si>
    <t>Lot 045120</t>
  </si>
  <si>
    <t>Lot 045348</t>
  </si>
  <si>
    <t>Lot 045167</t>
  </si>
  <si>
    <t>Lot 045347</t>
  </si>
  <si>
    <t>SO0000833</t>
  </si>
  <si>
    <t>Lot 045191</t>
  </si>
  <si>
    <t>Lot 045363</t>
  </si>
  <si>
    <t>Lot 045364</t>
  </si>
  <si>
    <t>SO0000840</t>
  </si>
  <si>
    <t>Lot 045427</t>
  </si>
  <si>
    <t>Lot 045428</t>
  </si>
  <si>
    <t>SO0000842</t>
  </si>
  <si>
    <t>Lot 045513</t>
  </si>
  <si>
    <t>Lot 045572</t>
  </si>
  <si>
    <t>Lot 045613</t>
  </si>
  <si>
    <t>SO0000853</t>
  </si>
  <si>
    <t>Lot 045614</t>
  </si>
  <si>
    <t>SO0000854</t>
  </si>
  <si>
    <t>Lot 045687</t>
  </si>
  <si>
    <t>Lot 045688</t>
  </si>
  <si>
    <t>SO0000858</t>
  </si>
  <si>
    <t>Lot 046557</t>
  </si>
  <si>
    <t>SO0000875</t>
  </si>
  <si>
    <t>Lot 046184</t>
  </si>
  <si>
    <t>Lot 046253</t>
  </si>
  <si>
    <t>Lot 046254</t>
  </si>
  <si>
    <t>Lot 046559</t>
  </si>
  <si>
    <t>SO0000877</t>
  </si>
  <si>
    <t>Lot 046215</t>
  </si>
  <si>
    <t>360364ApP0000189</t>
  </si>
  <si>
    <t>Lot 046220</t>
  </si>
  <si>
    <t>Lot 046677</t>
  </si>
  <si>
    <t>Lot 046714</t>
  </si>
  <si>
    <t>SO0000881</t>
  </si>
  <si>
    <t>Lot 047075</t>
  </si>
  <si>
    <t>SO0000882</t>
  </si>
  <si>
    <t>Lot 046593</t>
  </si>
  <si>
    <t>Lot 047203</t>
  </si>
  <si>
    <t>360365ApP0000267</t>
  </si>
  <si>
    <t>Lot 047321</t>
  </si>
  <si>
    <t>Lot 047411</t>
  </si>
  <si>
    <t>SO0000900</t>
  </si>
  <si>
    <t>Lot 047545</t>
  </si>
  <si>
    <t>SO0000905</t>
  </si>
  <si>
    <t>Lot 047477</t>
  </si>
  <si>
    <t>Lot 047479</t>
  </si>
  <si>
    <t>Lot 047547</t>
  </si>
  <si>
    <t>SO0000907</t>
  </si>
  <si>
    <t>Lot 047548</t>
  </si>
  <si>
    <t>SO0000908</t>
  </si>
  <si>
    <t>Lot 047549</t>
  </si>
  <si>
    <t>SO0000909</t>
  </si>
  <si>
    <t>Lot 047838</t>
  </si>
  <si>
    <t>SO0000922</t>
  </si>
  <si>
    <t>Lot 047586</t>
  </si>
  <si>
    <t>Lot 047839</t>
  </si>
  <si>
    <t>SO0000923</t>
  </si>
  <si>
    <t>Lot 047840</t>
  </si>
  <si>
    <t>SO0000924</t>
  </si>
  <si>
    <t>Lot 047847</t>
  </si>
  <si>
    <t>Lot 047835</t>
  </si>
  <si>
    <t>Lot 047846</t>
  </si>
  <si>
    <t>SO0000929</t>
  </si>
  <si>
    <t>Lot 047841</t>
  </si>
  <si>
    <t>SO0000925</t>
  </si>
  <si>
    <t>Lot 047988</t>
  </si>
  <si>
    <t>SO0000932</t>
  </si>
  <si>
    <t>Lot 047993</t>
  </si>
  <si>
    <t>Lot 047995</t>
  </si>
  <si>
    <t>Lot 047992</t>
  </si>
  <si>
    <t>SO0000935</t>
  </si>
  <si>
    <t>Lot 048173</t>
  </si>
  <si>
    <t>SO0000948</t>
  </si>
  <si>
    <t>Lot 048143</t>
  </si>
  <si>
    <t>360369ApP0000219</t>
  </si>
  <si>
    <t>Lot 048272</t>
  </si>
  <si>
    <t>Lot 048144</t>
  </si>
  <si>
    <t>360369ApP0000220</t>
  </si>
  <si>
    <t>Lot 052055</t>
  </si>
  <si>
    <t>SO0000959</t>
  </si>
  <si>
    <t>Lot 052048</t>
  </si>
  <si>
    <t>SO0000954</t>
  </si>
  <si>
    <t>Lot 052052</t>
  </si>
  <si>
    <t>SO0000956</t>
  </si>
  <si>
    <t>Lot 052057</t>
  </si>
  <si>
    <t>SO0000961</t>
  </si>
  <si>
    <t>Lot 052060</t>
  </si>
  <si>
    <t>SO0000964</t>
  </si>
  <si>
    <t>Lot 052334</t>
  </si>
  <si>
    <t>SO0000969</t>
  </si>
  <si>
    <t>Lot 052049</t>
  </si>
  <si>
    <t>Lot 052058</t>
  </si>
  <si>
    <t>SO0000962</t>
  </si>
  <si>
    <t>Lot 048148</t>
  </si>
  <si>
    <t>Lot 052689</t>
  </si>
  <si>
    <t>SO0000973</t>
  </si>
  <si>
    <t>Lot 052685</t>
  </si>
  <si>
    <t>SO0000970</t>
  </si>
  <si>
    <t>Lot 053167</t>
  </si>
  <si>
    <t>SO0000976</t>
  </si>
  <si>
    <t>Lot 053946</t>
  </si>
  <si>
    <t>Lot 053950</t>
  </si>
  <si>
    <t>Lot 053970</t>
  </si>
  <si>
    <t>SO0000981</t>
  </si>
  <si>
    <t>Lot 054475</t>
  </si>
  <si>
    <t>SO0000991</t>
  </si>
  <si>
    <t>Lot 055009</t>
  </si>
  <si>
    <t>SO0001008</t>
  </si>
  <si>
    <t>Lot 054367</t>
  </si>
  <si>
    <t>SO0000984</t>
  </si>
  <si>
    <t>Lot 054479</t>
  </si>
  <si>
    <t>SO0000992</t>
  </si>
  <si>
    <t>Lot 054940</t>
  </si>
  <si>
    <t>SO0001002</t>
  </si>
  <si>
    <t>Lot 054903</t>
  </si>
  <si>
    <t>SO0000993</t>
  </si>
  <si>
    <t>Lot 054936</t>
  </si>
  <si>
    <t>SO0000998</t>
  </si>
  <si>
    <t>Lot 055045</t>
  </si>
  <si>
    <t>Lot 054939</t>
  </si>
  <si>
    <t>SO0001001</t>
  </si>
  <si>
    <t>Lot 054930</t>
  </si>
  <si>
    <t>SO0000995</t>
  </si>
  <si>
    <t>Lot 054931</t>
  </si>
  <si>
    <t>Lot 054932</t>
  </si>
  <si>
    <t>Lot 055040</t>
  </si>
  <si>
    <t>Lot 052036</t>
  </si>
  <si>
    <t>360ApP0002086</t>
  </si>
  <si>
    <t>Lot 055086</t>
  </si>
  <si>
    <t>SO0001015</t>
  </si>
  <si>
    <t>Lot 055106</t>
  </si>
  <si>
    <t>Lot 055110</t>
  </si>
  <si>
    <t>SO0001018</t>
  </si>
  <si>
    <t>Lot 055178</t>
  </si>
  <si>
    <t>SO0001024</t>
  </si>
  <si>
    <t>Lot 055159</t>
  </si>
  <si>
    <t>SO0001023</t>
  </si>
  <si>
    <t>Lot 055204</t>
  </si>
  <si>
    <t>SO0001028</t>
  </si>
  <si>
    <t>Lot 054905</t>
  </si>
  <si>
    <t>Lot 055328</t>
  </si>
  <si>
    <t>SO0001033</t>
  </si>
  <si>
    <t>Lot 055347</t>
  </si>
  <si>
    <t>SO0001034</t>
  </si>
  <si>
    <t>Lot 055925</t>
  </si>
  <si>
    <t>SO0001036</t>
  </si>
  <si>
    <t>Lot 056047</t>
  </si>
  <si>
    <t>Lot 048270</t>
  </si>
  <si>
    <t>Lot 056609</t>
  </si>
  <si>
    <t>SO0001041</t>
  </si>
  <si>
    <t>Lot 056610</t>
  </si>
  <si>
    <t>SO0001042</t>
  </si>
  <si>
    <t>Lot 056789</t>
  </si>
  <si>
    <t>Lot 056793</t>
  </si>
  <si>
    <t>SO0001046</t>
  </si>
  <si>
    <t>Lot 057081</t>
  </si>
  <si>
    <t>SO0001048</t>
  </si>
  <si>
    <t>Lot 057100</t>
  </si>
  <si>
    <t>SO0001049</t>
  </si>
  <si>
    <t>Lot 057434</t>
  </si>
  <si>
    <t>SO0001053</t>
  </si>
  <si>
    <t>Lot 054450</t>
  </si>
  <si>
    <t>Lot 057429</t>
  </si>
  <si>
    <t>SO0001050</t>
  </si>
  <si>
    <t>Lot 057475</t>
  </si>
  <si>
    <t>SO0001056</t>
  </si>
  <si>
    <t>Lot 057992</t>
  </si>
  <si>
    <t>SO0001058</t>
  </si>
  <si>
    <t>Lot 058011</t>
  </si>
  <si>
    <t>SO0001060</t>
  </si>
  <si>
    <t>Lot 057970</t>
  </si>
  <si>
    <t>360ApP0002173</t>
  </si>
  <si>
    <t>Lot 058463</t>
  </si>
  <si>
    <t>Lot 052009</t>
  </si>
  <si>
    <t>Lot 057477</t>
  </si>
  <si>
    <t>Lot 058682</t>
  </si>
  <si>
    <t>Lot 058702</t>
  </si>
  <si>
    <t>Lot 058705</t>
  </si>
  <si>
    <t>SO0001069</t>
  </si>
  <si>
    <t>Lot 058710</t>
  </si>
  <si>
    <t>SO0001074</t>
  </si>
  <si>
    <t>Lot 059223</t>
  </si>
  <si>
    <t>Lot 059269</t>
  </si>
  <si>
    <t>SO0001082</t>
  </si>
  <si>
    <t>Lot 058729</t>
  </si>
  <si>
    <t>360365ApP0000287</t>
  </si>
  <si>
    <t>Lot 059162</t>
  </si>
  <si>
    <t>Lot 059286</t>
  </si>
  <si>
    <t>SO0001083</t>
  </si>
  <si>
    <t>Lot 059387</t>
  </si>
  <si>
    <t>SO0001084</t>
  </si>
  <si>
    <t>Lot 059426</t>
  </si>
  <si>
    <t>SO0001085</t>
  </si>
  <si>
    <t>Lot 058466</t>
  </si>
  <si>
    <t>Lot 059927</t>
  </si>
  <si>
    <t>SO0001094</t>
  </si>
  <si>
    <t>Lot 059928</t>
  </si>
  <si>
    <t>SO0001095</t>
  </si>
  <si>
    <t>Lot 059934</t>
  </si>
  <si>
    <t>Lot 060210</t>
  </si>
  <si>
    <t>SO0001107</t>
  </si>
  <si>
    <t>Lot 059925</t>
  </si>
  <si>
    <t>SO0001092</t>
  </si>
  <si>
    <t>Lot 059930</t>
  </si>
  <si>
    <t>Lot 060211</t>
  </si>
  <si>
    <t>SO0001108</t>
  </si>
  <si>
    <t>Lot 060953</t>
  </si>
  <si>
    <t>Lot 061370</t>
  </si>
  <si>
    <t>SO0001120</t>
  </si>
  <si>
    <t>Lot 060948</t>
  </si>
  <si>
    <t>SO0001109</t>
  </si>
  <si>
    <t>Lot 060949</t>
  </si>
  <si>
    <t>SO0001110</t>
  </si>
  <si>
    <t>Lot 061367</t>
  </si>
  <si>
    <t>SO0001118</t>
  </si>
  <si>
    <t>Lot 061368</t>
  </si>
  <si>
    <t>Lot 061704</t>
  </si>
  <si>
    <t>Lot 061702</t>
  </si>
  <si>
    <t>SO0001125</t>
  </si>
  <si>
    <t>Lot 061705</t>
  </si>
  <si>
    <t>SO0001127</t>
  </si>
  <si>
    <t>Lot 057312</t>
  </si>
  <si>
    <t>Lot 061678</t>
  </si>
  <si>
    <t>360369ApP0000273</t>
  </si>
  <si>
    <t>Lot 061679</t>
  </si>
  <si>
    <t>SO0001122</t>
  </si>
  <si>
    <t>Lot 061764</t>
  </si>
  <si>
    <t>SO0001130</t>
  </si>
  <si>
    <t>Lot 061807</t>
  </si>
  <si>
    <t>Lot 061559</t>
  </si>
  <si>
    <t>Lot 062139</t>
  </si>
  <si>
    <t>Lot 062142</t>
  </si>
  <si>
    <t>Lot 062450</t>
  </si>
  <si>
    <t>Lot 062453</t>
  </si>
  <si>
    <t>SO0001144</t>
  </si>
  <si>
    <t>Lot 062345</t>
  </si>
  <si>
    <t>SO0001140</t>
  </si>
  <si>
    <t>Lot 062455</t>
  </si>
  <si>
    <t>Lot 062759</t>
  </si>
  <si>
    <t>SO0001153</t>
  </si>
  <si>
    <t>Lot 061249</t>
  </si>
  <si>
    <t>Lot 062464</t>
  </si>
  <si>
    <t>Lot 063356</t>
  </si>
  <si>
    <t>SO0001157</t>
  </si>
  <si>
    <t>Lot 063398</t>
  </si>
  <si>
    <t>SO0001160</t>
  </si>
  <si>
    <t>Lot 063399</t>
  </si>
  <si>
    <t>SO0001161</t>
  </si>
  <si>
    <t>Lot 063419</t>
  </si>
  <si>
    <t>SO0001163</t>
  </si>
  <si>
    <t>Lot 063420</t>
  </si>
  <si>
    <t>SO0001164</t>
  </si>
  <si>
    <t>Lot 064014</t>
  </si>
  <si>
    <t>SO0001165</t>
  </si>
  <si>
    <t>Lot 064017</t>
  </si>
  <si>
    <t>SO0001168</t>
  </si>
  <si>
    <t>Lot 064023</t>
  </si>
  <si>
    <t>Lot 064026</t>
  </si>
  <si>
    <t>Lot 064029</t>
  </si>
  <si>
    <t>SO0001176</t>
  </si>
  <si>
    <t>Lot 064249</t>
  </si>
  <si>
    <t>Lot 064674</t>
  </si>
  <si>
    <t>SO0001179</t>
  </si>
  <si>
    <t>Lot 064675</t>
  </si>
  <si>
    <t>Lot 064677</t>
  </si>
  <si>
    <t>SO0001181</t>
  </si>
  <si>
    <t>Lot 064678</t>
  </si>
  <si>
    <t>SO0001182</t>
  </si>
  <si>
    <t>Lot 064679</t>
  </si>
  <si>
    <t>SO0001183</t>
  </si>
  <si>
    <t>Lot 061564</t>
  </si>
  <si>
    <t>Lot 064948</t>
  </si>
  <si>
    <t>SO0001192</t>
  </si>
  <si>
    <t>Lot 064947</t>
  </si>
  <si>
    <t>SO0001191</t>
  </si>
  <si>
    <t>Lot 065089</t>
  </si>
  <si>
    <t>SO0001194</t>
  </si>
  <si>
    <t>Lot 065163</t>
  </si>
  <si>
    <t>SO0001196</t>
  </si>
  <si>
    <t>Lot 065232</t>
  </si>
  <si>
    <t>SO0001200</t>
  </si>
  <si>
    <t>Lot 065248</t>
  </si>
  <si>
    <t>SO0001201</t>
  </si>
  <si>
    <t>Lot 065402</t>
  </si>
  <si>
    <t>SO0001203</t>
  </si>
  <si>
    <t>Lot 065439</t>
  </si>
  <si>
    <t>SO0001204</t>
  </si>
  <si>
    <t>Lot 065176</t>
  </si>
  <si>
    <t>SO0001198</t>
  </si>
  <si>
    <t>Lot 068066</t>
  </si>
  <si>
    <t>SO0001206</t>
  </si>
  <si>
    <t>Lot 068068</t>
  </si>
  <si>
    <t>SO0001207</t>
  </si>
  <si>
    <t>Lot 068069</t>
  </si>
  <si>
    <t>SO0001208</t>
  </si>
  <si>
    <t>Lot 068103</t>
  </si>
  <si>
    <t>SO0001210</t>
  </si>
  <si>
    <t>Lot 068107</t>
  </si>
  <si>
    <t>SO0001214</t>
  </si>
  <si>
    <t>Lot 068394</t>
  </si>
  <si>
    <t>SO0001219</t>
  </si>
  <si>
    <t>Lot 068419</t>
  </si>
  <si>
    <t>SO0001220</t>
  </si>
  <si>
    <t>Lot 068450</t>
  </si>
  <si>
    <t>Lot 068596</t>
  </si>
  <si>
    <t>SO0001223</t>
  </si>
  <si>
    <t>Lot 069095</t>
  </si>
  <si>
    <t>SO0001226</t>
  </si>
  <si>
    <t>Lot 069096</t>
  </si>
  <si>
    <t>SO0001227</t>
  </si>
  <si>
    <t>Lot 069280</t>
  </si>
  <si>
    <t>SO0001230</t>
  </si>
  <si>
    <t>Lot 069347</t>
  </si>
  <si>
    <t>Lot 070174</t>
  </si>
  <si>
    <t>SO0001247</t>
  </si>
  <si>
    <t>Lot 069369</t>
  </si>
  <si>
    <t>Lot 069527</t>
  </si>
  <si>
    <t>SO0001241</t>
  </si>
  <si>
    <t>Lot 070171</t>
  </si>
  <si>
    <t>Lot 070178</t>
  </si>
  <si>
    <t>Lot 070180</t>
  </si>
  <si>
    <t>SO0001251</t>
  </si>
  <si>
    <t>Lot 070172</t>
  </si>
  <si>
    <t>SO0001245</t>
  </si>
  <si>
    <t>Lot 070175</t>
  </si>
  <si>
    <t>SO0001248</t>
  </si>
  <si>
    <t>Lot 070179</t>
  </si>
  <si>
    <t>SO0001250</t>
  </si>
  <si>
    <t>Lot 070575</t>
  </si>
  <si>
    <t>SO0001258</t>
  </si>
  <si>
    <t>Lot 070773</t>
  </si>
  <si>
    <t>SO0001262</t>
  </si>
  <si>
    <t>Lot 070794</t>
  </si>
  <si>
    <t>SO0001265</t>
  </si>
  <si>
    <t>Lot 070795</t>
  </si>
  <si>
    <t>SO0001266</t>
  </si>
  <si>
    <t>Lot 070796</t>
  </si>
  <si>
    <t>SO0001267</t>
  </si>
  <si>
    <t>Lot 070799</t>
  </si>
  <si>
    <t>SO0001269</t>
  </si>
  <si>
    <t>Lot 070800</t>
  </si>
  <si>
    <t>SO0001270</t>
  </si>
  <si>
    <t>Lot 071765</t>
  </si>
  <si>
    <t>Lot 070830</t>
  </si>
  <si>
    <t>Lot 071270</t>
  </si>
  <si>
    <t>Lot 070803</t>
  </si>
  <si>
    <t>Lot 071785</t>
  </si>
  <si>
    <t>SO0001282</t>
  </si>
  <si>
    <t>Lot 071786</t>
  </si>
  <si>
    <t>Lot 071806</t>
  </si>
  <si>
    <t>SO0001284</t>
  </si>
  <si>
    <t>Lot 071636</t>
  </si>
  <si>
    <t>Lot 072978</t>
  </si>
  <si>
    <t>SO0001292</t>
  </si>
  <si>
    <t>Lot 072984</t>
  </si>
  <si>
    <t>Lot 073003</t>
  </si>
  <si>
    <t>SO0001297</t>
  </si>
  <si>
    <t>Lot 073010</t>
  </si>
  <si>
    <t>SO0001298</t>
  </si>
  <si>
    <t>Lot 073011</t>
  </si>
  <si>
    <t>SO0001299</t>
  </si>
  <si>
    <t>Lot 073016</t>
  </si>
  <si>
    <t>SO0001300</t>
  </si>
  <si>
    <t>Lot 073057</t>
  </si>
  <si>
    <t>SO0001301</t>
  </si>
  <si>
    <t>Lot 073256</t>
  </si>
  <si>
    <t>Lot 074175</t>
  </si>
  <si>
    <t>SO0001307</t>
  </si>
  <si>
    <t>Lot 074806</t>
  </si>
  <si>
    <t>Lot 074808</t>
  </si>
  <si>
    <t>SO0001323</t>
  </si>
  <si>
    <t>Lot 074800</t>
  </si>
  <si>
    <t>SO0001318</t>
  </si>
  <si>
    <t>Lot 075555</t>
  </si>
  <si>
    <t>SO0001337</t>
  </si>
  <si>
    <t>Lot 075560</t>
  </si>
  <si>
    <t>Lot 075580</t>
  </si>
  <si>
    <t>SO0001341</t>
  </si>
  <si>
    <t>Lot 075124</t>
  </si>
  <si>
    <t>SO0001332</t>
  </si>
  <si>
    <t>Lot 075552</t>
  </si>
  <si>
    <t>SO0001335</t>
  </si>
  <si>
    <t>Lot 075561</t>
  </si>
  <si>
    <t>SO0001340</t>
  </si>
  <si>
    <t>Lot 075342</t>
  </si>
  <si>
    <t>SO0001333</t>
  </si>
  <si>
    <t>Lot 075344</t>
  </si>
  <si>
    <t>Lot 075601</t>
  </si>
  <si>
    <t>SO0001343</t>
  </si>
  <si>
    <t>Lot 075812</t>
  </si>
  <si>
    <t>Lot 075814</t>
  </si>
  <si>
    <t>SO0001349</t>
  </si>
  <si>
    <t>Lot 075804</t>
  </si>
  <si>
    <t>Lot 075807</t>
  </si>
  <si>
    <t>Lot 076068</t>
  </si>
  <si>
    <t>SO0001352</t>
  </si>
  <si>
    <t>Lot 076335</t>
  </si>
  <si>
    <t>SO0001355</t>
  </si>
  <si>
    <t>Lot 076370</t>
  </si>
  <si>
    <t>SO0001360</t>
  </si>
  <si>
    <t>Lot 076633</t>
  </si>
  <si>
    <t>Lot 076374</t>
  </si>
  <si>
    <t>Lot 077054</t>
  </si>
  <si>
    <t>SO0001368</t>
  </si>
  <si>
    <t>Lot 077055</t>
  </si>
  <si>
    <t>SO0001369</t>
  </si>
  <si>
    <t>Lot 077056</t>
  </si>
  <si>
    <t>SO0001370</t>
  </si>
  <si>
    <t>Lot 077057</t>
  </si>
  <si>
    <t>SO0001371</t>
  </si>
  <si>
    <t>Lot 077058</t>
  </si>
  <si>
    <t>SO0001372</t>
  </si>
  <si>
    <t>Lot 077505</t>
  </si>
  <si>
    <t>SO0001376</t>
  </si>
  <si>
    <t>Lot 077720</t>
  </si>
  <si>
    <t>SO0001379</t>
  </si>
  <si>
    <t>Lot 077719</t>
  </si>
  <si>
    <t>SO0001378</t>
  </si>
  <si>
    <t>Lot 077721</t>
  </si>
  <si>
    <t>SO0001380</t>
  </si>
  <si>
    <t>Lot 078557</t>
  </si>
  <si>
    <t>SO0001385</t>
  </si>
  <si>
    <t>Lot 078584</t>
  </si>
  <si>
    <t>Lot 078599</t>
  </si>
  <si>
    <t>SO0001387</t>
  </si>
  <si>
    <t>Lot 078656</t>
  </si>
  <si>
    <t>Lot 079410</t>
  </si>
  <si>
    <t>SO0001401</t>
  </si>
  <si>
    <t>Lot 079067</t>
  </si>
  <si>
    <t>SO0001396</t>
  </si>
  <si>
    <t>Lot 079071</t>
  </si>
  <si>
    <t>SO0001398</t>
  </si>
  <si>
    <t>Lot 079866</t>
  </si>
  <si>
    <t>SO0001408</t>
  </si>
  <si>
    <t>Lot 079928</t>
  </si>
  <si>
    <t>SO0001413</t>
  </si>
  <si>
    <t>Lot 079929</t>
  </si>
  <si>
    <t>SO0001414</t>
  </si>
  <si>
    <t>Lot 080836</t>
  </si>
  <si>
    <t>SO0001415</t>
  </si>
  <si>
    <t>Lot 080999</t>
  </si>
  <si>
    <t>SO0001416</t>
  </si>
  <si>
    <t>Lot 081001</t>
  </si>
  <si>
    <t>Lot 081808</t>
  </si>
  <si>
    <t>SO0001420</t>
  </si>
  <si>
    <t>Lot 081809</t>
  </si>
  <si>
    <t>SO0001421</t>
  </si>
  <si>
    <t>Lot 082259</t>
  </si>
  <si>
    <t>360364ApP0000343</t>
  </si>
  <si>
    <t>Lot 081988</t>
  </si>
  <si>
    <t>Lot 083829</t>
  </si>
  <si>
    <t>SO0001430</t>
  </si>
  <si>
    <t>Lot 086174</t>
  </si>
  <si>
    <t>Lot 089269</t>
  </si>
  <si>
    <t>Lot 089807</t>
  </si>
  <si>
    <t>SO0001450</t>
  </si>
  <si>
    <t>Lot 089929</t>
  </si>
  <si>
    <t>SO0001453</t>
  </si>
  <si>
    <t>Lot 090770</t>
  </si>
  <si>
    <t>SO0001460</t>
  </si>
  <si>
    <t>Lot 091476</t>
  </si>
  <si>
    <t>SO0001463</t>
  </si>
  <si>
    <t>Lot 091570</t>
  </si>
  <si>
    <t>Lot 091877</t>
  </si>
  <si>
    <t>SO0001470</t>
  </si>
  <si>
    <t>Lot 091880</t>
  </si>
  <si>
    <t>Lot 091883</t>
  </si>
  <si>
    <t>Lot 091885</t>
  </si>
  <si>
    <t>Lot 091890</t>
  </si>
  <si>
    <t>Lot 091999</t>
  </si>
  <si>
    <t>SO0001477</t>
  </si>
  <si>
    <t>Lot 092002</t>
  </si>
  <si>
    <t>Lot 092003</t>
  </si>
  <si>
    <t>SO0001480</t>
  </si>
  <si>
    <t>Lot 089687</t>
  </si>
  <si>
    <t>Lot 092298</t>
  </si>
  <si>
    <t>Lot 092307</t>
  </si>
  <si>
    <t>SO0001483</t>
  </si>
  <si>
    <t>Lot 092309</t>
  </si>
  <si>
    <t>Lot 092311</t>
  </si>
  <si>
    <t>Lot 092313</t>
  </si>
  <si>
    <t>SO0001487</t>
  </si>
  <si>
    <t>Lot 092306</t>
  </si>
  <si>
    <t>SO0001482</t>
  </si>
  <si>
    <t>Lot 092568</t>
  </si>
  <si>
    <t>SO0001490</t>
  </si>
  <si>
    <t>Lot 092569</t>
  </si>
  <si>
    <t>SO0001491</t>
  </si>
  <si>
    <t>Lot 092570</t>
  </si>
  <si>
    <t>SO0001492</t>
  </si>
  <si>
    <t>Lot 092571</t>
  </si>
  <si>
    <t>SO0001493</t>
  </si>
  <si>
    <t>Lot 093211</t>
  </si>
  <si>
    <t>Lot 093829</t>
  </si>
  <si>
    <t>SO0001504</t>
  </si>
  <si>
    <t>Lot 093830</t>
  </si>
  <si>
    <t>SO0001505</t>
  </si>
  <si>
    <t>Lot 094063</t>
  </si>
  <si>
    <t>Lot 094331</t>
  </si>
  <si>
    <t>Lot 094334</t>
  </si>
  <si>
    <t>SO0001522</t>
  </si>
  <si>
    <t>Lot 094335</t>
  </si>
  <si>
    <t>Lot 094265</t>
  </si>
  <si>
    <t>Lot 094286</t>
  </si>
  <si>
    <t>SO0001517</t>
  </si>
  <si>
    <t>Lot 094523</t>
  </si>
  <si>
    <t>Lot 094725</t>
  </si>
  <si>
    <t>Lot 094730</t>
  </si>
  <si>
    <t>Lot 095968</t>
  </si>
  <si>
    <t>SO0001545</t>
  </si>
  <si>
    <t>Lot 094525</t>
  </si>
  <si>
    <t>Lot 094542</t>
  </si>
  <si>
    <t>Lot 096486</t>
  </si>
  <si>
    <t>SO0001551</t>
  </si>
  <si>
    <t>Lot 096524</t>
  </si>
  <si>
    <t>SO0001553</t>
  </si>
  <si>
    <t>Lot 096525</t>
  </si>
  <si>
    <t>SO0001554</t>
  </si>
  <si>
    <t>Lot 095323</t>
  </si>
  <si>
    <t>Lot 096592</t>
  </si>
  <si>
    <t>Lot 096593</t>
  </si>
  <si>
    <t>SO0001556</t>
  </si>
  <si>
    <t>Lot 096683</t>
  </si>
  <si>
    <t>SO0001558</t>
  </si>
  <si>
    <t>Lot 096685</t>
  </si>
  <si>
    <t>Lot 096687</t>
  </si>
  <si>
    <t>Lot 096706</t>
  </si>
  <si>
    <t>SO0001561</t>
  </si>
  <si>
    <t>Lot 096707</t>
  </si>
  <si>
    <t>Lot 096843</t>
  </si>
  <si>
    <t>SO0001563</t>
  </si>
  <si>
    <t>Lot 096996</t>
  </si>
  <si>
    <t>SO0001567</t>
  </si>
  <si>
    <t>Lot 097189</t>
  </si>
  <si>
    <t>SO0001570</t>
  </si>
  <si>
    <t>Lot 097277</t>
  </si>
  <si>
    <t>SO0001571</t>
  </si>
  <si>
    <t>Lot 096997</t>
  </si>
  <si>
    <t>SO0001568</t>
  </si>
  <si>
    <t>Lot 096589</t>
  </si>
  <si>
    <t>Lot 097933</t>
  </si>
  <si>
    <t>SO0001574</t>
  </si>
  <si>
    <t>Lot 097958</t>
  </si>
  <si>
    <t>SO0001575</t>
  </si>
  <si>
    <t>Lot 098428</t>
  </si>
  <si>
    <t>Lot 098483</t>
  </si>
  <si>
    <t>SO0001583</t>
  </si>
  <si>
    <t>Lot 098633</t>
  </si>
  <si>
    <t>SO0001584</t>
  </si>
  <si>
    <t>Lot 098662</t>
  </si>
  <si>
    <t>Lot 098640</t>
  </si>
  <si>
    <t>Lot 098845</t>
  </si>
  <si>
    <t>SO0001593</t>
  </si>
  <si>
    <t>Lot 098982</t>
  </si>
  <si>
    <t>SO0001594</t>
  </si>
  <si>
    <t>Lot 098842</t>
  </si>
  <si>
    <t>Lot 099733</t>
  </si>
  <si>
    <t>SO0001603</t>
  </si>
  <si>
    <t>Lot 100028</t>
  </si>
  <si>
    <t>Lot 100050</t>
  </si>
  <si>
    <t>Lot 100158</t>
  </si>
  <si>
    <t>SO0001607</t>
  </si>
  <si>
    <t>Lot 100171</t>
  </si>
  <si>
    <t>SO0001608</t>
  </si>
  <si>
    <t>Lot 100172</t>
  </si>
  <si>
    <t>SO0001609</t>
  </si>
  <si>
    <t>Lot 100450</t>
  </si>
  <si>
    <t>SO0001610</t>
  </si>
  <si>
    <t>Lot 100451</t>
  </si>
  <si>
    <t>SO0001611</t>
  </si>
  <si>
    <t>Lot 100453</t>
  </si>
  <si>
    <t>SO0001613</t>
  </si>
  <si>
    <t>Lot 100455</t>
  </si>
  <si>
    <t>Lot 100459</t>
  </si>
  <si>
    <t>Lot 100866</t>
  </si>
  <si>
    <t>SO0001621</t>
  </si>
  <si>
    <t>Lot 100894</t>
  </si>
  <si>
    <t>SO0001622</t>
  </si>
  <si>
    <t>Lot 100895</t>
  </si>
  <si>
    <t>SO0001623</t>
  </si>
  <si>
    <t>Lot 101229</t>
  </si>
  <si>
    <t>360364ApP0000489</t>
  </si>
  <si>
    <t>Lot 101757</t>
  </si>
  <si>
    <t>Lot 101754</t>
  </si>
  <si>
    <t>SO0001627</t>
  </si>
  <si>
    <t>Lot 101758</t>
  </si>
  <si>
    <t>SO0001630</t>
  </si>
  <si>
    <t>Lot 101909</t>
  </si>
  <si>
    <t>SO0001631</t>
  </si>
  <si>
    <t>Lot 101910</t>
  </si>
  <si>
    <t>SO0001632</t>
  </si>
  <si>
    <t>Lot 102440</t>
  </si>
  <si>
    <t>SO0001635</t>
  </si>
  <si>
    <t>Lot 102442</t>
  </si>
  <si>
    <t>Lot 102549</t>
  </si>
  <si>
    <t>SO0001638</t>
  </si>
  <si>
    <t>Lot 102551</t>
  </si>
  <si>
    <t>Lot 102578</t>
  </si>
  <si>
    <t>SO0001642</t>
  </si>
  <si>
    <t>Lot 102664</t>
  </si>
  <si>
    <t>SO0001643</t>
  </si>
  <si>
    <t>Lot 102683</t>
  </si>
  <si>
    <t>SO0001644</t>
  </si>
  <si>
    <t>Lot 103383</t>
  </si>
  <si>
    <t>SO0001646</t>
  </si>
  <si>
    <t>Lot 103390</t>
  </si>
  <si>
    <t>Lot 103392</t>
  </si>
  <si>
    <t>SO0001653</t>
  </si>
  <si>
    <t>Lot 104333</t>
  </si>
  <si>
    <t>SO0001658</t>
  </si>
  <si>
    <t>Lot 104436</t>
  </si>
  <si>
    <t>SO0001665</t>
  </si>
  <si>
    <t>Lot 103394</t>
  </si>
  <si>
    <t>Lot 104400</t>
  </si>
  <si>
    <t>SO0001660</t>
  </si>
  <si>
    <t>Lot 104434</t>
  </si>
  <si>
    <t>Lot 102573</t>
  </si>
  <si>
    <t>360369ApP0000362</t>
  </si>
  <si>
    <t>Lot 104748</t>
  </si>
  <si>
    <t>SO0001671</t>
  </si>
  <si>
    <t>Lot 104996</t>
  </si>
  <si>
    <t>Lot 105713</t>
  </si>
  <si>
    <t>Lot 106001</t>
  </si>
  <si>
    <t>Lot 106081</t>
  </si>
  <si>
    <t>Lot 106079</t>
  </si>
  <si>
    <t>Lot 106204</t>
  </si>
  <si>
    <t>SO0001689</t>
  </si>
  <si>
    <t>Lot 106205</t>
  </si>
  <si>
    <t>SO0001690</t>
  </si>
  <si>
    <t>Lot 106219</t>
  </si>
  <si>
    <t>SO0001691</t>
  </si>
  <si>
    <t>Lot 106446</t>
  </si>
  <si>
    <t>Lot 106451</t>
  </si>
  <si>
    <t>Lot 106622</t>
  </si>
  <si>
    <t>SO0001704</t>
  </si>
  <si>
    <t>Lot 107263</t>
  </si>
  <si>
    <t>SO0001714</t>
  </si>
  <si>
    <t>Lot 105511</t>
  </si>
  <si>
    <t>Lot 107308</t>
  </si>
  <si>
    <t>SO0001718</t>
  </si>
  <si>
    <t>Lot 107309</t>
  </si>
  <si>
    <t>Lot 107492</t>
  </si>
  <si>
    <t>Lot 106075</t>
  </si>
  <si>
    <t>Lot 107686</t>
  </si>
  <si>
    <t>SO0001730</t>
  </si>
  <si>
    <t>Lot 107819</t>
  </si>
  <si>
    <t>SO0001736</t>
  </si>
  <si>
    <t>Lot 106090</t>
  </si>
  <si>
    <t>Lot 107842</t>
  </si>
  <si>
    <t>SO0001738</t>
  </si>
  <si>
    <t>Lot 107905</t>
  </si>
  <si>
    <t>Lot 107942</t>
  </si>
  <si>
    <t>Lot 102570</t>
  </si>
  <si>
    <t>360369ApP0000364</t>
  </si>
  <si>
    <t>Lot 106085</t>
  </si>
  <si>
    <t>360369ApP0000368</t>
  </si>
  <si>
    <t>Lot 108778</t>
  </si>
  <si>
    <t>Lot 108798</t>
  </si>
  <si>
    <t>Lot 108927</t>
  </si>
  <si>
    <t>SO0001753</t>
  </si>
  <si>
    <t>Lot 108928</t>
  </si>
  <si>
    <t>SO0001754</t>
  </si>
  <si>
    <t>Lot 108926</t>
  </si>
  <si>
    <t>SO0001752</t>
  </si>
  <si>
    <t>Lot 109567</t>
  </si>
  <si>
    <t>Lot 109814</t>
  </si>
  <si>
    <t>SO0001764</t>
  </si>
  <si>
    <t>Lot 109818</t>
  </si>
  <si>
    <t>Lot 109838</t>
  </si>
  <si>
    <t>SO0001766</t>
  </si>
  <si>
    <t>Lot 109858</t>
  </si>
  <si>
    <t>SO0001768</t>
  </si>
  <si>
    <t>Lot 109859</t>
  </si>
  <si>
    <t>SO0001769</t>
  </si>
  <si>
    <t>Lot 109869</t>
  </si>
  <si>
    <t>SO0001772</t>
  </si>
  <si>
    <t>Lot 109872</t>
  </si>
  <si>
    <t>Lot 110716</t>
  </si>
  <si>
    <t>Lot 110884</t>
  </si>
  <si>
    <t>SO0001782</t>
  </si>
  <si>
    <t>Lot 111240</t>
  </si>
  <si>
    <t>SO0001785</t>
  </si>
  <si>
    <t>Lot 111244</t>
  </si>
  <si>
    <t>Lot 111559</t>
  </si>
  <si>
    <t>SO0001790</t>
  </si>
  <si>
    <t>Lot 111634</t>
  </si>
  <si>
    <t>SO0001792</t>
  </si>
  <si>
    <t>Lot 109816</t>
  </si>
  <si>
    <t>Lot 112070</t>
  </si>
  <si>
    <t>SO0001795</t>
  </si>
  <si>
    <t>Lot 112091</t>
  </si>
  <si>
    <t>Lot 112450</t>
  </si>
  <si>
    <t>Lot 112964</t>
  </si>
  <si>
    <t>SO0001818</t>
  </si>
  <si>
    <t>Lot 112967</t>
  </si>
  <si>
    <t>SO0001819</t>
  </si>
  <si>
    <t>Lot 113220</t>
  </si>
  <si>
    <t>SO0001822</t>
  </si>
  <si>
    <t>Lot 113223</t>
  </si>
  <si>
    <t>SO0001825</t>
  </si>
  <si>
    <t>Lot 113224</t>
  </si>
  <si>
    <t>SO0001826</t>
  </si>
  <si>
    <t>Lot 113255</t>
  </si>
  <si>
    <t>SO0001831</t>
  </si>
  <si>
    <t>Lot 114327</t>
  </si>
  <si>
    <t>SO0001836</t>
  </si>
  <si>
    <t>Lot 114377</t>
  </si>
  <si>
    <t>Lot 114378</t>
  </si>
  <si>
    <t>Lot 114380</t>
  </si>
  <si>
    <t>SO0001839</t>
  </si>
  <si>
    <t>Lot 114381</t>
  </si>
  <si>
    <t>SO0001840</t>
  </si>
  <si>
    <t>Lot 114382</t>
  </si>
  <si>
    <t>SO0001841</t>
  </si>
  <si>
    <t>Lot 115496</t>
  </si>
  <si>
    <t>SO0001845</t>
  </si>
  <si>
    <t>Lot 115774</t>
  </si>
  <si>
    <t>SO0001846</t>
  </si>
  <si>
    <t>Lot 112255</t>
  </si>
  <si>
    <t>360366ApP0000260</t>
  </si>
  <si>
    <t>Lot 115998</t>
  </si>
  <si>
    <t>SO0001853</t>
  </si>
  <si>
    <t>Lot 116013</t>
  </si>
  <si>
    <t>SO0001859</t>
  </si>
  <si>
    <t>Lot 116014</t>
  </si>
  <si>
    <t>SO0001860</t>
  </si>
  <si>
    <t>Lot 116015</t>
  </si>
  <si>
    <t>SO0001861</t>
  </si>
  <si>
    <t>Lot 116529</t>
  </si>
  <si>
    <t>SO0001865</t>
  </si>
  <si>
    <t>Lot 116530</t>
  </si>
  <si>
    <t>SO0001866</t>
  </si>
  <si>
    <t>Lot 117029</t>
  </si>
  <si>
    <t>SO0001870</t>
  </si>
  <si>
    <t>Lot 117030</t>
  </si>
  <si>
    <t>SO0001871</t>
  </si>
  <si>
    <t>Lot 115517</t>
  </si>
  <si>
    <t>Lot 117026</t>
  </si>
  <si>
    <t>Lot 117028</t>
  </si>
  <si>
    <t>Lot 117181</t>
  </si>
  <si>
    <t>SO0001872</t>
  </si>
  <si>
    <t>Lot 117186</t>
  </si>
  <si>
    <t>SO0001875</t>
  </si>
  <si>
    <t>Lot 117487</t>
  </si>
  <si>
    <t>Lot 117507</t>
  </si>
  <si>
    <t>SO0001880</t>
  </si>
  <si>
    <t>Lot 117794</t>
  </si>
  <si>
    <t>SO0001882</t>
  </si>
  <si>
    <t>Lot 117795</t>
  </si>
  <si>
    <t>SO0001883</t>
  </si>
  <si>
    <t>Lot 117485</t>
  </si>
  <si>
    <t>Lot 118125</t>
  </si>
  <si>
    <t>SO0001887</t>
  </si>
  <si>
    <t>Lot 118130</t>
  </si>
  <si>
    <t>SO0001891</t>
  </si>
  <si>
    <t>Lot 114667</t>
  </si>
  <si>
    <t>Lot 116526</t>
  </si>
  <si>
    <t>Lot 118783</t>
  </si>
  <si>
    <t>SO0001893</t>
  </si>
  <si>
    <t>Lot 117796</t>
  </si>
  <si>
    <t>360ApP0003441</t>
  </si>
  <si>
    <t>Lot 119129</t>
  </si>
  <si>
    <t>SO0001905</t>
  </si>
  <si>
    <t>Lot 119245</t>
  </si>
  <si>
    <t>Lot 119810</t>
  </si>
  <si>
    <t>SO0001913</t>
  </si>
  <si>
    <t>Lot 119811</t>
  </si>
  <si>
    <t>Lot 119356</t>
  </si>
  <si>
    <t>SO0001907</t>
  </si>
  <si>
    <t>Lot 119734</t>
  </si>
  <si>
    <t>SO0001909</t>
  </si>
  <si>
    <t>Lot 119771</t>
  </si>
  <si>
    <t>SO0001910</t>
  </si>
  <si>
    <t>Lot 119789</t>
  </si>
  <si>
    <t>SO0001911</t>
  </si>
  <si>
    <t>Lot 119809</t>
  </si>
  <si>
    <t>SO0001912</t>
  </si>
  <si>
    <t>Lot 119532</t>
  </si>
  <si>
    <t>360366ApP0000266</t>
  </si>
  <si>
    <t>Lot 121575</t>
  </si>
  <si>
    <t>SO0001914</t>
  </si>
  <si>
    <t>Lot 121711</t>
  </si>
  <si>
    <t>SO0001916</t>
  </si>
  <si>
    <t>Lot 121835</t>
  </si>
  <si>
    <t>SO0001933</t>
  </si>
  <si>
    <t>Lot 121728</t>
  </si>
  <si>
    <t>Lot 121836</t>
  </si>
  <si>
    <t>Lot 121838</t>
  </si>
  <si>
    <t>Lot 121841</t>
  </si>
  <si>
    <t>SO0001936</t>
  </si>
  <si>
    <t>Lot 121863</t>
  </si>
  <si>
    <t>Lot 122013</t>
  </si>
  <si>
    <t>Lot 121656</t>
  </si>
  <si>
    <t>360369ApP0000404</t>
  </si>
  <si>
    <t>Lot 122166</t>
  </si>
  <si>
    <t>SO0001950</t>
  </si>
  <si>
    <t>Lot 122175</t>
  </si>
  <si>
    <t>Lot 122171</t>
  </si>
  <si>
    <t>SO0001951</t>
  </si>
  <si>
    <t>Lot 122231</t>
  </si>
  <si>
    <t>SO0001958</t>
  </si>
  <si>
    <t>Lot 122250</t>
  </si>
  <si>
    <t>SO0001960</t>
  </si>
  <si>
    <t>Lot 122251</t>
  </si>
  <si>
    <t>SO0001961</t>
  </si>
  <si>
    <t>Lot 122315</t>
  </si>
  <si>
    <t>SO0001966</t>
  </si>
  <si>
    <t>Lot 122322</t>
  </si>
  <si>
    <t>SO0001968</t>
  </si>
  <si>
    <t>Lot 122255</t>
  </si>
  <si>
    <t>SO0001964</t>
  </si>
  <si>
    <t>Lot 122312</t>
  </si>
  <si>
    <t>SO0001965</t>
  </si>
  <si>
    <t>Lot 122390</t>
  </si>
  <si>
    <t>SO0001970</t>
  </si>
  <si>
    <t>Lot 122397</t>
  </si>
  <si>
    <t>Lot 122488</t>
  </si>
  <si>
    <t>SO0001975</t>
  </si>
  <si>
    <t>Lot 122173</t>
  </si>
  <si>
    <t>360369ApP0000410</t>
  </si>
  <si>
    <t>Lot 122666</t>
  </si>
  <si>
    <t>SO0001977</t>
  </si>
  <si>
    <t>Lot 122674</t>
  </si>
  <si>
    <t>SO0001983</t>
  </si>
  <si>
    <t>Lot 122916</t>
  </si>
  <si>
    <t>SO0001985</t>
  </si>
  <si>
    <t>Lot 122932</t>
  </si>
  <si>
    <t>SO0001994</t>
  </si>
  <si>
    <t>Lot 122952</t>
  </si>
  <si>
    <t>SO0001995</t>
  </si>
  <si>
    <t>Lot 123108</t>
  </si>
  <si>
    <t>SO0001997</t>
  </si>
  <si>
    <t>Lot 123166</t>
  </si>
  <si>
    <t>SO0002000</t>
  </si>
  <si>
    <t>Lot 123170</t>
  </si>
  <si>
    <t>SO0002002</t>
  </si>
  <si>
    <t>Lot 123187</t>
  </si>
  <si>
    <t>SO0002003</t>
  </si>
  <si>
    <t>Lot 123249</t>
  </si>
  <si>
    <t>SO0002006</t>
  </si>
  <si>
    <t>Lot 123250</t>
  </si>
  <si>
    <t>SO0002007</t>
  </si>
  <si>
    <t>Lot 123473</t>
  </si>
  <si>
    <t>SO0002013</t>
  </si>
  <si>
    <t>Lot 123476</t>
  </si>
  <si>
    <t>SO0002015</t>
  </si>
  <si>
    <t>Lot 123520</t>
  </si>
  <si>
    <t>SO0002021</t>
  </si>
  <si>
    <t>Lot 124146</t>
  </si>
  <si>
    <t>SO0002030</t>
  </si>
  <si>
    <t>Lot 124002</t>
  </si>
  <si>
    <t>SO0002022</t>
  </si>
  <si>
    <t>Lot 124107</t>
  </si>
  <si>
    <t>SO0002028</t>
  </si>
  <si>
    <t>Lot 124145</t>
  </si>
  <si>
    <t>Lot 124148</t>
  </si>
  <si>
    <t>SO0002032</t>
  </si>
  <si>
    <t>Lot 124103</t>
  </si>
  <si>
    <t>SO0002027</t>
  </si>
  <si>
    <t>Lot 124330</t>
  </si>
  <si>
    <t>Lot 124436</t>
  </si>
  <si>
    <t>SO0002035</t>
  </si>
  <si>
    <t>Lot 124497</t>
  </si>
  <si>
    <t>SO0002036</t>
  </si>
  <si>
    <t>Lot 124812</t>
  </si>
  <si>
    <t>SO0002042</t>
  </si>
  <si>
    <t>Lot 125193</t>
  </si>
  <si>
    <t>Lot 125195</t>
  </si>
  <si>
    <t>SO0002044</t>
  </si>
  <si>
    <t>Lot 125756</t>
  </si>
  <si>
    <t>Lot 122914</t>
  </si>
  <si>
    <t>360369ApP0000426</t>
  </si>
  <si>
    <t>Lot 126621</t>
  </si>
  <si>
    <t>SO0002051</t>
  </si>
  <si>
    <t>Lot 126807</t>
  </si>
  <si>
    <t>Lot 124151</t>
  </si>
  <si>
    <t>Lot 125822</t>
  </si>
  <si>
    <t>360366ApP0000272</t>
  </si>
  <si>
    <t>Lot 126890</t>
  </si>
  <si>
    <t>Lot 126894</t>
  </si>
  <si>
    <t>Lot 126895</t>
  </si>
  <si>
    <t>SO0002060</t>
  </si>
  <si>
    <t>Lot 127304</t>
  </si>
  <si>
    <t>SO0002064</t>
  </si>
  <si>
    <t>Lot 127391</t>
  </si>
  <si>
    <t>SO0002068</t>
  </si>
  <si>
    <t>Lot 127580</t>
  </si>
  <si>
    <t>SO0002072</t>
  </si>
  <si>
    <t>Lot 127623</t>
  </si>
  <si>
    <t>SO0002073</t>
  </si>
  <si>
    <t>Lot 127746</t>
  </si>
  <si>
    <t>SO0002077</t>
  </si>
  <si>
    <t>Lot 128347</t>
  </si>
  <si>
    <t>SO0002080</t>
  </si>
  <si>
    <t>Lot 126614</t>
  </si>
  <si>
    <t>360364ApP0000589</t>
  </si>
  <si>
    <t>Lot 128357</t>
  </si>
  <si>
    <t>SO0002085</t>
  </si>
  <si>
    <t>Lot 128358</t>
  </si>
  <si>
    <t>SO0002086</t>
  </si>
  <si>
    <t>Lot 129329</t>
  </si>
  <si>
    <t>SO0002102</t>
  </si>
  <si>
    <t>Lot 129314</t>
  </si>
  <si>
    <t>SO0002093</t>
  </si>
  <si>
    <t>Lot 129315</t>
  </si>
  <si>
    <t>SO0002094</t>
  </si>
  <si>
    <t>Lot 129321</t>
  </si>
  <si>
    <t>SO0002099</t>
  </si>
  <si>
    <t>Lot 129323</t>
  </si>
  <si>
    <t>SO0002101</t>
  </si>
  <si>
    <t>Lot 127100</t>
  </si>
  <si>
    <t>360369ApP0000437</t>
  </si>
  <si>
    <t>Lot 130069</t>
  </si>
  <si>
    <t>Lot 130071</t>
  </si>
  <si>
    <t>SO0002108</t>
  </si>
  <si>
    <t>Lot 130283</t>
  </si>
  <si>
    <t>SO0002111</t>
  </si>
  <si>
    <t>Lot 130911</t>
  </si>
  <si>
    <t>SO0002117</t>
  </si>
  <si>
    <t>Lot 130926</t>
  </si>
  <si>
    <t>SO0002120</t>
  </si>
  <si>
    <t>Lot 131162</t>
  </si>
  <si>
    <t>Lot 131488</t>
  </si>
  <si>
    <t>Lot 131520</t>
  </si>
  <si>
    <t>SO0002126</t>
  </si>
  <si>
    <t>Lot 132067</t>
  </si>
  <si>
    <t>SO0002135</t>
  </si>
  <si>
    <t>Lot 131826</t>
  </si>
  <si>
    <t>SO0002128</t>
  </si>
  <si>
    <t>Lot 132038</t>
  </si>
  <si>
    <t>SO0002129</t>
  </si>
  <si>
    <t>Lot 132041</t>
  </si>
  <si>
    <t>SO0002131</t>
  </si>
  <si>
    <t>Lot 132542</t>
  </si>
  <si>
    <t>SO0002137</t>
  </si>
  <si>
    <t>Lot 132638</t>
  </si>
  <si>
    <t>SO0002140</t>
  </si>
  <si>
    <t>Lot 132966</t>
  </si>
  <si>
    <t>SO0002150</t>
  </si>
  <si>
    <t>Lot 132968</t>
  </si>
  <si>
    <t>Lot 133310</t>
  </si>
  <si>
    <t>SO0002155</t>
  </si>
  <si>
    <t>Lot 133935</t>
  </si>
  <si>
    <t>Lot 134119</t>
  </si>
  <si>
    <t>Lot 134142</t>
  </si>
  <si>
    <t>Lot 134742</t>
  </si>
  <si>
    <t>SO0002163</t>
  </si>
  <si>
    <t>Lot 193397</t>
  </si>
  <si>
    <t>Lot 193398</t>
  </si>
  <si>
    <t>360364ApP0000881</t>
  </si>
  <si>
    <t>Lot 193400</t>
  </si>
  <si>
    <t>Lot 194055</t>
  </si>
  <si>
    <t>SO0002855</t>
  </si>
  <si>
    <t>Lot 193620</t>
  </si>
  <si>
    <t>Lot 194813</t>
  </si>
  <si>
    <t>Lot 194814</t>
  </si>
  <si>
    <t>Lot 194733</t>
  </si>
  <si>
    <t>Lot 195492</t>
  </si>
  <si>
    <t>Lot 195500</t>
  </si>
  <si>
    <t>SO0002862</t>
  </si>
  <si>
    <t>Lot 195855</t>
  </si>
  <si>
    <t>SO0002863</t>
  </si>
  <si>
    <t>Lot 196231</t>
  </si>
  <si>
    <t>Lot 197174</t>
  </si>
  <si>
    <t>SO0002872</t>
  </si>
  <si>
    <t>Lot 198131</t>
  </si>
  <si>
    <t>Lot 198133</t>
  </si>
  <si>
    <t>Lot 198234</t>
  </si>
  <si>
    <t>SO0002882</t>
  </si>
  <si>
    <t>Lot 197977</t>
  </si>
  <si>
    <t>360364ApP0000921</t>
  </si>
  <si>
    <t>Lot 199337</t>
  </si>
  <si>
    <t>SO0002889</t>
  </si>
  <si>
    <t>Lot 199338</t>
  </si>
  <si>
    <t>Lot 199509</t>
  </si>
  <si>
    <t>SO0002890</t>
  </si>
  <si>
    <t>Lot 199510</t>
  </si>
  <si>
    <t>SO0002891</t>
  </si>
  <si>
    <t>Lot 199511</t>
  </si>
  <si>
    <t>SO0002892</t>
  </si>
  <si>
    <t>Lot 199615</t>
  </si>
  <si>
    <t>Lot 199966</t>
  </si>
  <si>
    <t>Lot 200388</t>
  </si>
  <si>
    <t>SO0002902</t>
  </si>
  <si>
    <t>Lot 200561</t>
  </si>
  <si>
    <t>SO0002904</t>
  </si>
  <si>
    <t>Lot 200384</t>
  </si>
  <si>
    <t>Lot 200386</t>
  </si>
  <si>
    <t>SO0002901</t>
  </si>
  <si>
    <t>Lot 201222</t>
  </si>
  <si>
    <t>SO0002910</t>
  </si>
  <si>
    <t>Lot 203113</t>
  </si>
  <si>
    <t>SO0002915</t>
  </si>
  <si>
    <t>Lot 203114</t>
  </si>
  <si>
    <t>Lot 199953</t>
  </si>
  <si>
    <t>360366ApP0000441</t>
  </si>
  <si>
    <t>Lot 199955</t>
  </si>
  <si>
    <t>360366ApP0000443</t>
  </si>
  <si>
    <t>Lot 203121</t>
  </si>
  <si>
    <t>SO0002918</t>
  </si>
  <si>
    <t>Lot 203716</t>
  </si>
  <si>
    <t>SO0002920</t>
  </si>
  <si>
    <t>Lot 199959</t>
  </si>
  <si>
    <t>360366ApP0000447</t>
  </si>
  <si>
    <t>Lot 199961</t>
  </si>
  <si>
    <t>360366ApP0000449</t>
  </si>
  <si>
    <t>Lot 205097</t>
  </si>
  <si>
    <t>Lot 205100</t>
  </si>
  <si>
    <t>SO0002933</t>
  </si>
  <si>
    <t>Lot 205101</t>
  </si>
  <si>
    <t>SO0002934</t>
  </si>
  <si>
    <t>Lot 205481</t>
  </si>
  <si>
    <t>Lot 205094</t>
  </si>
  <si>
    <t>SO0002927</t>
  </si>
  <si>
    <t>Lot 204774</t>
  </si>
  <si>
    <t>Lot 204785</t>
  </si>
  <si>
    <t>360ApP0005269</t>
  </si>
  <si>
    <t>Lot 204791</t>
  </si>
  <si>
    <t>360364ApP0000955</t>
  </si>
  <si>
    <t>Lot 205104</t>
  </si>
  <si>
    <t>Lot 205446</t>
  </si>
  <si>
    <t>Lot 205482</t>
  </si>
  <si>
    <t>SO0002947</t>
  </si>
  <si>
    <t>Lot 205588</t>
  </si>
  <si>
    <t>SO0002950</t>
  </si>
  <si>
    <t>Lot 205589</t>
  </si>
  <si>
    <t>Lot 205757</t>
  </si>
  <si>
    <t>SO0002955</t>
  </si>
  <si>
    <t>Lot 205761</t>
  </si>
  <si>
    <t>SO0002958</t>
  </si>
  <si>
    <t>Lot 205763</t>
  </si>
  <si>
    <t>Lot 204780</t>
  </si>
  <si>
    <t>Lot 206787</t>
  </si>
  <si>
    <t>Lot 207060</t>
  </si>
  <si>
    <t>SO0002972</t>
  </si>
  <si>
    <t>Lot 207066</t>
  </si>
  <si>
    <t>Lot 207062</t>
  </si>
  <si>
    <t>Lot 207747</t>
  </si>
  <si>
    <t>Lot 207856</t>
  </si>
  <si>
    <t>SO0002984</t>
  </si>
  <si>
    <t>Lot 207889</t>
  </si>
  <si>
    <t>Lot 207897</t>
  </si>
  <si>
    <t>SO0002989</t>
  </si>
  <si>
    <t>Lot 208632</t>
  </si>
  <si>
    <t>Lot 208635</t>
  </si>
  <si>
    <t>Lot 209265</t>
  </si>
  <si>
    <t>SO0003003</t>
  </si>
  <si>
    <t>Lot 209266</t>
  </si>
  <si>
    <t>SO0003004</t>
  </si>
  <si>
    <t>Lot 209267</t>
  </si>
  <si>
    <t>SO0003005</t>
  </si>
  <si>
    <t>Lot 209335</t>
  </si>
  <si>
    <t>Lot 210114</t>
  </si>
  <si>
    <t>SO0003012</t>
  </si>
  <si>
    <t>Lot 210407</t>
  </si>
  <si>
    <t>Lot 210425</t>
  </si>
  <si>
    <t>SO0003018</t>
  </si>
  <si>
    <t>Lot 210548</t>
  </si>
  <si>
    <t>SO0003020</t>
  </si>
  <si>
    <t>Lot 210549</t>
  </si>
  <si>
    <t>Lot 210762</t>
  </si>
  <si>
    <t>SO0003023</t>
  </si>
  <si>
    <t>Lot 211731</t>
  </si>
  <si>
    <t>SO0003032</t>
  </si>
  <si>
    <t>Lot 212026</t>
  </si>
  <si>
    <t>SO0003038</t>
  </si>
  <si>
    <t>Lot 212279</t>
  </si>
  <si>
    <t>Lot 211458</t>
  </si>
  <si>
    <t>Lot 212498</t>
  </si>
  <si>
    <t>Lot 213379</t>
  </si>
  <si>
    <t>SO0003047</t>
  </si>
  <si>
    <t>Lot 213386</t>
  </si>
  <si>
    <t>SO0003048</t>
  </si>
  <si>
    <t>Lot 213917</t>
  </si>
  <si>
    <t>SO0003049</t>
  </si>
  <si>
    <t>Lot 213972</t>
  </si>
  <si>
    <t>SO0003050</t>
  </si>
  <si>
    <t>Lot 213974</t>
  </si>
  <si>
    <t>SO0003052</t>
  </si>
  <si>
    <t>Lot 213975</t>
  </si>
  <si>
    <t>SO0003053</t>
  </si>
  <si>
    <t>Lot 214697</t>
  </si>
  <si>
    <t>SO0003059</t>
  </si>
  <si>
    <t>Lot 215148</t>
  </si>
  <si>
    <t>SO0003060</t>
  </si>
  <si>
    <t>Lot 215856</t>
  </si>
  <si>
    <t>SO0003069</t>
  </si>
  <si>
    <t>Lot 215809</t>
  </si>
  <si>
    <t>Lot 216347</t>
  </si>
  <si>
    <t>Lot 216349</t>
  </si>
  <si>
    <t>SO0003071</t>
  </si>
  <si>
    <t>Lot 216351</t>
  </si>
  <si>
    <t>SO0003073</t>
  </si>
  <si>
    <t>Lot 216355</t>
  </si>
  <si>
    <t>Lot 216380</t>
  </si>
  <si>
    <t>Lot 216639</t>
  </si>
  <si>
    <t>SO0003085</t>
  </si>
  <si>
    <t>Lot 217163</t>
  </si>
  <si>
    <t>SO0003091</t>
  </si>
  <si>
    <t>Lot 217298</t>
  </si>
  <si>
    <t>Lot 217786</t>
  </si>
  <si>
    <t>SO0003099</t>
  </si>
  <si>
    <t>Lot 217785</t>
  </si>
  <si>
    <t>SO0003098</t>
  </si>
  <si>
    <t>Lot 217976</t>
  </si>
  <si>
    <t>SO0003105</t>
  </si>
  <si>
    <t>Lot 218750</t>
  </si>
  <si>
    <t>SO0003107</t>
  </si>
  <si>
    <t>Lot 218753</t>
  </si>
  <si>
    <t>SO0003109</t>
  </si>
  <si>
    <t>Lot 219943</t>
  </si>
  <si>
    <t>SO0003116</t>
  </si>
  <si>
    <t>Lot 219944</t>
  </si>
  <si>
    <t>Lot 219946</t>
  </si>
  <si>
    <t>Lot 219957</t>
  </si>
  <si>
    <t>Lot 220470</t>
  </si>
  <si>
    <t>SO0003123</t>
  </si>
  <si>
    <t>Lot 221642</t>
  </si>
  <si>
    <t>SO0003126</t>
  </si>
  <si>
    <t>Lot 222586</t>
  </si>
  <si>
    <t>SO0003134</t>
  </si>
  <si>
    <t>Lot 222584</t>
  </si>
  <si>
    <t>SO0003133</t>
  </si>
  <si>
    <t>Lot 222832</t>
  </si>
  <si>
    <t>SO0003139</t>
  </si>
  <si>
    <t>Lot 222856</t>
  </si>
  <si>
    <t>SO0003140</t>
  </si>
  <si>
    <t>Lot 222585</t>
  </si>
  <si>
    <t>SO0003132</t>
  </si>
  <si>
    <t>Lot 223370</t>
  </si>
  <si>
    <t>Lot 223520</t>
  </si>
  <si>
    <t>Lot 223550</t>
  </si>
  <si>
    <t>Lot 224120</t>
  </si>
  <si>
    <t>Lot 224472</t>
  </si>
  <si>
    <t>Lot 224475</t>
  </si>
  <si>
    <t>Lot 224477</t>
  </si>
  <si>
    <t>SO0003155</t>
  </si>
  <si>
    <t>Lot 224588</t>
  </si>
  <si>
    <t>Lot 224590</t>
  </si>
  <si>
    <t>Lot 224745</t>
  </si>
  <si>
    <t>Lot 225116</t>
  </si>
  <si>
    <t>SO0003161</t>
  </si>
  <si>
    <t>Lot 225291</t>
  </si>
  <si>
    <t>SO0003163</t>
  </si>
  <si>
    <t>Lot 225477</t>
  </si>
  <si>
    <t>SO0003166</t>
  </si>
  <si>
    <t>Lot 225484</t>
  </si>
  <si>
    <t>SO0003169</t>
  </si>
  <si>
    <t>Lot 225485</t>
  </si>
  <si>
    <t>SO0003170</t>
  </si>
  <si>
    <t>Lot 225872</t>
  </si>
  <si>
    <t>SO0003172</t>
  </si>
  <si>
    <t>Lot 226122</t>
  </si>
  <si>
    <t>SO0003179</t>
  </si>
  <si>
    <t>Lot 226123</t>
  </si>
  <si>
    <t>SO0003180</t>
  </si>
  <si>
    <t>Lot 226127</t>
  </si>
  <si>
    <t>SO0003182</t>
  </si>
  <si>
    <t>Lot 226344</t>
  </si>
  <si>
    <t>Lot 226364</t>
  </si>
  <si>
    <t>Lot 226546</t>
  </si>
  <si>
    <t>SO0003185</t>
  </si>
  <si>
    <t>Lot 226547</t>
  </si>
  <si>
    <t>SO0003186</t>
  </si>
  <si>
    <t>Lot 226996</t>
  </si>
  <si>
    <t>SO0003191</t>
  </si>
  <si>
    <t>Lot 226997</t>
  </si>
  <si>
    <t>SO0003192</t>
  </si>
  <si>
    <t>Lot 226998</t>
  </si>
  <si>
    <t>Lot 227002</t>
  </si>
  <si>
    <t>SO0003196</t>
  </si>
  <si>
    <t>Lot 227003</t>
  </si>
  <si>
    <t>SO0003197</t>
  </si>
  <si>
    <t>Lot 227004</t>
  </si>
  <si>
    <t>SO0003198</t>
  </si>
  <si>
    <t>Lot 227005</t>
  </si>
  <si>
    <t>SO0003199</t>
  </si>
  <si>
    <t>Lot 227006</t>
  </si>
  <si>
    <t>SO0003200</t>
  </si>
  <si>
    <t>Lot 227039</t>
  </si>
  <si>
    <t>SO0003205</t>
  </si>
  <si>
    <t>Lot 227040</t>
  </si>
  <si>
    <t>SO0003206</t>
  </si>
  <si>
    <t>Lot 227041</t>
  </si>
  <si>
    <t>SO0003207</t>
  </si>
  <si>
    <t>Lot 227190</t>
  </si>
  <si>
    <t>SO0003209</t>
  </si>
  <si>
    <t>Lot 227191</t>
  </si>
  <si>
    <t>SO0003210</t>
  </si>
  <si>
    <t>Lot 227827</t>
  </si>
  <si>
    <t>Lot 228252</t>
  </si>
  <si>
    <t>Lot 228301</t>
  </si>
  <si>
    <t>SO0003226</t>
  </si>
  <si>
    <t>Lot 228340</t>
  </si>
  <si>
    <t>Lot 228342</t>
  </si>
  <si>
    <t>SO0003229</t>
  </si>
  <si>
    <t>Lot 229082</t>
  </si>
  <si>
    <t>SO0003232</t>
  </si>
  <si>
    <t>Lot 229083</t>
  </si>
  <si>
    <t>SO0003233</t>
  </si>
  <si>
    <t>Lot 229085</t>
  </si>
  <si>
    <t>SO0003235</t>
  </si>
  <si>
    <t>Lot 229086</t>
  </si>
  <si>
    <t>Lot 229088</t>
  </si>
  <si>
    <t>SO0003237</t>
  </si>
  <si>
    <t>Lot 227969</t>
  </si>
  <si>
    <t>Lot 229092</t>
  </si>
  <si>
    <t>Lot 229094</t>
  </si>
  <si>
    <t>SO0003240</t>
  </si>
  <si>
    <t>Lot 228794</t>
  </si>
  <si>
    <t>Lot 229334</t>
  </si>
  <si>
    <t>Lot 229339</t>
  </si>
  <si>
    <t>SO0003245</t>
  </si>
  <si>
    <t>Lot 230622</t>
  </si>
  <si>
    <t>SO0003256</t>
  </si>
  <si>
    <t>Lot 230577</t>
  </si>
  <si>
    <t>Lot 231227</t>
  </si>
  <si>
    <t>SO0003261</t>
  </si>
  <si>
    <t>Lot 231228</t>
  </si>
  <si>
    <t>SO0003262</t>
  </si>
  <si>
    <t>Lot 231230</t>
  </si>
  <si>
    <t>SO0003263</t>
  </si>
  <si>
    <t>Lot 231231</t>
  </si>
  <si>
    <t>SO0003264</t>
  </si>
  <si>
    <t>Lot 231232</t>
  </si>
  <si>
    <t>SO0003265</t>
  </si>
  <si>
    <t>Lot 231017</t>
  </si>
  <si>
    <t>SO0003260</t>
  </si>
  <si>
    <t>Lot 231577</t>
  </si>
  <si>
    <t>SO0003273</t>
  </si>
  <si>
    <t>Lot 231588</t>
  </si>
  <si>
    <t>SO0003274</t>
  </si>
  <si>
    <t>Lot 232143</t>
  </si>
  <si>
    <t>SO0003283</t>
  </si>
  <si>
    <t>Lot 231794</t>
  </si>
  <si>
    <t>Lot 232246</t>
  </si>
  <si>
    <t>360365ApP0000869</t>
  </si>
  <si>
    <t>Lot 232401</t>
  </si>
  <si>
    <t>360365ApP0000871</t>
  </si>
  <si>
    <t>Lot 232614</t>
  </si>
  <si>
    <t>SO0003287</t>
  </si>
  <si>
    <t>Lot 233168</t>
  </si>
  <si>
    <t>Lot 232139</t>
  </si>
  <si>
    <t>Lot 233169</t>
  </si>
  <si>
    <t>Lot 233175</t>
  </si>
  <si>
    <t>Lot 233208</t>
  </si>
  <si>
    <t>SO0003300</t>
  </si>
  <si>
    <t>Lot 232801</t>
  </si>
  <si>
    <t>360366ApP0000491</t>
  </si>
  <si>
    <t>Lot 233503</t>
  </si>
  <si>
    <t>Lot 233689</t>
  </si>
  <si>
    <t>SO0003305</t>
  </si>
  <si>
    <t>Lot 233686</t>
  </si>
  <si>
    <t>SO0003304</t>
  </si>
  <si>
    <t>Lot 233690</t>
  </si>
  <si>
    <t>SO0003306</t>
  </si>
  <si>
    <t>Lot 233939</t>
  </si>
  <si>
    <t>SO0003308</t>
  </si>
  <si>
    <t>Lot 233942</t>
  </si>
  <si>
    <t>SO0003310</t>
  </si>
  <si>
    <t>Lot 233940</t>
  </si>
  <si>
    <t>Lot 233943</t>
  </si>
  <si>
    <t>SO0003311</t>
  </si>
  <si>
    <t>Lot 233945</t>
  </si>
  <si>
    <t>Lot 234028</t>
  </si>
  <si>
    <t>Lot 234062</t>
  </si>
  <si>
    <t>Lot 234351</t>
  </si>
  <si>
    <t>Lot 234457</t>
  </si>
  <si>
    <t>Lot 234463</t>
  </si>
  <si>
    <t>Lot 234754</t>
  </si>
  <si>
    <t>SO0003334</t>
  </si>
  <si>
    <t>Lot 234756</t>
  </si>
  <si>
    <t>SO0003336</t>
  </si>
  <si>
    <t>Lot 234253</t>
  </si>
  <si>
    <t>Lot 234760</t>
  </si>
  <si>
    <t>Lot 235892</t>
  </si>
  <si>
    <t>360366ApP0000499</t>
  </si>
  <si>
    <t>Lot 235894</t>
  </si>
  <si>
    <t>360366ApP0000501</t>
  </si>
  <si>
    <t>Lot 235387</t>
  </si>
  <si>
    <t>Lot 237175</t>
  </si>
  <si>
    <t>SO0003349</t>
  </si>
  <si>
    <t>Lot 237220</t>
  </si>
  <si>
    <t>SO0003353</t>
  </si>
  <si>
    <t>Lot 237221</t>
  </si>
  <si>
    <t>SO0003354</t>
  </si>
  <si>
    <t>Lot 237791</t>
  </si>
  <si>
    <t>SO0003361</t>
  </si>
  <si>
    <t>Lot 237797</t>
  </si>
  <si>
    <t>Lot 237800</t>
  </si>
  <si>
    <t>Lot 237952</t>
  </si>
  <si>
    <t>SO0003368</t>
  </si>
  <si>
    <t>Lot 238082</t>
  </si>
  <si>
    <t>Lot 238103</t>
  </si>
  <si>
    <t>Lot 238197</t>
  </si>
  <si>
    <t>Lot 238198</t>
  </si>
  <si>
    <t>SO0003374</t>
  </si>
  <si>
    <t>Lot 238510</t>
  </si>
  <si>
    <t>SO0003376</t>
  </si>
  <si>
    <t>Lot 238513</t>
  </si>
  <si>
    <t>SO0003378</t>
  </si>
  <si>
    <t>Lot 238514</t>
  </si>
  <si>
    <t>Lot 238645</t>
  </si>
  <si>
    <t>Lot 238649</t>
  </si>
  <si>
    <t>Lot 238650</t>
  </si>
  <si>
    <t>Lot 238653</t>
  </si>
  <si>
    <t>Lot 238663</t>
  </si>
  <si>
    <t>Lot 238652</t>
  </si>
  <si>
    <t>SO0003382</t>
  </si>
  <si>
    <t>Lot 238840</t>
  </si>
  <si>
    <t>SO0003385</t>
  </si>
  <si>
    <t>Lot 238841</t>
  </si>
  <si>
    <t>Lot 238843</t>
  </si>
  <si>
    <t>SO0003387</t>
  </si>
  <si>
    <t>Lot 238844</t>
  </si>
  <si>
    <t>SO0003388</t>
  </si>
  <si>
    <t>Lot 239274</t>
  </si>
  <si>
    <t>SO0003392</t>
  </si>
  <si>
    <t>Lot 239591</t>
  </si>
  <si>
    <t>Lot 240336</t>
  </si>
  <si>
    <t>SO0003402</t>
  </si>
  <si>
    <t>Lot 240337</t>
  </si>
  <si>
    <t>Lot 240339</t>
  </si>
  <si>
    <t>SO0003404</t>
  </si>
  <si>
    <t>Lot 240645</t>
  </si>
  <si>
    <t>Lot 240637</t>
  </si>
  <si>
    <t>SO0003406</t>
  </si>
  <si>
    <t>Lot 240340</t>
  </si>
  <si>
    <t>360366ApP0000515</t>
  </si>
  <si>
    <t>Lot 241315</t>
  </si>
  <si>
    <t>Lot 241541</t>
  </si>
  <si>
    <t>SO0003420</t>
  </si>
  <si>
    <t>Lot 241542</t>
  </si>
  <si>
    <t>SO0003421</t>
  </si>
  <si>
    <t>Lot 241666</t>
  </si>
  <si>
    <t>Lot 241809</t>
  </si>
  <si>
    <t>SO0003428</t>
  </si>
  <si>
    <t>Lot 242517</t>
  </si>
  <si>
    <t>SO0003431</t>
  </si>
  <si>
    <t>Lot 242518</t>
  </si>
  <si>
    <t>Lot 235896</t>
  </si>
  <si>
    <t>Lot 240342</t>
  </si>
  <si>
    <t>Lot 242516</t>
  </si>
  <si>
    <t>SO0003430</t>
  </si>
  <si>
    <t>Lot 242521</t>
  </si>
  <si>
    <t>Lot 242811</t>
  </si>
  <si>
    <t>SO0003444</t>
  </si>
  <si>
    <t>Lot 242812</t>
  </si>
  <si>
    <t>Lot 242815</t>
  </si>
  <si>
    <t>SO0003447</t>
  </si>
  <si>
    <t>Lot 242822</t>
  </si>
  <si>
    <t>SO0003448</t>
  </si>
  <si>
    <t>Lot 243002</t>
  </si>
  <si>
    <t>SO0003452</t>
  </si>
  <si>
    <t>Lot 243008</t>
  </si>
  <si>
    <t>SO0003455</t>
  </si>
  <si>
    <t>Lot 242823</t>
  </si>
  <si>
    <t>Lot 242843</t>
  </si>
  <si>
    <t>SO0003450</t>
  </si>
  <si>
    <t>Lot 243001</t>
  </si>
  <si>
    <t>SO0003451</t>
  </si>
  <si>
    <t>Lot 243010</t>
  </si>
  <si>
    <t>SO0003457</t>
  </si>
  <si>
    <t>Lot 243007</t>
  </si>
  <si>
    <t>Lot 243009</t>
  </si>
  <si>
    <t>SO0003456</t>
  </si>
  <si>
    <t>Lot 240793</t>
  </si>
  <si>
    <t>Lot 243136</t>
  </si>
  <si>
    <t>SO0003462</t>
  </si>
  <si>
    <t>Lot 243137</t>
  </si>
  <si>
    <t>SO0003463</t>
  </si>
  <si>
    <t>Lot 243177</t>
  </si>
  <si>
    <t>Lot 244104</t>
  </si>
  <si>
    <t>SO0003476</t>
  </si>
  <si>
    <t>Lot 243174</t>
  </si>
  <si>
    <t>Lot 244105</t>
  </si>
  <si>
    <t>SO0003477</t>
  </si>
  <si>
    <t>Lot 244146</t>
  </si>
  <si>
    <t>Lot 244166</t>
  </si>
  <si>
    <t>Lot 245047</t>
  </si>
  <si>
    <t>SO0003485</t>
  </si>
  <si>
    <t>Lot 245053</t>
  </si>
  <si>
    <t>SO0003490</t>
  </si>
  <si>
    <t>Lot 245396</t>
  </si>
  <si>
    <t>SO0003494</t>
  </si>
  <si>
    <t>Lot 245397</t>
  </si>
  <si>
    <t>SO0003495</t>
  </si>
  <si>
    <t>Lot 246060</t>
  </si>
  <si>
    <t>SO0003514</t>
  </si>
  <si>
    <t>Lot 245403</t>
  </si>
  <si>
    <t>Lot 245405</t>
  </si>
  <si>
    <t>Lot 245426</t>
  </si>
  <si>
    <t>SO0003503</t>
  </si>
  <si>
    <t>Lot 245548</t>
  </si>
  <si>
    <t>Lot 245552</t>
  </si>
  <si>
    <t>Lot 245558</t>
  </si>
  <si>
    <t>SO0003508</t>
  </si>
  <si>
    <t>Lot 245697</t>
  </si>
  <si>
    <t>SO0003509</t>
  </si>
  <si>
    <t>Lot 245699</t>
  </si>
  <si>
    <t>Lot 245751</t>
  </si>
  <si>
    <t>Lot 243013</t>
  </si>
  <si>
    <t>Lot 246670</t>
  </si>
  <si>
    <t>SO0003518</t>
  </si>
  <si>
    <t>Lot 246881</t>
  </si>
  <si>
    <t>SO0003527</t>
  </si>
  <si>
    <t>Lot 247017</t>
  </si>
  <si>
    <t>SO0003529</t>
  </si>
  <si>
    <t>Lot 247020</t>
  </si>
  <si>
    <t>Lot 247023</t>
  </si>
  <si>
    <t>SO0003533</t>
  </si>
  <si>
    <t>Lot 247024</t>
  </si>
  <si>
    <t>SO0003534</t>
  </si>
  <si>
    <t>Lot 247025</t>
  </si>
  <si>
    <t>SO0003535</t>
  </si>
  <si>
    <t>Lot 247026</t>
  </si>
  <si>
    <t>SO0003536</t>
  </si>
  <si>
    <t>Lot 247018</t>
  </si>
  <si>
    <t>Lot 247185</t>
  </si>
  <si>
    <t>Lot 247187</t>
  </si>
  <si>
    <t>Lot 247207</t>
  </si>
  <si>
    <t>SO0003541</t>
  </si>
  <si>
    <t>Lot 247355</t>
  </si>
  <si>
    <t>SO0003542</t>
  </si>
  <si>
    <t>Lot 247597</t>
  </si>
  <si>
    <t>Lot 247699</t>
  </si>
  <si>
    <t>SO0003547</t>
  </si>
  <si>
    <t>Lot 247794</t>
  </si>
  <si>
    <t>SO0003548</t>
  </si>
  <si>
    <t>Lot 247816</t>
  </si>
  <si>
    <t>Lot 247859</t>
  </si>
  <si>
    <t>SO0003550</t>
  </si>
  <si>
    <t>Lot 248151</t>
  </si>
  <si>
    <t>Lot 248375</t>
  </si>
  <si>
    <t>SO0003555</t>
  </si>
  <si>
    <t>Lot 248490</t>
  </si>
  <si>
    <t>SO0003556</t>
  </si>
  <si>
    <t>Lot 248491</t>
  </si>
  <si>
    <t>SO0003557</t>
  </si>
  <si>
    <t>Lot 248615</t>
  </si>
  <si>
    <t>SO0003559</t>
  </si>
  <si>
    <t>Lot 248778</t>
  </si>
  <si>
    <t>Lot 248759</t>
  </si>
  <si>
    <t>SO0003562</t>
  </si>
  <si>
    <t>Lot 248865</t>
  </si>
  <si>
    <t>SO0003564</t>
  </si>
  <si>
    <t>Lot 251566</t>
  </si>
  <si>
    <t>Lot 252081</t>
  </si>
  <si>
    <t>360366ApP0000531</t>
  </si>
  <si>
    <t>Lot 252096</t>
  </si>
  <si>
    <t>Lot 252083</t>
  </si>
  <si>
    <t>360366ApP0000533</t>
  </si>
  <si>
    <t>Lot 252085</t>
  </si>
  <si>
    <t>Lot 250632</t>
  </si>
  <si>
    <t>Lot 254065</t>
  </si>
  <si>
    <t>360ApP0006197</t>
  </si>
  <si>
    <t>Lot 254542</t>
  </si>
  <si>
    <t>360ApP0006212</t>
  </si>
  <si>
    <t>Lot 254543</t>
  </si>
  <si>
    <t>360ApP0006213</t>
  </si>
  <si>
    <t>Lot 255482</t>
  </si>
  <si>
    <t>360365ApP0001005</t>
  </si>
  <si>
    <t>Lot 257190</t>
  </si>
  <si>
    <t>Lot 258198</t>
  </si>
  <si>
    <t>SO0003609</t>
  </si>
  <si>
    <t>Lot 257645</t>
  </si>
  <si>
    <t>Lot 258953</t>
  </si>
  <si>
    <t>360365ApP0001017</t>
  </si>
  <si>
    <t>Lot 259686</t>
  </si>
  <si>
    <t>SO0003616</t>
  </si>
  <si>
    <t>Lot 260007</t>
  </si>
  <si>
    <t>SO0003623</t>
  </si>
  <si>
    <t>Lot 259689</t>
  </si>
  <si>
    <t>SO0003619</t>
  </si>
  <si>
    <t>Lot 259690</t>
  </si>
  <si>
    <t>Lot 259692</t>
  </si>
  <si>
    <t>SO0003621</t>
  </si>
  <si>
    <t>Lot 260154</t>
  </si>
  <si>
    <t>SO0003625</t>
  </si>
  <si>
    <t>Lot 260170</t>
  </si>
  <si>
    <t>SO0003624</t>
  </si>
  <si>
    <t>Lot 260313</t>
  </si>
  <si>
    <t>Lot 260573</t>
  </si>
  <si>
    <t>Lot 260666</t>
  </si>
  <si>
    <t>SO0003633</t>
  </si>
  <si>
    <t>Lot 260772</t>
  </si>
  <si>
    <t>SO0003635</t>
  </si>
  <si>
    <t>Lot 261112</t>
  </si>
  <si>
    <t>Lot 262405</t>
  </si>
  <si>
    <t>SO0003647</t>
  </si>
  <si>
    <t>Lot 262645</t>
  </si>
  <si>
    <t>SO0003648</t>
  </si>
  <si>
    <t>Lot 262676</t>
  </si>
  <si>
    <t>SO0003652</t>
  </si>
  <si>
    <t>Lot 262677</t>
  </si>
  <si>
    <t>SO0003653</t>
  </si>
  <si>
    <t>Lot 262678</t>
  </si>
  <si>
    <t>SO0003654</t>
  </si>
  <si>
    <t>Lot 263095</t>
  </si>
  <si>
    <t>Lot 263179</t>
  </si>
  <si>
    <t>SO0003661</t>
  </si>
  <si>
    <t>Lot 263202</t>
  </si>
  <si>
    <t>SO0003662</t>
  </si>
  <si>
    <t>Lot 263222</t>
  </si>
  <si>
    <t>Lot 263740</t>
  </si>
  <si>
    <t>Lot 264230</t>
  </si>
  <si>
    <t>Lot 264233</t>
  </si>
  <si>
    <t>Lot 264476</t>
  </si>
  <si>
    <t>Lot 264866</t>
  </si>
  <si>
    <t>Lot 263965</t>
  </si>
  <si>
    <t>360366ApP0000558</t>
  </si>
  <si>
    <t>Lot 263967</t>
  </si>
  <si>
    <t>360366ApP0000560</t>
  </si>
  <si>
    <t>Lot 263969</t>
  </si>
  <si>
    <t>Lot 264097</t>
  </si>
  <si>
    <t>Lot 265056</t>
  </si>
  <si>
    <t>SO0003686</t>
  </si>
  <si>
    <t>Lot 264720</t>
  </si>
  <si>
    <t>Lot 264970</t>
  </si>
  <si>
    <t>Lot 265897</t>
  </si>
  <si>
    <t>Lot 265973</t>
  </si>
  <si>
    <t>Lot 266229</t>
  </si>
  <si>
    <t>SO0003703</t>
  </si>
  <si>
    <t>Lot 266421</t>
  </si>
  <si>
    <t>SO0003709</t>
  </si>
  <si>
    <t>Lot 266422</t>
  </si>
  <si>
    <t>SO0003710</t>
  </si>
  <si>
    <t>Lot 266423</t>
  </si>
  <si>
    <t>Lot 267095</t>
  </si>
  <si>
    <t>Lot 267092</t>
  </si>
  <si>
    <t>SO0003713</t>
  </si>
  <si>
    <t>Lot 267224</t>
  </si>
  <si>
    <t>Lot 267226</t>
  </si>
  <si>
    <t>SO0003720</t>
  </si>
  <si>
    <t>Lot 267222</t>
  </si>
  <si>
    <t>SO0003717</t>
  </si>
  <si>
    <t>Lot 267342</t>
  </si>
  <si>
    <t>SO0003726</t>
  </si>
  <si>
    <t>Lot 267632</t>
  </si>
  <si>
    <t>SO0003730</t>
  </si>
  <si>
    <t>Lot 266258</t>
  </si>
  <si>
    <t>Lot 267628</t>
  </si>
  <si>
    <t>SO0003728</t>
  </si>
  <si>
    <t>Lot 267637</t>
  </si>
  <si>
    <t>Lot 267723</t>
  </si>
  <si>
    <t>Lot 267732</t>
  </si>
  <si>
    <t>SO0003734</t>
  </si>
  <si>
    <t>Lot 267733</t>
  </si>
  <si>
    <t>SO0003735</t>
  </si>
  <si>
    <t>Lot 267734</t>
  </si>
  <si>
    <t>SO0003736</t>
  </si>
  <si>
    <t>Lot 268431</t>
  </si>
  <si>
    <t>Lot 266252</t>
  </si>
  <si>
    <t>Lot 268166</t>
  </si>
  <si>
    <t>360366ApP0000571</t>
  </si>
  <si>
    <t>Lot 268434</t>
  </si>
  <si>
    <t>SO0003748</t>
  </si>
  <si>
    <t>Lot 268642</t>
  </si>
  <si>
    <t>SO0003754</t>
  </si>
  <si>
    <t>Lot 268749</t>
  </si>
  <si>
    <t>SO0003756</t>
  </si>
  <si>
    <t>Lot 268753</t>
  </si>
  <si>
    <t>Lot 269326</t>
  </si>
  <si>
    <t>SO0003770</t>
  </si>
  <si>
    <t>Lot 268558</t>
  </si>
  <si>
    <t>Lot 269297</t>
  </si>
  <si>
    <t>Lot 269298</t>
  </si>
  <si>
    <t>SO0003767</t>
  </si>
  <si>
    <t>Lot 268300</t>
  </si>
  <si>
    <t>360366ApP0000577</t>
  </si>
  <si>
    <t>Lot 269889</t>
  </si>
  <si>
    <t>SO0003779</t>
  </si>
  <si>
    <t>Lot 269886</t>
  </si>
  <si>
    <t>SO0003776</t>
  </si>
  <si>
    <t>Lot 269888</t>
  </si>
  <si>
    <t>SO0003778</t>
  </si>
  <si>
    <t>Lot 270407</t>
  </si>
  <si>
    <t>SO0003782</t>
  </si>
  <si>
    <t>Lot 270409</t>
  </si>
  <si>
    <t>SO0003784</t>
  </si>
  <si>
    <t>Lot 270993</t>
  </si>
  <si>
    <t>Lot 270997</t>
  </si>
  <si>
    <t>Lot 271000</t>
  </si>
  <si>
    <t>Lot 272184</t>
  </si>
  <si>
    <t>SO0003799</t>
  </si>
  <si>
    <t>Lot 272185</t>
  </si>
  <si>
    <t>SO0003800</t>
  </si>
  <si>
    <t>Lot 272189</t>
  </si>
  <si>
    <t>SO0003802</t>
  </si>
  <si>
    <t>Lot 272244</t>
  </si>
  <si>
    <t>SO0003806</t>
  </si>
  <si>
    <t>Lot 272246</t>
  </si>
  <si>
    <t>SO0003807</t>
  </si>
  <si>
    <t>Lot 272248</t>
  </si>
  <si>
    <t>Lot 272594</t>
  </si>
  <si>
    <t>SO0003811</t>
  </si>
  <si>
    <t>Lot 271003</t>
  </si>
  <si>
    <t>Lot 272634</t>
  </si>
  <si>
    <t>SO0003814</t>
  </si>
  <si>
    <t>Lot 272771</t>
  </si>
  <si>
    <t>SO0003820</t>
  </si>
  <si>
    <t>Lot 272844</t>
  </si>
  <si>
    <t>Lot 272841</t>
  </si>
  <si>
    <t>SO0003822</t>
  </si>
  <si>
    <t>Lot 272842</t>
  </si>
  <si>
    <t>Lot 272849</t>
  </si>
  <si>
    <t>SO0003827</t>
  </si>
  <si>
    <t>Lot 271803</t>
  </si>
  <si>
    <t>360365ApP0001095</t>
  </si>
  <si>
    <t>Lot 272847</t>
  </si>
  <si>
    <t>SO0003825</t>
  </si>
  <si>
    <t>Lot 272848</t>
  </si>
  <si>
    <t>SO0003826</t>
  </si>
  <si>
    <t>Lot 273038</t>
  </si>
  <si>
    <t>SO0003830</t>
  </si>
  <si>
    <t>Lot 273127</t>
  </si>
  <si>
    <t>SO0003834</t>
  </si>
  <si>
    <t>Lot 273273</t>
  </si>
  <si>
    <t>SO0003835</t>
  </si>
  <si>
    <t>Lot 273274</t>
  </si>
  <si>
    <t>SO0003836</t>
  </si>
  <si>
    <t>Lot 273278</t>
  </si>
  <si>
    <t>Lot 273390</t>
  </si>
  <si>
    <t>Lot 274639</t>
  </si>
  <si>
    <t>SO0003844</t>
  </si>
  <si>
    <t>Lot 274643</t>
  </si>
  <si>
    <t>Lot 274646</t>
  </si>
  <si>
    <t>Lot 274648</t>
  </si>
  <si>
    <t>SO0003850</t>
  </si>
  <si>
    <t>Lot 274651</t>
  </si>
  <si>
    <t>SO0003853</t>
  </si>
  <si>
    <t>Lot 274731</t>
  </si>
  <si>
    <t>SO0003855</t>
  </si>
  <si>
    <t>Lot 276062</t>
  </si>
  <si>
    <t>SO0003862</t>
  </si>
  <si>
    <t>Lot 276063</t>
  </si>
  <si>
    <t>SO0003863</t>
  </si>
  <si>
    <t>Lot 276121</t>
  </si>
  <si>
    <t>Lot 276065</t>
  </si>
  <si>
    <t>SO0003865</t>
  </si>
  <si>
    <t>Lot 276577</t>
  </si>
  <si>
    <t>SO0003872</t>
  </si>
  <si>
    <t>Lot 276578</t>
  </si>
  <si>
    <t>SO0003873</t>
  </si>
  <si>
    <t>Lot 274653</t>
  </si>
  <si>
    <t>Lot 276586</t>
  </si>
  <si>
    <t>SO0003876</t>
  </si>
  <si>
    <t>Lot 274738</t>
  </si>
  <si>
    <t>360365ApP0001133</t>
  </si>
  <si>
    <t>Lot 277007</t>
  </si>
  <si>
    <t>SO0003877</t>
  </si>
  <si>
    <t>Lot 277011</t>
  </si>
  <si>
    <t>SO0003878</t>
  </si>
  <si>
    <t>Lot 277013</t>
  </si>
  <si>
    <t>SO0003880</t>
  </si>
  <si>
    <t>Lot 277016</t>
  </si>
  <si>
    <t>Lot 277137</t>
  </si>
  <si>
    <t>SO0003883</t>
  </si>
  <si>
    <t>Lot 277138</t>
  </si>
  <si>
    <t>Lot 277140</t>
  </si>
  <si>
    <t>SO0003885</t>
  </si>
  <si>
    <t>Lot 277295</t>
  </si>
  <si>
    <t>SO0003886</t>
  </si>
  <si>
    <t>Lot 277522</t>
  </si>
  <si>
    <t>SO0003892</t>
  </si>
  <si>
    <t>Lot 277720</t>
  </si>
  <si>
    <t>Lot 277723</t>
  </si>
  <si>
    <t>Lot 277894</t>
  </si>
  <si>
    <t>Lot 277896</t>
  </si>
  <si>
    <t>SO0003897</t>
  </si>
  <si>
    <t>Lot 277899</t>
  </si>
  <si>
    <t>SO0003899</t>
  </si>
  <si>
    <t>Lot 278148</t>
  </si>
  <si>
    <t>SO0003900</t>
  </si>
  <si>
    <t>Lot 278149</t>
  </si>
  <si>
    <t>SO0003901</t>
  </si>
  <si>
    <t>Lot 278302</t>
  </si>
  <si>
    <t>SO0003904</t>
  </si>
  <si>
    <t>Lot 278393</t>
  </si>
  <si>
    <t>SO0003908</t>
  </si>
  <si>
    <t>Lot 278564</t>
  </si>
  <si>
    <t>SO0003916</t>
  </si>
  <si>
    <t>Lot 278145</t>
  </si>
  <si>
    <t>Lot 278986</t>
  </si>
  <si>
    <t>Lot 279423</t>
  </si>
  <si>
    <t>Lot 279425</t>
  </si>
  <si>
    <t>SO0003927</t>
  </si>
  <si>
    <t>Lot 279421</t>
  </si>
  <si>
    <t>SO0003924</t>
  </si>
  <si>
    <t>Lot 279807</t>
  </si>
  <si>
    <t>Lot 279484</t>
  </si>
  <si>
    <t>Lot 279815</t>
  </si>
  <si>
    <t>SO0003936</t>
  </si>
  <si>
    <t>Lot 276388</t>
  </si>
  <si>
    <t>Lot 279978</t>
  </si>
  <si>
    <t>Lot 279980</t>
  </si>
  <si>
    <t>Lot 280064</t>
  </si>
  <si>
    <t>Lot 280855</t>
  </si>
  <si>
    <t>SO0003963</t>
  </si>
  <si>
    <t>Lot 280395</t>
  </si>
  <si>
    <t>SO0003951</t>
  </si>
  <si>
    <t>Lot 277464</t>
  </si>
  <si>
    <t>360365ApP0001137</t>
  </si>
  <si>
    <t>Lot 279972</t>
  </si>
  <si>
    <t>360364ApP0001218</t>
  </si>
  <si>
    <t>Lot 280823</t>
  </si>
  <si>
    <t>Lot 278161</t>
  </si>
  <si>
    <t>Lot 001805</t>
  </si>
  <si>
    <t>Lot 001857</t>
  </si>
  <si>
    <t>Lot 002058</t>
  </si>
  <si>
    <t>Lot 002494</t>
  </si>
  <si>
    <t>Lot 002495</t>
  </si>
  <si>
    <t>Lot 002515</t>
  </si>
  <si>
    <t>SO0000028</t>
  </si>
  <si>
    <t>Lot 003275</t>
  </si>
  <si>
    <t>SO0000043</t>
  </si>
  <si>
    <t>Lot 003277</t>
  </si>
  <si>
    <t>Lot 007975</t>
  </si>
  <si>
    <t>SO0000059</t>
  </si>
  <si>
    <t>Lot 007995</t>
  </si>
  <si>
    <t>SO0000060</t>
  </si>
  <si>
    <t>Lot 008018</t>
  </si>
  <si>
    <t>SO0000062</t>
  </si>
  <si>
    <t>Lot 008026</t>
  </si>
  <si>
    <t>SO0000066</t>
  </si>
  <si>
    <t>Lot 009593</t>
  </si>
  <si>
    <t>Lot 010855</t>
  </si>
  <si>
    <t>SO0000081</t>
  </si>
  <si>
    <t>Lot 010887</t>
  </si>
  <si>
    <t>SO0000085</t>
  </si>
  <si>
    <t>Lot 010895</t>
  </si>
  <si>
    <t>SO0000087</t>
  </si>
  <si>
    <t>Lot 014157</t>
  </si>
  <si>
    <t>SO0000154</t>
  </si>
  <si>
    <t>Lot 024887</t>
  </si>
  <si>
    <t>360365ApP0000134</t>
  </si>
  <si>
    <t>Lot 025190</t>
  </si>
  <si>
    <t>Lot 027420</t>
  </si>
  <si>
    <t>SO0000463</t>
  </si>
  <si>
    <t>Lot 026976</t>
  </si>
  <si>
    <t>SO0000455</t>
  </si>
  <si>
    <t>Lot 032608</t>
  </si>
  <si>
    <t>Lot 033360</t>
  </si>
  <si>
    <t>SO0000584</t>
  </si>
  <si>
    <t>Lot 033373</t>
  </si>
  <si>
    <t>Lot 033557</t>
  </si>
  <si>
    <t>Lot 033561</t>
  </si>
  <si>
    <t>Lot 033596</t>
  </si>
  <si>
    <t>Lot 033598</t>
  </si>
  <si>
    <t>Lot 034786</t>
  </si>
  <si>
    <t>SO0000613</t>
  </si>
  <si>
    <t>Lot 035357</t>
  </si>
  <si>
    <t>SO0000645</t>
  </si>
  <si>
    <t>Lot 035146</t>
  </si>
  <si>
    <t>360SO0004104</t>
  </si>
  <si>
    <t>Lot 039201</t>
  </si>
  <si>
    <t>Lot 039428</t>
  </si>
  <si>
    <t>Lot 039597</t>
  </si>
  <si>
    <t>Lot 039424</t>
  </si>
  <si>
    <t>360365ApP0000190</t>
  </si>
  <si>
    <t>Lot 039435</t>
  </si>
  <si>
    <t>Lot 039656</t>
  </si>
  <si>
    <t>Lot 043976</t>
  </si>
  <si>
    <t>SO0000789</t>
  </si>
  <si>
    <t>Lot 043979</t>
  </si>
  <si>
    <t>SO0000792</t>
  </si>
  <si>
    <t>Lot 044011</t>
  </si>
  <si>
    <t>Lot 047120</t>
  </si>
  <si>
    <t>SO0000887</t>
  </si>
  <si>
    <t>Lot 047204</t>
  </si>
  <si>
    <t>Lot 047480</t>
  </si>
  <si>
    <t>Lot 056791</t>
  </si>
  <si>
    <t>SO0001044</t>
  </si>
  <si>
    <t>Lot 058730</t>
  </si>
  <si>
    <t>Lot 058959</t>
  </si>
  <si>
    <t>360365ApP0000289</t>
  </si>
  <si>
    <t>Lot 056601</t>
  </si>
  <si>
    <t>Lot 061248</t>
  </si>
  <si>
    <t>Lot 056605</t>
  </si>
  <si>
    <t>Lot 064919</t>
  </si>
  <si>
    <t>Lot 072977</t>
  </si>
  <si>
    <t>SO0001291</t>
  </si>
  <si>
    <t>Lot 071536</t>
  </si>
  <si>
    <t>Lot 075343</t>
  </si>
  <si>
    <t>Lot 074530</t>
  </si>
  <si>
    <t>Lot 082106</t>
  </si>
  <si>
    <t>360365ApP0000344</t>
  </si>
  <si>
    <t>Lot 082261</t>
  </si>
  <si>
    <t>360364ApP0000345</t>
  </si>
  <si>
    <t>Lot 084739</t>
  </si>
  <si>
    <t>Lot 091571</t>
  </si>
  <si>
    <t>SO0001468</t>
  </si>
  <si>
    <t>Lot 092640</t>
  </si>
  <si>
    <t>SO0001496</t>
  </si>
  <si>
    <t>Lot 094065</t>
  </si>
  <si>
    <t>SO0001511</t>
  </si>
  <si>
    <t>Lot 094066</t>
  </si>
  <si>
    <t>SO0001512</t>
  </si>
  <si>
    <t>Lot 094188</t>
  </si>
  <si>
    <t>SO0001513</t>
  </si>
  <si>
    <t>Lot 094267</t>
  </si>
  <si>
    <t>SO0001516</t>
  </si>
  <si>
    <t>Lot 094291</t>
  </si>
  <si>
    <t>Lot 094324</t>
  </si>
  <si>
    <t>360365ApP0000369</t>
  </si>
  <si>
    <t>Lot 094736</t>
  </si>
  <si>
    <t>Lot 096749</t>
  </si>
  <si>
    <t>360365ApP0000381</t>
  </si>
  <si>
    <t>Lot 096747</t>
  </si>
  <si>
    <t>Lot 105509</t>
  </si>
  <si>
    <t>Lot 108107</t>
  </si>
  <si>
    <t>SO0001743</t>
  </si>
  <si>
    <t>Lot 116506</t>
  </si>
  <si>
    <t>SO0001863</t>
  </si>
  <si>
    <t>Lot 121717</t>
  </si>
  <si>
    <t>Lot 121719</t>
  </si>
  <si>
    <t>SO0001922</t>
  </si>
  <si>
    <t>Lot 121722</t>
  </si>
  <si>
    <t>Lot 121721</t>
  </si>
  <si>
    <t>SO0001927</t>
  </si>
  <si>
    <t>Lot 121720</t>
  </si>
  <si>
    <t>SO0001928</t>
  </si>
  <si>
    <t>Lot 119114</t>
  </si>
  <si>
    <t>Lot 122209</t>
  </si>
  <si>
    <t>SO0001955</t>
  </si>
  <si>
    <t>Lot 124105</t>
  </si>
  <si>
    <t>SO0002023</t>
  </si>
  <si>
    <t>Lot 124806</t>
  </si>
  <si>
    <t>Lot 126620</t>
  </si>
  <si>
    <t>SO0002050</t>
  </si>
  <si>
    <t>Lot 126613</t>
  </si>
  <si>
    <t>Lot 129310</t>
  </si>
  <si>
    <t>SO0002089</t>
  </si>
  <si>
    <t>Lot 193403</t>
  </si>
  <si>
    <t>Lot 193404</t>
  </si>
  <si>
    <t>Lot 207073</t>
  </si>
  <si>
    <t>Lot 209065</t>
  </si>
  <si>
    <t>SO0002998</t>
  </si>
  <si>
    <t>Lot 219129</t>
  </si>
  <si>
    <t>SO0003113</t>
  </si>
  <si>
    <t>Lot 222593</t>
  </si>
  <si>
    <t>Lot 224122</t>
  </si>
  <si>
    <t>Lot 227451</t>
  </si>
  <si>
    <t>SO0003216</t>
  </si>
  <si>
    <t>Lot 231236</t>
  </si>
  <si>
    <t>Lot 240347</t>
  </si>
  <si>
    <t>Lot 240795</t>
  </si>
  <si>
    <t>Lot 244106</t>
  </si>
  <si>
    <t>SO0003478</t>
  </si>
  <si>
    <t>Lot 243014</t>
  </si>
  <si>
    <t>Lot 246671</t>
  </si>
  <si>
    <t>SO0003519</t>
  </si>
  <si>
    <t>Lot 251565</t>
  </si>
  <si>
    <t>Lot 259742</t>
  </si>
  <si>
    <t>360365ApP0001020</t>
  </si>
  <si>
    <t>Lot 262308</t>
  </si>
  <si>
    <t>360365ApP0001032</t>
  </si>
  <si>
    <t>Lot 262751</t>
  </si>
  <si>
    <t>Lot 272247</t>
  </si>
  <si>
    <t>SO0003808</t>
  </si>
  <si>
    <t>Lot 271010</t>
  </si>
  <si>
    <t>Lot 271804</t>
  </si>
  <si>
    <t>Lot 273303</t>
  </si>
  <si>
    <t>SO0003841</t>
  </si>
  <si>
    <t>Lot 270075</t>
  </si>
  <si>
    <t>Lot 274654</t>
  </si>
  <si>
    <t>Lot 277467</t>
  </si>
  <si>
    <t>360365ApP0001139</t>
  </si>
  <si>
    <t>GLG0195120SN</t>
  </si>
  <si>
    <t>Lot 047314</t>
  </si>
  <si>
    <t>SO0000895</t>
  </si>
  <si>
    <t>Lot 268987</t>
  </si>
  <si>
    <t>SO0003763</t>
  </si>
  <si>
    <t>GLG0195200GV_obs</t>
  </si>
  <si>
    <t>Lot 008030</t>
  </si>
  <si>
    <t>Lot 012571</t>
  </si>
  <si>
    <t>SO0000106</t>
  </si>
  <si>
    <t>Lot 012607</t>
  </si>
  <si>
    <t>SO0000107</t>
  </si>
  <si>
    <t>Lot 014664</t>
  </si>
  <si>
    <t>Lot 015258</t>
  </si>
  <si>
    <t>Lot 015262</t>
  </si>
  <si>
    <t>Lot 015267</t>
  </si>
  <si>
    <t>Lot 015301</t>
  </si>
  <si>
    <t>SO0000215</t>
  </si>
  <si>
    <t>Lot 018168</t>
  </si>
  <si>
    <t>Lot 018300</t>
  </si>
  <si>
    <t>Lot 018285</t>
  </si>
  <si>
    <t>Lot 018460</t>
  </si>
  <si>
    <t>Lot 035957</t>
  </si>
  <si>
    <t>Lot 123519</t>
  </si>
  <si>
    <t>Lot 047664</t>
  </si>
  <si>
    <t>360364ApP0000221</t>
  </si>
  <si>
    <t>Lot 051997</t>
  </si>
  <si>
    <t>360364ApP0000238</t>
  </si>
  <si>
    <t>Lot 082242</t>
  </si>
  <si>
    <t>Lot 092573</t>
  </si>
  <si>
    <t>Lot 099531</t>
  </si>
  <si>
    <t>360364ApP0000477</t>
  </si>
  <si>
    <t>Lot 129324</t>
  </si>
  <si>
    <t>360364ApP0000603</t>
  </si>
  <si>
    <t>Lot 129326</t>
  </si>
  <si>
    <t>Lot 194223</t>
  </si>
  <si>
    <t>Lot 197161</t>
  </si>
  <si>
    <t>360364ApP0000912</t>
  </si>
  <si>
    <t>Lot 204267</t>
  </si>
  <si>
    <t>Lot 204269</t>
  </si>
  <si>
    <t>SO0002924</t>
  </si>
  <si>
    <t>Lot 204373</t>
  </si>
  <si>
    <t>360ApP0005252</t>
  </si>
  <si>
    <t>Lot 204378</t>
  </si>
  <si>
    <t>Lot 204795</t>
  </si>
  <si>
    <t>Lot 206682</t>
  </si>
  <si>
    <t>Lot 211246</t>
  </si>
  <si>
    <t>Lot 224379</t>
  </si>
  <si>
    <t>Lot 231440</t>
  </si>
  <si>
    <t>Lot 243040</t>
  </si>
  <si>
    <t>Lot 252093</t>
  </si>
  <si>
    <t>Lot 259747</t>
  </si>
  <si>
    <t>Lot 262753</t>
  </si>
  <si>
    <t>Lot 269323</t>
  </si>
  <si>
    <t>Lot 271002</t>
  </si>
  <si>
    <t>Lot 272365</t>
  </si>
  <si>
    <t>360364ApP0001171</t>
  </si>
  <si>
    <t>Lot 270079</t>
  </si>
  <si>
    <t>Lot 275340</t>
  </si>
  <si>
    <t>GLG019565</t>
  </si>
  <si>
    <t>Lot 279454</t>
  </si>
  <si>
    <t>360366ApP0000614</t>
  </si>
  <si>
    <t>Lot 095430</t>
  </si>
  <si>
    <t>360366ApP0000229</t>
  </si>
  <si>
    <t>Lot 095434</t>
  </si>
  <si>
    <t>Lot 099179</t>
  </si>
  <si>
    <t>Lot 099735</t>
  </si>
  <si>
    <t>Lot 107897</t>
  </si>
  <si>
    <t>360364ApP0000533</t>
  </si>
  <si>
    <t>Lot 121713</t>
  </si>
  <si>
    <t>SO0001919</t>
  </si>
  <si>
    <t>Lot 121714</t>
  </si>
  <si>
    <t>Lot 121718</t>
  </si>
  <si>
    <t>Lot 211763</t>
  </si>
  <si>
    <t>Lot 219125</t>
  </si>
  <si>
    <t>Lot 223373</t>
  </si>
  <si>
    <t>Lot 227489</t>
  </si>
  <si>
    <t>SO0003217</t>
  </si>
  <si>
    <t>Lot 255198</t>
  </si>
  <si>
    <t>Lot 268168</t>
  </si>
  <si>
    <t>360366ApP0000573</t>
  </si>
  <si>
    <t>Lot 268170</t>
  </si>
  <si>
    <t>360366ApP0000575</t>
  </si>
  <si>
    <t>Lot 269066</t>
  </si>
  <si>
    <t>Lot 268632</t>
  </si>
  <si>
    <t>360366ApP0000582</t>
  </si>
  <si>
    <t>Lot 271079</t>
  </si>
  <si>
    <t>Lot 273272</t>
  </si>
  <si>
    <t>Lot 277024</t>
  </si>
  <si>
    <t>GLG10020GBM</t>
  </si>
  <si>
    <t>Lot 012636</t>
  </si>
  <si>
    <t>Lot 018572</t>
  </si>
  <si>
    <t>SO0000252</t>
  </si>
  <si>
    <t>Lot 024184</t>
  </si>
  <si>
    <t>SO0000294</t>
  </si>
  <si>
    <t>Lot 024185</t>
  </si>
  <si>
    <t>SO0000295</t>
  </si>
  <si>
    <t>Lot 025213</t>
  </si>
  <si>
    <t>SO0000322</t>
  </si>
  <si>
    <t>Lot 025374</t>
  </si>
  <si>
    <t>SO0000327</t>
  </si>
  <si>
    <t>Lot 025785</t>
  </si>
  <si>
    <t>Lot 026284</t>
  </si>
  <si>
    <t>SO0000406</t>
  </si>
  <si>
    <t>Lot 026376</t>
  </si>
  <si>
    <t>SO0000414</t>
  </si>
  <si>
    <t>Lot 026546</t>
  </si>
  <si>
    <t>SO0000432</t>
  </si>
  <si>
    <t>Lot 026595</t>
  </si>
  <si>
    <t>SO0000433</t>
  </si>
  <si>
    <t>Lot 027439</t>
  </si>
  <si>
    <t>SO0000464</t>
  </si>
  <si>
    <t>Lot 028232</t>
  </si>
  <si>
    <t>Lot 028658</t>
  </si>
  <si>
    <t>Lot 032549</t>
  </si>
  <si>
    <t>Lot 036770</t>
  </si>
  <si>
    <t>Lot 039441</t>
  </si>
  <si>
    <t>SO0000730</t>
  </si>
  <si>
    <t>Lot 039759</t>
  </si>
  <si>
    <t>SO0000734</t>
  </si>
  <si>
    <t>Lot 047211</t>
  </si>
  <si>
    <t>Lot 047550</t>
  </si>
  <si>
    <t>Lot 053166</t>
  </si>
  <si>
    <t>SO0000975</t>
  </si>
  <si>
    <t>Lot 054007</t>
  </si>
  <si>
    <t>SO0000982</t>
  </si>
  <si>
    <t>Lot 055200</t>
  </si>
  <si>
    <t>Lot 055201</t>
  </si>
  <si>
    <t>Lot 057433</t>
  </si>
  <si>
    <t>SO0001052</t>
  </si>
  <si>
    <t>Lot 061011</t>
  </si>
  <si>
    <t>SO0001115</t>
  </si>
  <si>
    <t>Lot 068108</t>
  </si>
  <si>
    <t>Lot 070166</t>
  </si>
  <si>
    <t>SO0001242</t>
  </si>
  <si>
    <t>Lot 070797</t>
  </si>
  <si>
    <t>SO0001268</t>
  </si>
  <si>
    <t>Lot 073314</t>
  </si>
  <si>
    <t>SO0001304</t>
  </si>
  <si>
    <t>Lot 074801</t>
  </si>
  <si>
    <t>SO0001319</t>
  </si>
  <si>
    <t>Lot 089169</t>
  </si>
  <si>
    <t>SO0001445</t>
  </si>
  <si>
    <t>Lot 089827</t>
  </si>
  <si>
    <t>SO0001451</t>
  </si>
  <si>
    <t>Lot 104314</t>
  </si>
  <si>
    <t>SO0001656</t>
  </si>
  <si>
    <t>Lot 112097</t>
  </si>
  <si>
    <t>SO0001800</t>
  </si>
  <si>
    <t>Lot 112451</t>
  </si>
  <si>
    <t>Lot 116006</t>
  </si>
  <si>
    <t>SO0001856</t>
  </si>
  <si>
    <t>Lot 122391</t>
  </si>
  <si>
    <t>Lot 124106</t>
  </si>
  <si>
    <t>Lot 195858</t>
  </si>
  <si>
    <t>SO0002865</t>
  </si>
  <si>
    <t>Lot 200387</t>
  </si>
  <si>
    <t>Lot 203116</t>
  </si>
  <si>
    <t>SO0002917</t>
  </si>
  <si>
    <t>Lot 205762</t>
  </si>
  <si>
    <t>SO0002959</t>
  </si>
  <si>
    <t>Lot 207059</t>
  </si>
  <si>
    <t>SO0002971</t>
  </si>
  <si>
    <t>Lot 209813</t>
  </si>
  <si>
    <t>SO0003010</t>
  </si>
  <si>
    <t>Lot 227491</t>
  </si>
  <si>
    <t>Lot 231233</t>
  </si>
  <si>
    <t>Lot 231234</t>
  </si>
  <si>
    <t>Lot 233688</t>
  </si>
  <si>
    <t>Lot 235891</t>
  </si>
  <si>
    <t>SO0003345</t>
  </si>
  <si>
    <t>Lot 237672</t>
  </si>
  <si>
    <t>SO0003358</t>
  </si>
  <si>
    <t>Lot 237798</t>
  </si>
  <si>
    <t>Lot 246674</t>
  </si>
  <si>
    <t>SO0003521</t>
  </si>
  <si>
    <t>Lot 262404</t>
  </si>
  <si>
    <t>SO0003646</t>
  </si>
  <si>
    <t>Lot 263099</t>
  </si>
  <si>
    <t>SO0003657</t>
  </si>
  <si>
    <t>Lot 263102</t>
  </si>
  <si>
    <t>SO0003658</t>
  </si>
  <si>
    <t>Lot 264242</t>
  </si>
  <si>
    <t>SO0003674</t>
  </si>
  <si>
    <t>Lot 265979</t>
  </si>
  <si>
    <t>Lot 267633</t>
  </si>
  <si>
    <t>Lot 272245</t>
  </si>
  <si>
    <t>Lot 274732</t>
  </si>
  <si>
    <t>Lot 277141</t>
  </si>
  <si>
    <t>Lot 279976</t>
  </si>
  <si>
    <t>SO0003938</t>
  </si>
  <si>
    <t>Lot 280854</t>
  </si>
  <si>
    <t>SO0003962</t>
  </si>
  <si>
    <t>2020-Jan</t>
  </si>
  <si>
    <t>362 汇总</t>
  </si>
  <si>
    <t>2019-Feb</t>
    <phoneticPr fontId="3" type="noConversion"/>
  </si>
  <si>
    <t>2019-Mar</t>
    <phoneticPr fontId="3" type="noConversion"/>
  </si>
  <si>
    <t>2019-Apr</t>
    <phoneticPr fontId="3" type="noConversion"/>
  </si>
  <si>
    <t>2019-May</t>
    <phoneticPr fontId="3" type="noConversion"/>
  </si>
  <si>
    <t>2019-Jun</t>
    <phoneticPr fontId="3" type="noConversion"/>
  </si>
  <si>
    <t>2019-Jul</t>
    <phoneticPr fontId="3" type="noConversion"/>
  </si>
  <si>
    <t>2019-Aug</t>
    <phoneticPr fontId="3" type="noConversion"/>
  </si>
  <si>
    <t>2019-Sep</t>
    <phoneticPr fontId="3" type="noConversion"/>
  </si>
  <si>
    <t>2019-Oct</t>
    <phoneticPr fontId="3" type="noConversion"/>
  </si>
  <si>
    <t>2019-Jan</t>
    <phoneticPr fontId="3" type="noConversion"/>
  </si>
  <si>
    <t>2019-Nov</t>
    <phoneticPr fontId="3" type="noConversion"/>
  </si>
  <si>
    <t>2019-Dec</t>
    <phoneticPr fontId="3" type="noConversion"/>
  </si>
  <si>
    <t>2020-Jan</t>
    <phoneticPr fontId="3" type="noConversion"/>
  </si>
  <si>
    <t>IC-AX</t>
    <phoneticPr fontId="3" type="noConversion"/>
  </si>
  <si>
    <t>2019-Oct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</si>
</sst>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(* #,##0.00_);_(* \(#,##0.00\);_(* &quot;-&quot;??_);_(@_)"/>
  </numFmts>
  <fonts count="5" x14ac:knownFonts="1"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1"/>
    <xf numFmtId="0" fontId="0" fillId="0" borderId="0" xfId="0" applyNumberFormat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0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pivotButton="1"/>
    <xf numFmtId="22" fontId="0" fillId="0" borderId="0" xfId="0" applyNumberFormat="1" applyAlignment="1"/>
    <xf numFmtId="22" fontId="2" fillId="0" borderId="0" xfId="0" applyNumberFormat="1" applyFont="1" applyAlignment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76" fontId="0" fillId="0" borderId="0" xfId="0" applyNumberFormat="1"/>
  </cellXfs>
  <cellStyles count="2">
    <cellStyle name="标题" xfId="1" builtinId="15"/>
    <cellStyle name="常规" xfId="0" builtinId="0"/>
  </cellStyles>
  <dxfs count="59">
    <dxf>
      <numFmt numFmtId="176" formatCode="_(* #,##0.00_);_(* \(#,##0.00\);_(* &quot;-&quot;??_);_(@_)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8" formatCode="m/d/yyyy\ h:mm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\ h:mm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1</xdr:row>
          <xdr:rowOff>152400</xdr:rowOff>
        </xdr:from>
        <xdr:to>
          <xdr:col>8</xdr:col>
          <xdr:colOff>19050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penser Wang" refreshedDate="44440.343828819445" createdVersion="4" refreshedVersion="6" minRefreshableVersion="3" recordCount="892">
  <cacheSource type="worksheet">
    <worksheetSource name="AtlasReport_3_Table_1"/>
  </cacheSource>
  <cacheFields count="10">
    <cacheField name="Company accounts" numFmtId="0">
      <sharedItems count="10">
        <s v="362"/>
        <s v="365" u="1"/>
        <s v="371" u="1"/>
        <s v="366" u="1"/>
        <s v="368" u="1"/>
        <s v="360" u="1"/>
        <s v="369" u="1"/>
        <s v="363" u="1"/>
        <s v="364" u="1"/>
        <s v="345" u="1"/>
      </sharedItems>
    </cacheField>
    <cacheField name="Sales order" numFmtId="0">
      <sharedItems/>
    </cacheField>
    <cacheField name="Item" numFmtId="0">
      <sharedItems count="157">
        <s v="CAG0097200200"/>
        <s v="GLG0150120"/>
        <s v="GLG0195120"/>
        <s v="GLG0097120"/>
        <s v="CAG195200200"/>
        <s v="CAG0195200"/>
        <s v="GLG0195120GV"/>
        <s v="GLG0150120GV"/>
        <s v="CAG0195200GV"/>
        <s v="CAG0097200"/>
        <s v="CAG0150200"/>
        <s v="GLG0097120GV"/>
        <s v="GLG0195200GV40"/>
        <s v="CAG150200200"/>
        <s v="GLG0150200GV"/>
        <s v="GLG0097200GV"/>
        <s v="CAG0097200GV"/>
        <s v="CAG0150200GV"/>
        <s v="GLG009765"/>
        <s v="GLG2Q"/>
        <s v="CAG2Q"/>
        <s v="GLG0150200"/>
        <s v="ASMIETG990" u="1"/>
        <s v="GLG65RESTMAT" u="1"/>
        <s v="ARAPTOOL003" u="1"/>
        <s v="LACLEAN002" u="1"/>
        <s v="TRPAKET001" u="1"/>
        <s v="CTG-AG400SP" u="1"/>
        <s v="ASBITREL0025" u="1"/>
        <s v="SHRESICEHP010" u="1"/>
        <s v="AMMIETG980INST" u="1"/>
        <s v="ASJOSTRVCOL401020" u="1"/>
        <s v="GEANCERD0050" u="1"/>
        <s v="ARMOWET025RQ" u="1"/>
        <s v="FXSCREWS500" u="1"/>
        <s v="AML600195050" u="1"/>
        <s v="ResE6000-1500-FR" u="1"/>
        <s v="LA20010014" u="1"/>
        <s v="GSAR0505067" u="1"/>
        <s v="SHADDPOS001" u="1"/>
        <s v="CS240300600" u="1"/>
        <s v="LA20012014" u="1"/>
        <s v="SHTEFROL09030" u="1"/>
        <s v="GLGRESTMATGV" u="1"/>
        <s v="GLG010020BIT" u="1"/>
        <s v="LA15010012" u="1"/>
        <s v="GLG005020BIT" u="1"/>
        <s v="PERSPEZ985" u="1"/>
        <s v="CS240300300" u="1"/>
        <s v="LA15012012" u="1"/>
        <s v="ASASPRPCSPR500" u="1"/>
        <s v="GLG019565" u="1"/>
        <s v="LACLEAN025" u="1"/>
        <s v="LA15015012" u="1"/>
        <s v="LACLEAN010" u="1"/>
        <s v="LAPSTKO100" u="1"/>
        <s v="ASJOCOMN20EJ" u="1"/>
        <s v="LARESI220HP05" u="1"/>
        <s v="CAGRESTMAT" u="1"/>
        <s v="LA15001014" u="1"/>
        <s v="9600/DUR-5KG" u="1"/>
        <s v="CS240600300" u="1"/>
        <s v="LA15002014" u="1"/>
        <s v="GLG019560" u="1"/>
        <s v="9600-10KGBEIL" u="1"/>
        <s v="LA15005014" u="1"/>
        <s v="FX706MPKT2B" u="1"/>
        <s v="LA15006014" u="1"/>
        <s v="SHTEFROL12030" u="1"/>
        <s v="LAENACS150" u="1"/>
        <s v="SHTEFROL07030" u="1"/>
        <s v="LA15008014" u="1"/>
        <s v="ASPINST011" u="1"/>
        <s v="LA15009014" u="1"/>
        <s v="GLG0050120" u="1"/>
        <s v="LA15001525" u="1"/>
        <s v="ASJOCOMN15A" u="1"/>
        <s v="ASPINST001" u="1"/>
        <s v="FX763CTGEU" u="1"/>
        <s v="LAFRPTO001" u="1"/>
        <s v="LAENACS120" u="1"/>
        <s v="GLG0100SBR_obs" u="1"/>
        <s v="CS240200600" u="1"/>
        <s v="CAG200200RESTMAT" u="1"/>
        <s v="LAENACS100" u="1"/>
        <s v="LA20005014" u="1"/>
        <s v="RES9600-10KGSP" u="1"/>
        <s v="LA20006014" u="1"/>
        <s v="CS240200300" u="1"/>
        <s v="LAANCSTB001" u="1"/>
        <s v="LA20008014" u="1"/>
        <s v="ASCOLDPRSTR500" u="1"/>
        <s v="Hand tools - large" u="1"/>
        <s v="LA20009014" u="1"/>
        <s v="LA15005012" u="1"/>
        <s v="SLNET7030200" u="1"/>
        <s v="OPHALT0416" u="1"/>
        <s v="ASCOLD25" u="1"/>
        <s v="LAFRPTO001F1" u="1"/>
        <s v="LACAN02PET" u="1"/>
        <s v="LA15008012" u="1"/>
        <s v="BOAXII16085020A4" u="1"/>
        <s v="9600-10KGLAFA" u="1"/>
        <s v="9600-10KGISEN" u="1"/>
        <s v="LARES230HP30" u="1"/>
        <s v="GLGRESTMAT" u="1"/>
        <s v="RONET50KN200" u="1"/>
        <s v="ASPDIEN007" u="1"/>
        <s v="ASPDIEN002" u="1"/>
        <s v="MC2-Services" u="1"/>
        <s v="9600-10KCOBE" u="1"/>
        <s v="ENGFRP0005" u="1"/>
        <s v="GLGBMTAPE0515" u="1"/>
        <s v="AM50050019550" u="1"/>
        <s v="9600-5KGSP" u="1"/>
        <s v="ARMOWET025-SP" u="1"/>
        <s v="ASCOLDSTR14" u="1"/>
        <s v="GLGRESTMATGV200" u="1"/>
        <s v="SHTEFROL13030" u="1"/>
        <s v="ARAPTOOL001LOC" u="1"/>
        <s v="ASJOSTRVCOL301030" u="1"/>
        <s v="MO043F" u="1"/>
        <s v="ARAPTOOL002LOC" u="1"/>
        <s v="EVLGTLRG" u="1"/>
        <s v="RESE5450-1500SPFR" u="1"/>
        <s v="LAFRPTO002" u="1"/>
        <s v="ASPDIEN005" u="1"/>
        <s v="CAGRESTMATGV" u="1"/>
        <s v="FX76305EU" u="1"/>
        <s v="RESE5450-400SPFR" u="1"/>
        <s v="ARMOWETSILRQ" u="1"/>
        <s v="LA15001028" u="1"/>
        <s v="TRSPEDI001" u="1"/>
        <s v="CS240400300" u="1"/>
        <s v="CS640400300" u="1"/>
        <s v="LAQUARZ015" u="1"/>
        <s v="Hand tools - small" u="1"/>
        <s v="GLGBMTAPE1015" u="1"/>
        <s v="EMN3-600" u="1"/>
        <s v="SHRESEPO55HP6KG" u="1"/>
        <s v="ASJOSTRVCOL351040" u="1"/>
        <s v="LAFRPTO002F1" u="1"/>
        <s v="LARESI220HP15" u="1"/>
        <s v="LAENACS080" u="1"/>
        <s v="AMMIETG980" u="1"/>
        <s v="SHTEFROL06030" u="1"/>
        <s v="ASJOSTRHASC400350" u="1"/>
        <s v="LA15010014" u="1"/>
        <s v="TS-410" u="1"/>
        <s v="ASJOCOMN10" u="1"/>
        <s v="LA15012014" u="1"/>
        <s v="PERSPEZ977" u="1"/>
        <s v="ATAMPTOOL" u="1"/>
        <s v="LAENACS050" u="1"/>
        <s v="ARAPTOOL001" u="1"/>
        <s v="ASPDIEN003" u="1"/>
        <s v="LA15015014" u="1"/>
      </sharedItems>
    </cacheField>
    <cacheField name="Item name" numFmtId="0">
      <sharedItems count="143">
        <s v="S&amp;P Carbophalt G (200/200kN)"/>
        <s v="S&amp;P Glasphalt G (120/120kN)"/>
        <s v="S&amp;P Carbophalt G (120/200kN)"/>
        <s v="S&amp;P Glasphalt GV (120/120kN)"/>
        <s v="S&amp;P Carbophalt GV (120/200kN)"/>
        <s v="S&amp;P Glasphalt GV (120/200kN), afm 40x1.95m breed, 40 mtr"/>
        <s v="S&amp;P Glasphalt GV (120/200kN)"/>
        <s v="S&amp;P Glasphalt G 65"/>
        <s v="S&amp;P Glasphalt GV2Q_x000a_"/>
        <s v="S&amp;P Carbophalt G2Q"/>
        <s v="S&amp;P Glasphalt G 120/120 kN 1.50m"/>
        <s v="S&amp;P Resin 220 HP (set of 5 kg)" u="1"/>
        <s v="S&amp;P Unrolling set" u="1"/>
        <s v="S&amp;P Resicem HP, Set 10 kg" u="1"/>
        <s v="S&amp;P Stahlbauteile" u="1"/>
        <s v="S&amp;P ARMO Power Pump / lnstallation" u="1"/>
        <s v="E5450 1500ml S&amp;P FR" u="1"/>
        <s v="S&amp;P Rouleau de marouflage largeur 120 mm" u="1"/>
        <s v="S&amp;P ARMO-mesh L600" u="1"/>
        <s v="S&amp;P Asphalt equipment rental" u="1"/>
        <s v="Concacel 10kg S&amp;P" u="1"/>
        <s v="S&amp;P G-Sheet AR 50/50" u="1"/>
        <s v="S&amp;P Laminierroller 130 x 30mm" u="1"/>
        <s v="S&amp;P Hochleistungsnetz 50 kN (grau)" u="1"/>
        <s v="Manual gun 400ml" u="1"/>
        <s v="S&amp;P Asphalt Spezialist" u="1"/>
        <s v="SIL PYR HYDRPHIL 200M²/GR" u="1"/>
        <s v="S&amp;P End Anchor Typ 80" u="1"/>
        <s v="S&amp;P End Anchor Typ 100" u="1"/>
        <s v="Positionszuschlag per m1" u="1"/>
        <s v="S&amp;P Resin 220 HP (set of 15 kg)" u="1"/>
        <s v="FX-763 (set of 5 kg)" u="1"/>
        <s v="S&amp;P Resin 55 HP_x000a_(Set à 6kg)" u="1"/>
        <s v="S&amp;P Rouleau de marouflage largeur 70 mm" u="1"/>
        <s v="Rest material Carbophalt G" u="1"/>
        <s v="Wartezeiten" u="1"/>
        <s v="Plastikkanister weiss 2 lt" u="1"/>
        <s v="S&amp;P C-Laminate HM (200/2000) 100/1.4" u="1"/>
        <s v="S&amp;P C-Laminate SM (150/2000) 100/1.4" u="1"/>
        <s v="S&amp;P Resin 230 Komp. F" u="1"/>
        <s v="S&amp;P Aufziehgerät Kleber Lamellen" u="1"/>
        <s v="S&amp;P Reactive asphalt primer  500ml" u="1"/>
        <s v="S&amp;P Unrolling set - F" u="1"/>
        <s v="S&amp;P joint strip V-Colband 30mmx10mm á 30mtr p/ds" u="1"/>
        <s v="S&amp;P joint strip V-Colband 35mmx10mm á 40mtr p/ds" u="1"/>
        <s v="S&amp;P joint strip V-Colband 40mmx10mm á 20mtr p/ds" u="1"/>
        <s v="Transportkosten (Paketversand)" u="1"/>
        <s v="Set of 30 kg of S&amp;P Resin 230HP" u="1"/>
        <s v="S&amp;P Ascoprimer CP spray 500 ml" u="1"/>
        <s v="S&amp;P Asphalt Abrollgerät maschinell" u="1"/>
        <s v="S&amp;P Laminierroller 60 x 30mm" u="1"/>
        <s v="S&amp;P cold asphalt bag of 25kg" u="1"/>
        <s v="Concacel 5 kg S&amp;P" u="1"/>
        <s v="S&amp;P C-Laminate SM (150/2000) 10/1.4" u="1"/>
        <s v="Rate per kilometer - prestressing" u="1"/>
        <s v="CONCACEL HARDENER 5kg" u="1"/>
        <s v="S&amp;P Asphalt Handabrollgerät" u="1"/>
        <s v="S&amp;P ARMO-crete w - 25 kg bag" u="1"/>
        <s v="S&amp;P C-Laminate SM (150/2000) 20/1.4" u="1"/>
        <s v="FX-70-6MP 2 bag kit (A+B+C) _x000a_1 x A _x000a_1 x B _x000a_2 x C" u="1"/>
        <s v="S&amp;P C-Laminate SM (150/2000) 100/1.2" u="1"/>
        <s v="S&amp;P End Anchor Typ 150" u="1"/>
        <s v="S&amp;P Erdnagel 50 cm" u="1"/>
        <s v="S&amp;P C-Sheet 240 600 g/m2" u="1"/>
        <s v="S&amp;P Asphalt Mietgeräte" u="1"/>
        <s v="S&amp;P joint compound MN20EJ Kart Bed 17kg" u="1"/>
        <s v="S&amp;P Asphalt Manual Application equip." u="1"/>
        <s v="Concacel 10kg Isenmann" u="1"/>
        <s v="S&amp;P C-Laminate HM (200/2000) 50/1.4" u="1"/>
        <s v="S&amp;P C-Laminate SM (150/2000) 50/1.4" u="1"/>
        <s v="Haftvermittler Installation" u="1"/>
        <s v="Glasphalt G 60, afm 50x1.95m breed" u="1"/>
        <s v="S&amp;P ARMO-crete w , Siloware" u="1"/>
        <s v="Rest material Glasphalt GV 120/200" u="1"/>
        <s v="Hand tools - large" u="1"/>
        <s v="S&amp;P C-Laminate HM (200/2000) 60/1.4" u="1"/>
        <s v="S&amp;P C-Laminate SM (150/2000) 60/1.4" u="1"/>
        <s v="S&amp;P Cleaner 2 lt" u="1"/>
        <s v="Rest material Carbophalt G 200/200" u="1"/>
        <s v="Asphalt Verlegearbeit_x000a_" u="1"/>
        <s v="A4 screws 5.5 x 25 mm (500 piece box)" u="1"/>
        <s v="S&amp;P C-Laminate HM (200/2000) 80/1.4" u="1"/>
        <s v="S&amp;P C-Laminate SM (150/2000) 80/1.4" u="1"/>
        <s v="S&amp;P Asphalt Bitumen_x000a_Release Agent 2.5lt" u="1"/>
        <s v="TECNOGROUT-N/PR (25KG)" u="1"/>
        <s v="Rest material Carbophalt GV" u="1"/>
        <s v="S&amp;P Reactive asphalt bag (Rephalt) 14kg" u="1"/>
        <s v="S&amp;P C-Laminate HM (200/2000) 90/1.4" u="1"/>
        <s v="S&amp;P C-Laminate SM (150/2000) 90/1.4" u="1"/>
        <s v="Oecophalt R 0/4 bag 16 KG" u="1"/>
        <s v="S&amp;P Laminierroller 90 x 30mm" u="1"/>
        <s v="MC2-Services" u="1"/>
        <s v="S&amp;P C-Sheet 240 400 g/m2" u="1"/>
        <s v="S&amp;P C-Sheet 640 400 g/m2" u="1"/>
        <s v="S&amp;P joint strip H-Ascotekband 40mmx3mm á 50mtr p/ds" u="1"/>
        <s v="Asphalt Tamper" u="1"/>
        <s v="S&amp;P Glasphalt bit (120/120 kN)" u="1"/>
        <s v="S&amp;P ARMO-crete w ,bag of 25kg" u="1"/>
        <s v="Asphalt application work" u="1"/>
        <s v="S&amp;P ARMO Power Pump System" u="1"/>
        <s v="S&amp;P C-Laminate HM (200/2000) 120/1.4" u="1"/>
        <s v="S&amp;P C-Laminate SM (150/2000) 120/1.4" u="1"/>
        <s v="S&amp;P C-Sheet 240 300 g/m2" u="1"/>
        <s v="Rest material Glasphalt G 65" u="1"/>
        <s v="S&amp;P C-Laminate SM (150/2000) 10/2.8" u="1"/>
        <s v="S&amp;P joint compound MN15A Kart Bed 17kg" u="1"/>
        <s v="S&amp;P C-Laminate SM (150/2000) 150/1.4" u="1"/>
        <s v="FX-763CTG 600 ml cartridge" u="1"/>
        <s v="S&amp;P C-Laminate SM (150/2000) 50/1.2" u="1"/>
        <s v="S&amp;P C-Sheet 240 200 g/m2" u="1"/>
        <s v="EV light large" u="1"/>
        <s v="MIXERS QM16 (MN3) IN BOX OF 50" u="1"/>
        <s v="Asphalt Verlegearbeit Installation" u="1"/>
        <s v="S&amp;P Resin E6000 1500ml-FR" u="1"/>
        <s v="S&amp;P C-Laminate SM (150/2000) 80/1.2" u="1"/>
        <s v="S&amp;P C-Laminate SM (150/2000) 120/1.2" u="1"/>
        <s v="S&amp;P Cleaner 25 lt" u="1"/>
        <s v="Rest material Glasphalt GV" u="1"/>
        <s v="E5450 400ml S&amp;P FR" u="1"/>
        <s v="S&amp;P Manual Reel 0.97m / Rent" u="1"/>
        <s v="S&amp;P Cleaner 10 lt" u="1"/>
        <s v="S&amp;P C-Laminate SM (150/2000) 150/1.2" u="1"/>
        <s v="S&amp;P Haftzüge - Installation" u="1"/>
        <s v="S&amp;P Anchor plate prestressed" u="1"/>
        <s v="S&amp;P Glasphalt G, 1m" u="1"/>
        <s v="S&amp;P End Anchor Typ 120" u="1"/>
        <s v="S&amp;P Glasphalt GBM Tape, width 0.5 m, length 15 m" u="1"/>
        <s v="S&amp;P Glasphalt GBM Tape, width 1.0 m, length 15 m" u="1"/>
        <s v="Hand tools - small" u="1"/>
        <s v="S&amp;P joint compound MN10 Kart Bed 17kg" u="1"/>
        <s v="Concacel 10kg Beillon" u="1"/>
        <s v="S&amp;P equipt 1.95 m / Rent" u="1"/>
        <s v="S&amp;P Anchor M16 (Vorspannung)" u="1"/>
        <s v="S&amp;P End Anchor Typ 50" u="1"/>
        <s v="S&amp;P Adhesive-forming unit - F" u="1"/>
        <s v="Concacel 10kg Cobemat" u="1"/>
        <s v="S&amp;PARMO-mesh 500/500_x000a_roll 1.95 x 50 m" u="1"/>
        <s v="Concacel 10kg Lafarge" u="1"/>
        <s v="S&amp;P FRP Spezialist" u="1"/>
        <s v="S&amp;P Hochleistungsnetz 70/30 kN_x000a_schwarz, 2.0m breit 50m lang" u="1"/>
        <s v="Transportkosten (Spedition)" u="1"/>
        <s v="S&amp;P C-Laminate SM (150/2000) 15/2.5" u="1"/>
        <s v="Rest material Glasphalt G" u="1"/>
      </sharedItems>
    </cacheField>
    <cacheField name="Ship date" numFmtId="14">
      <sharedItems containsSemiMixedTypes="0" containsNonDate="0" containsDate="1" containsString="0" minDate="2019-01-10T00:00:00" maxDate="2019-12-21T00:00:00"/>
    </cacheField>
    <cacheField name="Delivered" numFmtId="0">
      <sharedItems containsSemiMixedTypes="0" containsString="0" containsNumber="1" minValue="-31040" maxValue="50700"/>
    </cacheField>
    <cacheField name="Sales unit" numFmtId="0">
      <sharedItems count="21">
        <s v="M²"/>
        <s v="FORFAIT" u="1"/>
        <s v="Sac(25KG)" u="1"/>
        <s v="PCS" u="1"/>
        <s v="Kit(5KG)" u="1"/>
        <s v="DAY" u="1"/>
        <s v="CTN(10p)" u="1"/>
        <s v="WEEK" u="1"/>
        <s v="ROLL(100M)" u="1"/>
        <s v="Pal(42Kit)" u="1"/>
        <s v="H" u="1"/>
        <s v="Kit(15KG)" u="1"/>
        <s v="Roll(50M)" u="1"/>
        <s v="Pal(40R)" u="1"/>
        <s v="Roll" u="1"/>
        <s v="M" u="1"/>
        <s v="COUR(100M)" u="1"/>
        <s v="KG" u="1"/>
        <s v="KM" u="1"/>
        <s v="COUR(150M)" u="1"/>
        <s v="Kit(6KG)" u="1"/>
      </sharedItems>
    </cacheField>
    <cacheField name="Invent qty delivered" numFmtId="0">
      <sharedItems containsSemiMixedTypes="0" containsString="0" containsNumber="1" minValue="-31040" maxValue="50700"/>
    </cacheField>
    <cacheField name="Invent unit" numFmtId="0">
      <sharedItems count="8">
        <s v="M²"/>
        <s v="H" u="1"/>
        <s v="DAY" u="1"/>
        <s v="M" u="1"/>
        <s v="PCS" u="1"/>
        <s v="KG" u="1"/>
        <s v="KM" u="1"/>
        <s v="WEEK" u="1"/>
      </sharedItems>
    </cacheField>
    <cacheField name="Lot I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penser Wang" refreshedDate="44440.343851041667" createdVersion="6" refreshedVersion="6" minRefreshableVersion="3" recordCount="895">
  <cacheSource type="worksheet">
    <worksheetSource name="AtlasReport_5_Table_1"/>
  </cacheSource>
  <cacheFields count="16">
    <cacheField name="Sales order" numFmtId="0">
      <sharedItems/>
    </cacheField>
    <cacheField name="Group" numFmtId="0">
      <sharedItems/>
    </cacheField>
    <cacheField name="Customer" numFmtId="0">
      <sharedItems/>
    </cacheField>
    <cacheField name="Country/region(distination)" numFmtId="0">
      <sharedItems count="16">
        <s v="NL"/>
        <s v="PT"/>
        <s v="DE"/>
        <s v="FR"/>
        <s v="DK"/>
        <s v="CH"/>
        <s v="PL"/>
        <s v="AT"/>
        <s v="SE"/>
        <s v="US"/>
        <s v="ES"/>
        <s v="KH"/>
        <s v="RU"/>
        <s v=""/>
        <s v="SI"/>
        <s v="BE"/>
      </sharedItems>
    </cacheField>
    <cacheField name="Item number" numFmtId="0">
      <sharedItems/>
    </cacheField>
    <cacheField name="Created date" numFmtId="22">
      <sharedItems containsSemiMixedTypes="0" containsNonDate="0" containsDate="1" containsString="0" minDate="2019-01-07T22:55:14" maxDate="2019-12-20T19:28:08"/>
    </cacheField>
    <cacheField name="Created Month" numFmtId="0">
      <sharedItems count="12">
        <s v="2019-Feb"/>
        <s v="2019-Apr"/>
        <s v="2019-May"/>
        <s v="2019-Jun"/>
        <s v="2019-Jul"/>
        <s v="2019-Sep"/>
        <s v="2019-Oct"/>
        <s v="2019-Mar"/>
        <s v="2019-Jan"/>
        <s v="2019-Aug"/>
        <s v="2019-Nov"/>
        <s v="2019-Dec"/>
      </sharedItems>
    </cacheField>
    <cacheField name="Lot ID" numFmtId="0">
      <sharedItems/>
    </cacheField>
    <cacheField name="Order qty" numFmtId="0">
      <sharedItems containsSemiMixedTypes="0" containsString="0" containsNumber="1" minValue="-31040" maxValue="50700"/>
    </cacheField>
    <cacheField name="Unit" numFmtId="0">
      <sharedItems/>
    </cacheField>
    <cacheField name="Unit price" numFmtId="0">
      <sharedItems containsSemiMixedTypes="0" containsString="0" containsNumber="1" minValue="0" maxValue="31"/>
    </cacheField>
    <cacheField name="Net amount" numFmtId="0">
      <sharedItems containsSemiMixedTypes="0" containsString="0" containsNumber="1" minValue="-140400" maxValue="821340"/>
    </cacheField>
    <cacheField name="Currency" numFmtId="0">
      <sharedItems/>
    </cacheField>
    <cacheField name="Line status" numFmtId="0">
      <sharedItems count="1">
        <s v="Invoiced"/>
      </sharedItems>
    </cacheField>
    <cacheField name="Delivered Date" numFmtId="14">
      <sharedItems containsSemiMixedTypes="0" containsNonDate="0" containsDate="1" containsString="0" minDate="2019-01-10T00:00:00" maxDate="2020-01-18T00:00:00"/>
    </cacheField>
    <cacheField name="Delivered Month" numFmtId="0">
      <sharedItems containsBlank="1" count="14">
        <s v="2019-Mar"/>
        <s v="2019-May"/>
        <s v="2019-Jun"/>
        <s v="2019-Aug"/>
        <s v="2019-Feb"/>
        <s v="2019-Oct"/>
        <s v="2019-Apr"/>
        <s v="2019-Sep"/>
        <s v="2019-Jan"/>
        <s v="2019-Jul"/>
        <s v="2019-Nov"/>
        <s v="2019-Dec"/>
        <s v="2020-Jan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2">
  <r>
    <x v="0"/>
    <s v="360363ApP0000590"/>
    <x v="0"/>
    <x v="0"/>
    <d v="2019-04-05T00:00:00"/>
    <n v="533.5"/>
    <x v="0"/>
    <n v="533.5"/>
    <x v="0"/>
    <s v="Lot 149943"/>
  </r>
  <r>
    <x v="0"/>
    <s v="360363ApP0000599"/>
    <x v="1"/>
    <x v="1"/>
    <d v="2019-04-18T00:00:00"/>
    <n v="300"/>
    <x v="0"/>
    <n v="300"/>
    <x v="0"/>
    <s v="Lot 150987"/>
  </r>
  <r>
    <x v="0"/>
    <s v="360363ApP0000599"/>
    <x v="2"/>
    <x v="1"/>
    <d v="2019-04-18T00:00:00"/>
    <n v="487.5"/>
    <x v="0"/>
    <n v="487.5"/>
    <x v="0"/>
    <s v="Lot 150988"/>
  </r>
  <r>
    <x v="0"/>
    <s v="360363ApP0000599"/>
    <x v="3"/>
    <x v="1"/>
    <d v="2019-04-18T00:00:00"/>
    <n v="242.5"/>
    <x v="0"/>
    <n v="242.5"/>
    <x v="0"/>
    <s v="Lot 150989"/>
  </r>
  <r>
    <x v="0"/>
    <s v="360363ApP0000617"/>
    <x v="3"/>
    <x v="1"/>
    <d v="2019-05-21T00:00:00"/>
    <n v="824.5"/>
    <x v="0"/>
    <n v="824.5"/>
    <x v="0"/>
    <s v="Lot 153561"/>
  </r>
  <r>
    <x v="0"/>
    <s v="360363ApP0000638"/>
    <x v="1"/>
    <x v="1"/>
    <d v="2019-06-26T00:00:00"/>
    <n v="3000"/>
    <x v="0"/>
    <n v="3000"/>
    <x v="0"/>
    <s v="Lot 159929"/>
  </r>
  <r>
    <x v="0"/>
    <s v="360363ApP0000649"/>
    <x v="0"/>
    <x v="0"/>
    <d v="2019-07-01T00:00:00"/>
    <n v="339.5"/>
    <x v="0"/>
    <n v="339.5"/>
    <x v="0"/>
    <s v="Lot 161764"/>
  </r>
  <r>
    <x v="0"/>
    <s v="360363ApP0000671"/>
    <x v="3"/>
    <x v="1"/>
    <d v="2019-07-18T00:00:00"/>
    <n v="388"/>
    <x v="0"/>
    <n v="388"/>
    <x v="0"/>
    <s v="Lot 165092"/>
  </r>
  <r>
    <x v="0"/>
    <s v="360363ApP0000682"/>
    <x v="1"/>
    <x v="1"/>
    <d v="2019-08-09T00:00:00"/>
    <n v="7875"/>
    <x v="0"/>
    <n v="7875"/>
    <x v="0"/>
    <s v="Lot 167818"/>
  </r>
  <r>
    <x v="0"/>
    <s v="360363ApP0000752"/>
    <x v="0"/>
    <x v="0"/>
    <d v="2019-10-30T00:00:00"/>
    <n v="145.5"/>
    <x v="0"/>
    <n v="145.5"/>
    <x v="0"/>
    <s v="Lot 184829"/>
  </r>
  <r>
    <x v="0"/>
    <s v="360363ApP0000757"/>
    <x v="4"/>
    <x v="0"/>
    <d v="2019-10-29T00:00:00"/>
    <n v="682.5"/>
    <x v="0"/>
    <n v="682.5"/>
    <x v="0"/>
    <s v="Lot 184970"/>
  </r>
  <r>
    <x v="0"/>
    <s v="360364ApP0000649"/>
    <x v="5"/>
    <x v="2"/>
    <d v="2019-01-28T00:00:00"/>
    <n v="13650"/>
    <x v="0"/>
    <n v="13650"/>
    <x v="0"/>
    <s v="Lot 137668"/>
  </r>
  <r>
    <x v="0"/>
    <s v="360364ApP0000649"/>
    <x v="6"/>
    <x v="3"/>
    <d v="2019-01-28T00:00:00"/>
    <n v="11700"/>
    <x v="0"/>
    <n v="11700"/>
    <x v="0"/>
    <s v="Lot 137669"/>
  </r>
  <r>
    <x v="0"/>
    <s v="360364ApP0000657"/>
    <x v="7"/>
    <x v="3"/>
    <d v="2019-02-15T00:00:00"/>
    <n v="7500"/>
    <x v="0"/>
    <n v="7500"/>
    <x v="0"/>
    <s v="Lot 139862"/>
  </r>
  <r>
    <x v="0"/>
    <s v="360364ApP0000657"/>
    <x v="0"/>
    <x v="0"/>
    <d v="2019-02-15T00:00:00"/>
    <n v="5820"/>
    <x v="0"/>
    <n v="5820"/>
    <x v="0"/>
    <s v="Lot 139863"/>
  </r>
  <r>
    <x v="0"/>
    <s v="360364ApP0000657"/>
    <x v="4"/>
    <x v="0"/>
    <d v="2019-02-15T00:00:00"/>
    <n v="5850"/>
    <x v="0"/>
    <n v="5850"/>
    <x v="0"/>
    <s v="Lot 139864"/>
  </r>
  <r>
    <x v="0"/>
    <s v="360364ApP0000657"/>
    <x v="8"/>
    <x v="4"/>
    <d v="2019-02-15T00:00:00"/>
    <n v="3900"/>
    <x v="0"/>
    <n v="3900"/>
    <x v="0"/>
    <s v="Lot 139865"/>
  </r>
  <r>
    <x v="0"/>
    <s v="360364ApP0000663"/>
    <x v="9"/>
    <x v="2"/>
    <d v="2019-03-04T00:00:00"/>
    <n v="7760"/>
    <x v="0"/>
    <n v="7760"/>
    <x v="0"/>
    <s v="Lot 142698"/>
  </r>
  <r>
    <x v="0"/>
    <s v="360364ApP0000663"/>
    <x v="10"/>
    <x v="2"/>
    <d v="2019-03-04T00:00:00"/>
    <n v="4500"/>
    <x v="0"/>
    <n v="4500"/>
    <x v="0"/>
    <s v="Lot 142699"/>
  </r>
  <r>
    <x v="0"/>
    <s v="360364ApP0000663"/>
    <x v="3"/>
    <x v="1"/>
    <d v="2019-03-04T00:00:00"/>
    <n v="3880"/>
    <x v="0"/>
    <n v="3880"/>
    <x v="0"/>
    <s v="Lot 142700"/>
  </r>
  <r>
    <x v="0"/>
    <s v="360364ApP0000663"/>
    <x v="11"/>
    <x v="3"/>
    <d v="2019-03-04T00:00:00"/>
    <n v="3880"/>
    <x v="0"/>
    <n v="3880"/>
    <x v="0"/>
    <s v="Lot 142701"/>
  </r>
  <r>
    <x v="0"/>
    <s v="360364ApP0000665"/>
    <x v="2"/>
    <x v="1"/>
    <d v="2019-03-04T00:00:00"/>
    <n v="11700"/>
    <x v="0"/>
    <n v="11700"/>
    <x v="0"/>
    <s v="Lot 142703"/>
  </r>
  <r>
    <x v="0"/>
    <s v="360364ApP0000665"/>
    <x v="12"/>
    <x v="5"/>
    <d v="2019-03-04T00:00:00"/>
    <n v="8190"/>
    <x v="0"/>
    <n v="8190"/>
    <x v="0"/>
    <s v="Lot 142704"/>
  </r>
  <r>
    <x v="0"/>
    <s v="360364ApP0000667"/>
    <x v="13"/>
    <x v="0"/>
    <d v="2019-03-04T00:00:00"/>
    <n v="3000"/>
    <x v="0"/>
    <n v="3000"/>
    <x v="0"/>
    <s v="Lot 142826"/>
  </r>
  <r>
    <x v="0"/>
    <s v="360364ApP0000669"/>
    <x v="12"/>
    <x v="5"/>
    <d v="2019-03-12T00:00:00"/>
    <n v="15210"/>
    <x v="0"/>
    <n v="15210"/>
    <x v="0"/>
    <s v="Lot 143368"/>
  </r>
  <r>
    <x v="0"/>
    <s v="360364ApP0000672"/>
    <x v="12"/>
    <x v="5"/>
    <d v="2019-03-12T00:00:00"/>
    <n v="2340"/>
    <x v="0"/>
    <n v="2340"/>
    <x v="0"/>
    <s v="Lot 143370"/>
  </r>
  <r>
    <x v="0"/>
    <s v="360364ApP0000679"/>
    <x v="14"/>
    <x v="6"/>
    <d v="2019-04-01T00:00:00"/>
    <n v="8250"/>
    <x v="0"/>
    <n v="8250"/>
    <x v="0"/>
    <s v="Lot 144039"/>
  </r>
  <r>
    <x v="0"/>
    <s v="360364ApP0000681"/>
    <x v="15"/>
    <x v="6"/>
    <d v="2019-03-12T00:00:00"/>
    <n v="12610"/>
    <x v="0"/>
    <n v="12610"/>
    <x v="0"/>
    <s v="Lot 144204"/>
  </r>
  <r>
    <x v="0"/>
    <s v="360364ApP0000689"/>
    <x v="4"/>
    <x v="0"/>
    <d v="2019-07-15T00:00:00"/>
    <n v="25350"/>
    <x v="0"/>
    <n v="25350"/>
    <x v="0"/>
    <s v="Lot 146304"/>
  </r>
  <r>
    <x v="0"/>
    <s v="360364ApP0000697"/>
    <x v="15"/>
    <x v="6"/>
    <d v="2019-04-08T00:00:00"/>
    <n v="7275"/>
    <x v="0"/>
    <n v="7275"/>
    <x v="0"/>
    <s v="Lot 148334"/>
  </r>
  <r>
    <x v="0"/>
    <s v="360364ApP0000697"/>
    <x v="2"/>
    <x v="1"/>
    <d v="2019-04-08T00:00:00"/>
    <n v="9750"/>
    <x v="0"/>
    <n v="9750"/>
    <x v="0"/>
    <s v="Lot 148335"/>
  </r>
  <r>
    <x v="0"/>
    <s v="360364ApP0000697"/>
    <x v="4"/>
    <x v="0"/>
    <d v="2019-04-08T00:00:00"/>
    <n v="5850"/>
    <x v="0"/>
    <n v="5850"/>
    <x v="0"/>
    <s v="Lot 148336"/>
  </r>
  <r>
    <x v="0"/>
    <s v="360364ApP0000699"/>
    <x v="11"/>
    <x v="3"/>
    <d v="2019-04-08T00:00:00"/>
    <n v="7760"/>
    <x v="0"/>
    <n v="7760"/>
    <x v="0"/>
    <s v="Lot 148338"/>
  </r>
  <r>
    <x v="0"/>
    <s v="360364ApP0000699"/>
    <x v="13"/>
    <x v="0"/>
    <d v="2019-04-08T00:00:00"/>
    <n v="3000"/>
    <x v="0"/>
    <n v="3000"/>
    <x v="0"/>
    <s v="Lot 148339"/>
  </r>
  <r>
    <x v="0"/>
    <s v="360364ApP0000699"/>
    <x v="5"/>
    <x v="2"/>
    <d v="2019-04-08T00:00:00"/>
    <n v="13650"/>
    <x v="0"/>
    <n v="13650"/>
    <x v="0"/>
    <s v="Lot 148340"/>
  </r>
  <r>
    <x v="0"/>
    <s v="360364ApP0000719"/>
    <x v="9"/>
    <x v="2"/>
    <d v="2019-05-13T00:00:00"/>
    <n v="3880"/>
    <x v="0"/>
    <n v="3880"/>
    <x v="0"/>
    <s v="Lot 151183"/>
  </r>
  <r>
    <x v="0"/>
    <s v="360364ApP0000719"/>
    <x v="10"/>
    <x v="2"/>
    <d v="2019-05-13T00:00:00"/>
    <n v="6000"/>
    <x v="0"/>
    <n v="6000"/>
    <x v="0"/>
    <s v="Lot 151184"/>
  </r>
  <r>
    <x v="0"/>
    <s v="360364ApP0000719"/>
    <x v="5"/>
    <x v="2"/>
    <d v="2019-05-13T00:00:00"/>
    <n v="13650"/>
    <x v="0"/>
    <n v="13650"/>
    <x v="0"/>
    <s v="Lot 151185"/>
  </r>
  <r>
    <x v="0"/>
    <s v="360364ApP0000721"/>
    <x v="15"/>
    <x v="6"/>
    <d v="2019-05-06T00:00:00"/>
    <n v="7275"/>
    <x v="0"/>
    <n v="7275"/>
    <x v="0"/>
    <s v="Lot 151187"/>
  </r>
  <r>
    <x v="0"/>
    <s v="360364ApP0000727"/>
    <x v="15"/>
    <x v="6"/>
    <d v="2019-05-06T00:00:00"/>
    <n v="10670"/>
    <x v="0"/>
    <n v="10670"/>
    <x v="0"/>
    <s v="Lot 151441"/>
  </r>
  <r>
    <x v="0"/>
    <s v="360364ApP0000733"/>
    <x v="5"/>
    <x v="2"/>
    <d v="2019-05-07T00:00:00"/>
    <n v="25350"/>
    <x v="0"/>
    <n v="25350"/>
    <x v="0"/>
    <s v="Lot 151467"/>
  </r>
  <r>
    <x v="0"/>
    <s v="360364ApP0000742"/>
    <x v="9"/>
    <x v="2"/>
    <d v="2019-05-13T00:00:00"/>
    <n v="3880"/>
    <x v="0"/>
    <n v="3880"/>
    <x v="0"/>
    <s v="Lot 152557"/>
  </r>
  <r>
    <x v="0"/>
    <s v="360364ApP0000742"/>
    <x v="10"/>
    <x v="2"/>
    <d v="2019-05-13T00:00:00"/>
    <n v="6000"/>
    <x v="0"/>
    <n v="6000"/>
    <x v="0"/>
    <s v="Lot 152558"/>
  </r>
  <r>
    <x v="0"/>
    <s v="360364ApP0000742"/>
    <x v="5"/>
    <x v="2"/>
    <d v="2019-05-13T00:00:00"/>
    <n v="13650"/>
    <x v="0"/>
    <n v="13650"/>
    <x v="0"/>
    <s v="Lot 152559"/>
  </r>
  <r>
    <x v="0"/>
    <s v="360364ApP0000747"/>
    <x v="15"/>
    <x v="6"/>
    <d v="2019-06-03T00:00:00"/>
    <n v="2910"/>
    <x v="0"/>
    <n v="2910"/>
    <x v="0"/>
    <s v="Lot 154530"/>
  </r>
  <r>
    <x v="0"/>
    <s v="360364ApP0000747"/>
    <x v="14"/>
    <x v="6"/>
    <d v="2019-06-03T00:00:00"/>
    <n v="3375"/>
    <x v="0"/>
    <n v="3375"/>
    <x v="0"/>
    <s v="Lot 154531"/>
  </r>
  <r>
    <x v="0"/>
    <s v="360364ApP0000747"/>
    <x v="16"/>
    <x v="4"/>
    <d v="2019-06-03T00:00:00"/>
    <n v="3880"/>
    <x v="0"/>
    <n v="3880"/>
    <x v="0"/>
    <s v="Lot 154532"/>
  </r>
  <r>
    <x v="0"/>
    <s v="360364ApP0000747"/>
    <x v="17"/>
    <x v="4"/>
    <d v="2019-06-03T00:00:00"/>
    <n v="4500"/>
    <x v="0"/>
    <n v="4500"/>
    <x v="0"/>
    <s v="Lot 154533"/>
  </r>
  <r>
    <x v="0"/>
    <s v="360364ApP0000747"/>
    <x v="2"/>
    <x v="1"/>
    <d v="2019-06-03T00:00:00"/>
    <n v="5850"/>
    <x v="0"/>
    <n v="5850"/>
    <x v="0"/>
    <s v="Lot 154534"/>
  </r>
  <r>
    <x v="0"/>
    <s v="360364ApP0000752"/>
    <x v="2"/>
    <x v="1"/>
    <d v="2019-06-11T00:00:00"/>
    <n v="25350"/>
    <x v="0"/>
    <n v="25350"/>
    <x v="0"/>
    <s v="Lot 155732"/>
  </r>
  <r>
    <x v="0"/>
    <s v="360364ApP0000754"/>
    <x v="8"/>
    <x v="4"/>
    <d v="2019-07-01T00:00:00"/>
    <n v="25350"/>
    <x v="0"/>
    <n v="25350"/>
    <x v="0"/>
    <s v="Lot 155751"/>
  </r>
  <r>
    <x v="0"/>
    <s v="360364ApP0000756"/>
    <x v="4"/>
    <x v="0"/>
    <d v="2019-07-01T00:00:00"/>
    <n v="5850"/>
    <x v="0"/>
    <n v="5850"/>
    <x v="0"/>
    <s v="Lot 155754"/>
  </r>
  <r>
    <x v="0"/>
    <s v="360364ApP0000756"/>
    <x v="15"/>
    <x v="6"/>
    <d v="2019-07-01T00:00:00"/>
    <n v="8730"/>
    <x v="0"/>
    <n v="8730"/>
    <x v="0"/>
    <s v="Lot 155755"/>
  </r>
  <r>
    <x v="0"/>
    <s v="360364ApP0000758"/>
    <x v="2"/>
    <x v="1"/>
    <d v="2019-07-12T00:00:00"/>
    <n v="23400"/>
    <x v="0"/>
    <n v="23400"/>
    <x v="0"/>
    <s v="Lot 156325"/>
  </r>
  <r>
    <x v="0"/>
    <s v="360364ApP0000760"/>
    <x v="2"/>
    <x v="1"/>
    <d v="2019-07-12T00:00:00"/>
    <n v="23400"/>
    <x v="0"/>
    <n v="23400"/>
    <x v="0"/>
    <s v="Lot 156327"/>
  </r>
  <r>
    <x v="0"/>
    <s v="360364ApP0000768"/>
    <x v="14"/>
    <x v="6"/>
    <d v="2019-07-01T00:00:00"/>
    <n v="5625"/>
    <x v="0"/>
    <n v="5625"/>
    <x v="0"/>
    <s v="Lot 160234"/>
  </r>
  <r>
    <x v="0"/>
    <s v="360364ApP0000768"/>
    <x v="12"/>
    <x v="5"/>
    <d v="2019-07-01T00:00:00"/>
    <n v="4680"/>
    <x v="0"/>
    <n v="4680"/>
    <x v="0"/>
    <s v="Lot 160235"/>
  </r>
  <r>
    <x v="0"/>
    <s v="360364ApP0000768"/>
    <x v="10"/>
    <x v="2"/>
    <d v="2019-07-01T00:00:00"/>
    <n v="6000"/>
    <x v="0"/>
    <n v="6000"/>
    <x v="0"/>
    <s v="Lot 160236"/>
  </r>
  <r>
    <x v="0"/>
    <s v="360364ApP0000779"/>
    <x v="4"/>
    <x v="0"/>
    <d v="2019-07-11T00:00:00"/>
    <n v="5850"/>
    <x v="0"/>
    <n v="5850"/>
    <x v="0"/>
    <s v="Lot 163868"/>
  </r>
  <r>
    <x v="0"/>
    <s v="360364ApP0000779"/>
    <x v="15"/>
    <x v="6"/>
    <d v="2019-07-11T00:00:00"/>
    <n v="8730"/>
    <x v="0"/>
    <n v="8730"/>
    <x v="0"/>
    <s v="Lot 163869"/>
  </r>
  <r>
    <x v="0"/>
    <s v="360364ApP0000785"/>
    <x v="0"/>
    <x v="0"/>
    <d v="2019-08-05T00:00:00"/>
    <n v="3880"/>
    <x v="0"/>
    <n v="3880"/>
    <x v="0"/>
    <s v="Lot 165086"/>
  </r>
  <r>
    <x v="0"/>
    <s v="360364ApP0000785"/>
    <x v="13"/>
    <x v="0"/>
    <d v="2019-08-05T00:00:00"/>
    <n v="6000"/>
    <x v="0"/>
    <n v="6000"/>
    <x v="0"/>
    <s v="Lot 165087"/>
  </r>
  <r>
    <x v="0"/>
    <s v="360364ApP0000785"/>
    <x v="11"/>
    <x v="3"/>
    <d v="2019-08-05T00:00:00"/>
    <n v="5820"/>
    <x v="0"/>
    <n v="5820"/>
    <x v="0"/>
    <s v="Lot 165088"/>
  </r>
  <r>
    <x v="0"/>
    <s v="360364ApP0000785"/>
    <x v="7"/>
    <x v="3"/>
    <d v="2019-08-05T00:00:00"/>
    <n v="3000"/>
    <x v="0"/>
    <n v="3000"/>
    <x v="0"/>
    <s v="Lot 165089"/>
  </r>
  <r>
    <x v="0"/>
    <s v="360364ApP0000785"/>
    <x v="12"/>
    <x v="5"/>
    <d v="2019-08-05T00:00:00"/>
    <n v="2340"/>
    <x v="0"/>
    <n v="2340"/>
    <x v="0"/>
    <s v="Lot 165090"/>
  </r>
  <r>
    <x v="0"/>
    <s v="360364ApP0000789"/>
    <x v="15"/>
    <x v="6"/>
    <d v="2019-08-05T00:00:00"/>
    <n v="10767"/>
    <x v="0"/>
    <n v="10767"/>
    <x v="0"/>
    <s v="Lot 165316"/>
  </r>
  <r>
    <x v="0"/>
    <s v="360364ApP0000796"/>
    <x v="5"/>
    <x v="2"/>
    <d v="2019-08-05T00:00:00"/>
    <n v="9750"/>
    <x v="0"/>
    <n v="9750"/>
    <x v="0"/>
    <s v="Lot 166498"/>
  </r>
  <r>
    <x v="0"/>
    <s v="360364ApP0000799"/>
    <x v="5"/>
    <x v="2"/>
    <d v="2019-09-02T00:00:00"/>
    <n v="25350"/>
    <x v="0"/>
    <n v="25350"/>
    <x v="0"/>
    <s v="Lot 167824"/>
  </r>
  <r>
    <x v="0"/>
    <s v="360364ApP0000822"/>
    <x v="10"/>
    <x v="2"/>
    <d v="2019-10-07T00:00:00"/>
    <n v="7500"/>
    <x v="0"/>
    <n v="7500"/>
    <x v="0"/>
    <s v="Lot 175576"/>
  </r>
  <r>
    <x v="0"/>
    <s v="360364ApP0000822"/>
    <x v="17"/>
    <x v="4"/>
    <d v="2019-10-07T00:00:00"/>
    <n v="4500"/>
    <x v="0"/>
    <n v="4500"/>
    <x v="0"/>
    <s v="Lot 175577"/>
  </r>
  <r>
    <x v="0"/>
    <s v="360364ApP0000822"/>
    <x v="5"/>
    <x v="2"/>
    <d v="2019-10-07T00:00:00"/>
    <n v="9750"/>
    <x v="0"/>
    <n v="9750"/>
    <x v="0"/>
    <s v="Lot 175578"/>
  </r>
  <r>
    <x v="0"/>
    <s v="360364ApP0000824"/>
    <x v="8"/>
    <x v="4"/>
    <d v="2019-10-07T00:00:00"/>
    <n v="9750"/>
    <x v="0"/>
    <n v="9750"/>
    <x v="0"/>
    <s v="Lot 175580"/>
  </r>
  <r>
    <x v="0"/>
    <s v="360364ApP0000824"/>
    <x v="2"/>
    <x v="1"/>
    <d v="2019-10-07T00:00:00"/>
    <n v="5850"/>
    <x v="0"/>
    <n v="5850"/>
    <x v="0"/>
    <s v="Lot 175581"/>
  </r>
  <r>
    <x v="0"/>
    <s v="360364ApP0000824"/>
    <x v="12"/>
    <x v="5"/>
    <d v="2019-10-07T00:00:00"/>
    <n v="5850"/>
    <x v="0"/>
    <n v="5850"/>
    <x v="0"/>
    <s v="Lot 175582"/>
  </r>
  <r>
    <x v="0"/>
    <s v="360364ApP0000831"/>
    <x v="8"/>
    <x v="4"/>
    <d v="2019-10-07T00:00:00"/>
    <n v="1950"/>
    <x v="0"/>
    <n v="1950"/>
    <x v="0"/>
    <s v="Lot 176587"/>
  </r>
  <r>
    <x v="0"/>
    <s v="360364ApP0000831"/>
    <x v="16"/>
    <x v="4"/>
    <d v="2019-10-07T00:00:00"/>
    <n v="1940"/>
    <x v="0"/>
    <n v="1940"/>
    <x v="0"/>
    <s v="Lot 176588"/>
  </r>
  <r>
    <x v="0"/>
    <s v="360364ApP0000831"/>
    <x v="17"/>
    <x v="4"/>
    <d v="2019-10-07T00:00:00"/>
    <n v="1500"/>
    <x v="0"/>
    <n v="1500"/>
    <x v="0"/>
    <s v="Lot 176589"/>
  </r>
  <r>
    <x v="0"/>
    <s v="360364ApP0000831"/>
    <x v="14"/>
    <x v="6"/>
    <d v="2019-10-07T00:00:00"/>
    <n v="5625"/>
    <x v="0"/>
    <n v="5625"/>
    <x v="0"/>
    <s v="Lot 176590"/>
  </r>
  <r>
    <x v="0"/>
    <s v="360364ApP0000831"/>
    <x v="7"/>
    <x v="3"/>
    <d v="2019-10-07T00:00:00"/>
    <n v="4500"/>
    <x v="0"/>
    <n v="4500"/>
    <x v="0"/>
    <s v="Lot 176591"/>
  </r>
  <r>
    <x v="0"/>
    <s v="360364ApP0000831"/>
    <x v="11"/>
    <x v="3"/>
    <d v="2019-10-07T00:00:00"/>
    <n v="3880"/>
    <x v="0"/>
    <n v="3880"/>
    <x v="0"/>
    <s v="Lot 176592"/>
  </r>
  <r>
    <x v="0"/>
    <s v="360364ApP0000855"/>
    <x v="17"/>
    <x v="4"/>
    <d v="2019-10-28T00:00:00"/>
    <n v="7500"/>
    <x v="0"/>
    <n v="7500"/>
    <x v="0"/>
    <s v="Lot 183938"/>
  </r>
  <r>
    <x v="0"/>
    <s v="360364ApP0000855"/>
    <x v="3"/>
    <x v="1"/>
    <d v="2019-10-28T00:00:00"/>
    <n v="1940"/>
    <x v="0"/>
    <n v="1940"/>
    <x v="0"/>
    <s v="Lot 183939"/>
  </r>
  <r>
    <x v="0"/>
    <s v="360364ApP0000855"/>
    <x v="11"/>
    <x v="3"/>
    <d v="2019-10-28T00:00:00"/>
    <n v="1940"/>
    <x v="0"/>
    <n v="1940"/>
    <x v="0"/>
    <s v="Lot 183940"/>
  </r>
  <r>
    <x v="0"/>
    <s v="360364ApP0000855"/>
    <x v="1"/>
    <x v="1"/>
    <d v="2019-10-28T00:00:00"/>
    <n v="3000"/>
    <x v="0"/>
    <n v="3000"/>
    <x v="0"/>
    <s v="Lot 183941"/>
  </r>
  <r>
    <x v="0"/>
    <s v="360364ApP0000855"/>
    <x v="7"/>
    <x v="3"/>
    <d v="2019-10-28T00:00:00"/>
    <n v="6000"/>
    <x v="0"/>
    <n v="6000"/>
    <x v="0"/>
    <s v="Lot 183942"/>
  </r>
  <r>
    <x v="0"/>
    <s v="360365ApP0000526"/>
    <x v="6"/>
    <x v="3"/>
    <d v="2019-02-15T00:00:00"/>
    <n v="4095"/>
    <x v="0"/>
    <n v="4095"/>
    <x v="0"/>
    <s v="Lot 139867"/>
  </r>
  <r>
    <x v="0"/>
    <s v="360365ApP0000526"/>
    <x v="2"/>
    <x v="1"/>
    <d v="2019-02-15T00:00:00"/>
    <n v="23887.5"/>
    <x v="0"/>
    <n v="23887.5"/>
    <x v="0"/>
    <s v="Lot 139868"/>
  </r>
  <r>
    <x v="0"/>
    <s v="360365ApP0000530"/>
    <x v="6"/>
    <x v="3"/>
    <d v="2019-02-19T00:00:00"/>
    <n v="6435"/>
    <x v="0"/>
    <n v="6435"/>
    <x v="0"/>
    <s v="Lot 140860"/>
  </r>
  <r>
    <x v="0"/>
    <s v="360365ApP0000530"/>
    <x v="2"/>
    <x v="1"/>
    <d v="2019-02-19T00:00:00"/>
    <n v="21450"/>
    <x v="0"/>
    <n v="21450"/>
    <x v="0"/>
    <s v="Lot 140861"/>
  </r>
  <r>
    <x v="0"/>
    <s v="360365ApP0000568"/>
    <x v="6"/>
    <x v="3"/>
    <d v="2019-04-03T00:00:00"/>
    <n v="25350"/>
    <x v="0"/>
    <n v="25350"/>
    <x v="0"/>
    <s v="Lot 148369"/>
  </r>
  <r>
    <x v="0"/>
    <s v="360365ApP0000590"/>
    <x v="6"/>
    <x v="3"/>
    <d v="2019-04-18T00:00:00"/>
    <n v="27885"/>
    <x v="0"/>
    <n v="27885"/>
    <x v="0"/>
    <s v="Lot 151155"/>
  </r>
  <r>
    <x v="0"/>
    <s v="360365ApP0000625"/>
    <x v="2"/>
    <x v="1"/>
    <d v="2019-06-04T00:00:00"/>
    <n v="27885"/>
    <x v="0"/>
    <n v="27885"/>
    <x v="0"/>
    <s v="Lot 155030"/>
  </r>
  <r>
    <x v="0"/>
    <s v="360365ApP0000640"/>
    <x v="2"/>
    <x v="1"/>
    <d v="2019-06-17T00:00:00"/>
    <n v="19305"/>
    <x v="0"/>
    <n v="19305"/>
    <x v="0"/>
    <s v="Lot 157112"/>
  </r>
  <r>
    <x v="0"/>
    <s v="360365ApP0000640"/>
    <x v="3"/>
    <x v="1"/>
    <d v="2019-06-17T00:00:00"/>
    <n v="4268"/>
    <x v="0"/>
    <n v="4268"/>
    <x v="0"/>
    <s v="Lot 157113"/>
  </r>
  <r>
    <x v="0"/>
    <s v="360365ApP0000640"/>
    <x v="11"/>
    <x v="3"/>
    <d v="2019-06-17T00:00:00"/>
    <n v="2134"/>
    <x v="0"/>
    <n v="2134"/>
    <x v="0"/>
    <s v="Lot 157114"/>
  </r>
  <r>
    <x v="0"/>
    <s v="360365ApP0000640"/>
    <x v="9"/>
    <x v="2"/>
    <d v="2019-06-17T00:00:00"/>
    <n v="2134"/>
    <x v="0"/>
    <n v="2134"/>
    <x v="0"/>
    <s v="Lot 157115"/>
  </r>
  <r>
    <x v="0"/>
    <s v="360365ApP0000645"/>
    <x v="2"/>
    <x v="1"/>
    <d v="2019-06-25T00:00:00"/>
    <n v="21450"/>
    <x v="0"/>
    <n v="21450"/>
    <x v="0"/>
    <s v="Lot 159849"/>
  </r>
  <r>
    <x v="0"/>
    <s v="360365ApP0000645"/>
    <x v="3"/>
    <x v="1"/>
    <d v="2019-06-25T00:00:00"/>
    <n v="2134"/>
    <x v="0"/>
    <n v="2134"/>
    <x v="0"/>
    <s v="Lot 159850"/>
  </r>
  <r>
    <x v="0"/>
    <s v="360365ApP0000645"/>
    <x v="11"/>
    <x v="3"/>
    <d v="2019-06-25T00:00:00"/>
    <n v="2134"/>
    <x v="0"/>
    <n v="2134"/>
    <x v="0"/>
    <s v="Lot 159851"/>
  </r>
  <r>
    <x v="0"/>
    <s v="360365ApP0000645"/>
    <x v="9"/>
    <x v="2"/>
    <d v="2019-06-25T00:00:00"/>
    <n v="2134"/>
    <x v="0"/>
    <n v="2134"/>
    <x v="0"/>
    <s v="Lot 159852"/>
  </r>
  <r>
    <x v="0"/>
    <s v="360365ApP0000658"/>
    <x v="5"/>
    <x v="2"/>
    <d v="2019-08-09T00:00:00"/>
    <n v="21450"/>
    <x v="0"/>
    <n v="21450"/>
    <x v="0"/>
    <s v="Lot 165804"/>
  </r>
  <r>
    <x v="0"/>
    <s v="360365ApP0000658"/>
    <x v="9"/>
    <x v="2"/>
    <d v="2019-08-09T00:00:00"/>
    <n v="6402"/>
    <x v="0"/>
    <n v="6402"/>
    <x v="0"/>
    <s v="Lot 165805"/>
  </r>
  <r>
    <x v="0"/>
    <s v="360365ApP0000659"/>
    <x v="5"/>
    <x v="2"/>
    <d v="2019-08-20T00:00:00"/>
    <n v="21450"/>
    <x v="0"/>
    <n v="21450"/>
    <x v="0"/>
    <s v="Lot 165807"/>
  </r>
  <r>
    <x v="0"/>
    <s v="360365ApP0000659"/>
    <x v="9"/>
    <x v="2"/>
    <d v="2019-08-20T00:00:00"/>
    <n v="6402"/>
    <x v="0"/>
    <n v="6402"/>
    <x v="0"/>
    <s v="Lot 165808"/>
  </r>
  <r>
    <x v="0"/>
    <s v="360365ApP0000677"/>
    <x v="6"/>
    <x v="3"/>
    <d v="2019-09-16T00:00:00"/>
    <n v="27885"/>
    <x v="0"/>
    <n v="27885"/>
    <x v="0"/>
    <s v="Lot 172658"/>
  </r>
  <r>
    <x v="0"/>
    <s v="360365ApP0000705"/>
    <x v="6"/>
    <x v="3"/>
    <d v="2019-10-28T00:00:00"/>
    <n v="27885"/>
    <x v="0"/>
    <n v="27885"/>
    <x v="0"/>
    <s v="Lot 183628"/>
  </r>
  <r>
    <x v="0"/>
    <s v="360365ApP0000733"/>
    <x v="6"/>
    <x v="3"/>
    <d v="2019-12-06T00:00:00"/>
    <n v="11700"/>
    <x v="0"/>
    <n v="11700"/>
    <x v="0"/>
    <s v="Lot 190456"/>
  </r>
  <r>
    <x v="0"/>
    <s v="360366ApP0000283"/>
    <x v="3"/>
    <x v="1"/>
    <d v="2019-02-18T00:00:00"/>
    <n v="9700"/>
    <x v="0"/>
    <n v="9700"/>
    <x v="0"/>
    <s v="Lot 141256"/>
  </r>
  <r>
    <x v="0"/>
    <s v="360366ApP0000283"/>
    <x v="2"/>
    <x v="1"/>
    <d v="2019-02-18T00:00:00"/>
    <n v="9750"/>
    <x v="0"/>
    <n v="9750"/>
    <x v="0"/>
    <s v="Lot 141257"/>
  </r>
  <r>
    <x v="0"/>
    <s v="360366ApP0000283"/>
    <x v="9"/>
    <x v="2"/>
    <d v="2019-02-18T00:00:00"/>
    <n v="1940"/>
    <x v="0"/>
    <n v="1940"/>
    <x v="0"/>
    <s v="Lot 141258"/>
  </r>
  <r>
    <x v="0"/>
    <s v="360366ApP0000283"/>
    <x v="5"/>
    <x v="2"/>
    <d v="2019-02-18T00:00:00"/>
    <n v="1950"/>
    <x v="0"/>
    <n v="1950"/>
    <x v="0"/>
    <s v="Lot 141259"/>
  </r>
  <r>
    <x v="0"/>
    <s v="360366ApP0000285"/>
    <x v="3"/>
    <x v="1"/>
    <d v="2019-02-25T00:00:00"/>
    <n v="23280"/>
    <x v="0"/>
    <n v="23280"/>
    <x v="0"/>
    <s v="Lot 141471"/>
  </r>
  <r>
    <x v="0"/>
    <s v="360366ApP0000293"/>
    <x v="2"/>
    <x v="1"/>
    <d v="2019-03-11T00:00:00"/>
    <n v="13650"/>
    <x v="0"/>
    <n v="13650"/>
    <x v="0"/>
    <s v="Lot 144205"/>
  </r>
  <r>
    <x v="0"/>
    <s v="360366ApP0000304"/>
    <x v="2"/>
    <x v="1"/>
    <d v="2019-04-11T00:00:00"/>
    <n v="13650"/>
    <x v="0"/>
    <n v="13650"/>
    <x v="0"/>
    <s v="Lot 146094"/>
  </r>
  <r>
    <x v="0"/>
    <s v="360366ApP0000314"/>
    <x v="2"/>
    <x v="1"/>
    <d v="2019-04-08T00:00:00"/>
    <n v="25350"/>
    <x v="0"/>
    <n v="25350"/>
    <x v="0"/>
    <s v="Lot 149357"/>
  </r>
  <r>
    <x v="0"/>
    <s v="360366ApP0000316"/>
    <x v="3"/>
    <x v="1"/>
    <d v="2019-04-15T00:00:00"/>
    <n v="23280"/>
    <x v="0"/>
    <n v="23280"/>
    <x v="0"/>
    <s v="Lot 149941"/>
  </r>
  <r>
    <x v="0"/>
    <s v="360366ApP0000322"/>
    <x v="0"/>
    <x v="0"/>
    <d v="2019-05-27T00:00:00"/>
    <n v="2037"/>
    <x v="0"/>
    <n v="2037"/>
    <x v="0"/>
    <s v="Lot 153289"/>
  </r>
  <r>
    <x v="0"/>
    <s v="360366ApP0000322"/>
    <x v="9"/>
    <x v="2"/>
    <d v="2019-05-27T00:00:00"/>
    <n v="3880"/>
    <x v="0"/>
    <n v="3880"/>
    <x v="0"/>
    <s v="Lot 153290"/>
  </r>
  <r>
    <x v="0"/>
    <s v="360366ApP0000322"/>
    <x v="5"/>
    <x v="2"/>
    <d v="2019-05-27T00:00:00"/>
    <n v="3900"/>
    <x v="0"/>
    <n v="3900"/>
    <x v="0"/>
    <s v="Lot 153291"/>
  </r>
  <r>
    <x v="0"/>
    <s v="360366ApP0000322"/>
    <x v="3"/>
    <x v="1"/>
    <d v="2019-05-27T00:00:00"/>
    <n v="7760"/>
    <x v="0"/>
    <n v="7760"/>
    <x v="0"/>
    <s v="Lot 153292"/>
  </r>
  <r>
    <x v="0"/>
    <s v="360366ApP0000322"/>
    <x v="2"/>
    <x v="1"/>
    <d v="2019-05-27T00:00:00"/>
    <n v="7800"/>
    <x v="0"/>
    <n v="7800"/>
    <x v="0"/>
    <s v="Lot 153293"/>
  </r>
  <r>
    <x v="0"/>
    <s v="360366ApP0000324"/>
    <x v="3"/>
    <x v="1"/>
    <d v="2019-05-28T00:00:00"/>
    <n v="19400"/>
    <x v="0"/>
    <n v="19400"/>
    <x v="0"/>
    <s v="Lot 153678"/>
  </r>
  <r>
    <x v="0"/>
    <s v="360366ApP0000324"/>
    <x v="2"/>
    <x v="1"/>
    <d v="2019-05-28T00:00:00"/>
    <n v="3900"/>
    <x v="0"/>
    <n v="3900"/>
    <x v="0"/>
    <s v="Lot 153679"/>
  </r>
  <r>
    <x v="0"/>
    <s v="360366ApP0000335"/>
    <x v="2"/>
    <x v="1"/>
    <d v="2019-06-17T00:00:00"/>
    <n v="17550"/>
    <x v="0"/>
    <n v="17550"/>
    <x v="0"/>
    <s v="Lot 157335"/>
  </r>
  <r>
    <x v="0"/>
    <s v="360366ApP0000335"/>
    <x v="3"/>
    <x v="1"/>
    <d v="2019-06-17T00:00:00"/>
    <n v="7760"/>
    <x v="0"/>
    <n v="7760"/>
    <x v="0"/>
    <s v="Lot 157336"/>
  </r>
  <r>
    <x v="0"/>
    <s v="360366ApP0000338"/>
    <x v="2"/>
    <x v="1"/>
    <d v="2019-06-25T00:00:00"/>
    <n v="19500"/>
    <x v="0"/>
    <n v="19500"/>
    <x v="0"/>
    <s v="Lot 157338"/>
  </r>
  <r>
    <x v="0"/>
    <s v="360366ApP0000338"/>
    <x v="3"/>
    <x v="1"/>
    <d v="2019-06-25T00:00:00"/>
    <n v="5820"/>
    <x v="0"/>
    <n v="5820"/>
    <x v="0"/>
    <s v="Lot 157339"/>
  </r>
  <r>
    <x v="0"/>
    <s v="360366ApP0000341"/>
    <x v="2"/>
    <x v="1"/>
    <d v="2019-06-25T00:00:00"/>
    <n v="19500"/>
    <x v="0"/>
    <n v="19500"/>
    <x v="0"/>
    <s v="Lot 159751"/>
  </r>
  <r>
    <x v="0"/>
    <s v="360366ApP0000341"/>
    <x v="3"/>
    <x v="1"/>
    <d v="2019-06-25T00:00:00"/>
    <n v="5820"/>
    <x v="0"/>
    <n v="5820"/>
    <x v="0"/>
    <s v="Lot 159752"/>
  </r>
  <r>
    <x v="0"/>
    <s v="360366ApP0000346"/>
    <x v="3"/>
    <x v="1"/>
    <d v="2019-07-19T00:00:00"/>
    <n v="5820"/>
    <x v="0"/>
    <n v="5820"/>
    <x v="0"/>
    <s v="Lot 163125"/>
  </r>
  <r>
    <x v="0"/>
    <s v="360366ApP0000346"/>
    <x v="2"/>
    <x v="1"/>
    <d v="2019-07-19T00:00:00"/>
    <n v="19500"/>
    <x v="0"/>
    <n v="19500"/>
    <x v="0"/>
    <s v="Lot 163126"/>
  </r>
  <r>
    <x v="0"/>
    <s v="360366ApP0000348"/>
    <x v="18"/>
    <x v="7"/>
    <d v="2019-07-15T00:00:00"/>
    <n v="5820"/>
    <x v="0"/>
    <n v="5820"/>
    <x v="0"/>
    <s v="Lot 163864"/>
  </r>
  <r>
    <x v="0"/>
    <s v="360366ApP0000348"/>
    <x v="2"/>
    <x v="1"/>
    <d v="2019-07-15T00:00:00"/>
    <n v="13650"/>
    <x v="0"/>
    <n v="13650"/>
    <x v="0"/>
    <s v="Lot 163865"/>
  </r>
  <r>
    <x v="0"/>
    <s v="360366ApP0000348"/>
    <x v="3"/>
    <x v="1"/>
    <d v="2019-07-15T00:00:00"/>
    <n v="5820"/>
    <x v="0"/>
    <n v="5820"/>
    <x v="0"/>
    <s v="Lot 163866"/>
  </r>
  <r>
    <x v="0"/>
    <s v="360366ApP0000351"/>
    <x v="2"/>
    <x v="1"/>
    <d v="2019-07-29T00:00:00"/>
    <n v="19500"/>
    <x v="0"/>
    <n v="19500"/>
    <x v="0"/>
    <s v="Lot 164278"/>
  </r>
  <r>
    <x v="0"/>
    <s v="360366ApP0000351"/>
    <x v="3"/>
    <x v="1"/>
    <d v="2019-07-29T00:00:00"/>
    <n v="5820"/>
    <x v="0"/>
    <n v="5820"/>
    <x v="0"/>
    <s v="Lot 164279"/>
  </r>
  <r>
    <x v="0"/>
    <s v="360366ApP0000359"/>
    <x v="3"/>
    <x v="1"/>
    <d v="2019-08-19T00:00:00"/>
    <n v="3880"/>
    <x v="0"/>
    <n v="3880"/>
    <x v="0"/>
    <s v="Lot 168342"/>
  </r>
  <r>
    <x v="0"/>
    <s v="360366ApP0000359"/>
    <x v="2"/>
    <x v="1"/>
    <d v="2019-08-19T00:00:00"/>
    <n v="21450"/>
    <x v="0"/>
    <n v="21450"/>
    <x v="0"/>
    <s v="Lot 168343"/>
  </r>
  <r>
    <x v="0"/>
    <s v="360366ApP0000361"/>
    <x v="3"/>
    <x v="1"/>
    <d v="2019-08-19T00:00:00"/>
    <n v="23280"/>
    <x v="0"/>
    <n v="23280"/>
    <x v="0"/>
    <s v="Lot 168345"/>
  </r>
  <r>
    <x v="0"/>
    <s v="360366ApP0000379"/>
    <x v="3"/>
    <x v="1"/>
    <d v="2019-09-23T00:00:00"/>
    <n v="23280"/>
    <x v="0"/>
    <n v="23280"/>
    <x v="0"/>
    <s v="Lot 174872"/>
  </r>
  <r>
    <x v="0"/>
    <s v="360366ApP0000382"/>
    <x v="3"/>
    <x v="1"/>
    <d v="2019-10-01T00:00:00"/>
    <n v="5820"/>
    <x v="0"/>
    <n v="5820"/>
    <x v="0"/>
    <s v="Lot 175419"/>
  </r>
  <r>
    <x v="0"/>
    <s v="360366ApP0000382"/>
    <x v="9"/>
    <x v="2"/>
    <d v="2019-10-01T00:00:00"/>
    <n v="3880"/>
    <x v="0"/>
    <n v="3880"/>
    <x v="0"/>
    <s v="Lot 175420"/>
  </r>
  <r>
    <x v="0"/>
    <s v="360366ApP0000382"/>
    <x v="5"/>
    <x v="2"/>
    <d v="2019-10-01T00:00:00"/>
    <n v="3900"/>
    <x v="0"/>
    <n v="3900"/>
    <x v="0"/>
    <s v="Lot 175421"/>
  </r>
  <r>
    <x v="0"/>
    <s v="360366ApP0000392"/>
    <x v="3"/>
    <x v="1"/>
    <d v="2019-10-14T00:00:00"/>
    <n v="15520"/>
    <x v="0"/>
    <n v="15520"/>
    <x v="0"/>
    <s v="Lot 181635"/>
  </r>
  <r>
    <x v="0"/>
    <s v="360366ApP0000392"/>
    <x v="9"/>
    <x v="2"/>
    <d v="2019-10-14T00:00:00"/>
    <n v="7760"/>
    <x v="0"/>
    <n v="7760"/>
    <x v="0"/>
    <s v="Lot 181636"/>
  </r>
  <r>
    <x v="0"/>
    <s v="360366ApP0000392"/>
    <x v="0"/>
    <x v="0"/>
    <d v="2019-10-14T00:00:00"/>
    <n v="1940"/>
    <x v="0"/>
    <n v="1940"/>
    <x v="0"/>
    <s v="Lot 181637"/>
  </r>
  <r>
    <x v="0"/>
    <s v="360368ApP0000460"/>
    <x v="5"/>
    <x v="2"/>
    <d v="2019-04-01T00:00:00"/>
    <n v="5850"/>
    <x v="0"/>
    <n v="5850"/>
    <x v="0"/>
    <s v="Lot 146488"/>
  </r>
  <r>
    <x v="0"/>
    <s v="360368ApP0000460"/>
    <x v="10"/>
    <x v="2"/>
    <d v="2019-04-01T00:00:00"/>
    <n v="3000"/>
    <x v="0"/>
    <n v="3000"/>
    <x v="0"/>
    <s v="Lot 146489"/>
  </r>
  <r>
    <x v="0"/>
    <s v="360368ApP0000460"/>
    <x v="9"/>
    <x v="2"/>
    <d v="2019-04-01T00:00:00"/>
    <n v="1940"/>
    <x v="0"/>
    <n v="1940"/>
    <x v="0"/>
    <s v="Lot 146490"/>
  </r>
  <r>
    <x v="0"/>
    <s v="360368ApP0000536"/>
    <x v="3"/>
    <x v="1"/>
    <d v="2019-09-16T00:00:00"/>
    <n v="13580"/>
    <x v="0"/>
    <n v="13580"/>
    <x v="0"/>
    <s v="Lot 165318"/>
  </r>
  <r>
    <x v="0"/>
    <s v="360368ApP0000536"/>
    <x v="2"/>
    <x v="1"/>
    <d v="2019-09-16T00:00:00"/>
    <n v="3900"/>
    <x v="0"/>
    <n v="3900"/>
    <x v="0"/>
    <s v="Lot 165319"/>
  </r>
  <r>
    <x v="0"/>
    <s v="360368ApP0000536"/>
    <x v="9"/>
    <x v="2"/>
    <d v="2019-09-16T00:00:00"/>
    <n v="1940"/>
    <x v="0"/>
    <n v="1940"/>
    <x v="0"/>
    <s v="Lot 165320"/>
  </r>
  <r>
    <x v="0"/>
    <s v="360368ApP0000536"/>
    <x v="5"/>
    <x v="2"/>
    <d v="2019-09-16T00:00:00"/>
    <n v="7800"/>
    <x v="0"/>
    <n v="7800"/>
    <x v="0"/>
    <s v="Lot 165321"/>
  </r>
  <r>
    <x v="0"/>
    <s v="360368ApP0000536"/>
    <x v="4"/>
    <x v="0"/>
    <d v="2019-09-16T00:00:00"/>
    <n v="5850"/>
    <x v="0"/>
    <n v="5850"/>
    <x v="0"/>
    <s v="Lot 165322"/>
  </r>
  <r>
    <x v="0"/>
    <s v="360369ApP0000483"/>
    <x v="2"/>
    <x v="1"/>
    <d v="2019-04-16T00:00:00"/>
    <n v="23400"/>
    <x v="0"/>
    <n v="23400"/>
    <x v="0"/>
    <s v="Lot 150620"/>
  </r>
  <r>
    <x v="0"/>
    <s v="360369ApP0000483"/>
    <x v="3"/>
    <x v="1"/>
    <d v="2019-04-16T00:00:00"/>
    <n v="1940"/>
    <x v="0"/>
    <n v="1940"/>
    <x v="0"/>
    <s v="Lot 150621"/>
  </r>
  <r>
    <x v="0"/>
    <s v="360369ApP0000501"/>
    <x v="2"/>
    <x v="1"/>
    <d v="2019-05-07T00:00:00"/>
    <n v="25350"/>
    <x v="0"/>
    <n v="25350"/>
    <x v="0"/>
    <s v="Lot 151445"/>
  </r>
  <r>
    <x v="0"/>
    <s v="360369ApP0000509"/>
    <x v="9"/>
    <x v="2"/>
    <d v="2019-05-13T00:00:00"/>
    <n v="7760"/>
    <x v="0"/>
    <n v="7760"/>
    <x v="0"/>
    <s v="Lot 152337"/>
  </r>
  <r>
    <x v="0"/>
    <s v="360369ApP0000509"/>
    <x v="13"/>
    <x v="0"/>
    <d v="2019-05-13T00:00:00"/>
    <n v="1350"/>
    <x v="0"/>
    <n v="1350"/>
    <x v="0"/>
    <s v="Lot 152338"/>
  </r>
  <r>
    <x v="0"/>
    <s v="360369ApP0000511"/>
    <x v="3"/>
    <x v="1"/>
    <d v="2019-05-15T00:00:00"/>
    <n v="1940"/>
    <x v="0"/>
    <n v="1940"/>
    <x v="0"/>
    <s v="Lot 152343"/>
  </r>
  <r>
    <x v="0"/>
    <s v="360369ApP0000511"/>
    <x v="2"/>
    <x v="1"/>
    <d v="2019-05-15T00:00:00"/>
    <n v="15600"/>
    <x v="0"/>
    <n v="15600"/>
    <x v="0"/>
    <s v="Lot 152344"/>
  </r>
  <r>
    <x v="0"/>
    <s v="360369ApP0000511"/>
    <x v="0"/>
    <x v="0"/>
    <d v="2019-05-15T00:00:00"/>
    <n v="3880"/>
    <x v="0"/>
    <n v="3880"/>
    <x v="0"/>
    <s v="Lot 152345"/>
  </r>
  <r>
    <x v="0"/>
    <s v="360369ApP0000511"/>
    <x v="4"/>
    <x v="0"/>
    <d v="2019-05-15T00:00:00"/>
    <n v="3900"/>
    <x v="0"/>
    <n v="3900"/>
    <x v="0"/>
    <s v="Lot 152346"/>
  </r>
  <r>
    <x v="0"/>
    <s v="360369ApP0000518"/>
    <x v="2"/>
    <x v="1"/>
    <d v="2019-05-22T00:00:00"/>
    <n v="25350"/>
    <x v="0"/>
    <n v="25350"/>
    <x v="0"/>
    <s v="Lot 153800"/>
  </r>
  <r>
    <x v="0"/>
    <s v="360369ApP0000522"/>
    <x v="13"/>
    <x v="0"/>
    <d v="2019-06-10T00:00:00"/>
    <n v="3000"/>
    <x v="0"/>
    <n v="3000"/>
    <x v="0"/>
    <s v="Lot 154590"/>
  </r>
  <r>
    <x v="0"/>
    <s v="360369ApP0000524"/>
    <x v="2"/>
    <x v="1"/>
    <d v="2019-05-30T00:00:00"/>
    <n v="25350"/>
    <x v="0"/>
    <n v="25350"/>
    <x v="0"/>
    <s v="Lot 154592"/>
  </r>
  <r>
    <x v="0"/>
    <s v="360369ApP0000528"/>
    <x v="2"/>
    <x v="1"/>
    <d v="2019-05-29T00:00:00"/>
    <n v="25350"/>
    <x v="0"/>
    <n v="25350"/>
    <x v="0"/>
    <s v="Lot 154848"/>
  </r>
  <r>
    <x v="0"/>
    <s v="360369ApP0000530"/>
    <x v="3"/>
    <x v="1"/>
    <d v="2019-06-05T00:00:00"/>
    <n v="3880"/>
    <x v="0"/>
    <n v="3880"/>
    <x v="0"/>
    <s v="Lot 155303"/>
  </r>
  <r>
    <x v="0"/>
    <s v="360369ApP0000530"/>
    <x v="2"/>
    <x v="1"/>
    <d v="2019-06-05T00:00:00"/>
    <n v="1950"/>
    <x v="0"/>
    <n v="1950"/>
    <x v="0"/>
    <s v="Lot 155304"/>
  </r>
  <r>
    <x v="0"/>
    <s v="360369ApP0000530"/>
    <x v="4"/>
    <x v="0"/>
    <d v="2019-06-05T00:00:00"/>
    <n v="19500"/>
    <x v="0"/>
    <n v="19500"/>
    <x v="0"/>
    <s v="Lot 155305"/>
  </r>
  <r>
    <x v="0"/>
    <s v="360369ApP0000554"/>
    <x v="2"/>
    <x v="1"/>
    <d v="2019-06-07T00:00:00"/>
    <n v="25350"/>
    <x v="0"/>
    <n v="25350"/>
    <x v="0"/>
    <s v="Lot 156544"/>
  </r>
  <r>
    <x v="0"/>
    <s v="360369ApP0000556"/>
    <x v="2"/>
    <x v="1"/>
    <d v="2019-06-07T00:00:00"/>
    <n v="25350"/>
    <x v="0"/>
    <n v="25350"/>
    <x v="0"/>
    <s v="Lot 156546"/>
  </r>
  <r>
    <x v="0"/>
    <s v="360369ApP0000558"/>
    <x v="2"/>
    <x v="1"/>
    <d v="2019-06-17T00:00:00"/>
    <n v="25350"/>
    <x v="0"/>
    <n v="25350"/>
    <x v="0"/>
    <s v="Lot 157330"/>
  </r>
  <r>
    <x v="0"/>
    <s v="360369ApP0000558"/>
    <x v="3"/>
    <x v="1"/>
    <d v="2019-06-17T00:00:00"/>
    <n v="19400"/>
    <x v="0"/>
    <n v="19400"/>
    <x v="0"/>
    <s v="Lot 157331"/>
  </r>
  <r>
    <x v="0"/>
    <s v="360369ApP0000560"/>
    <x v="2"/>
    <x v="1"/>
    <d v="2019-06-24T00:00:00"/>
    <n v="50700"/>
    <x v="0"/>
    <n v="50700"/>
    <x v="0"/>
    <s v="Lot 157333"/>
  </r>
  <r>
    <x v="0"/>
    <s v="360369ApP0000565"/>
    <x v="2"/>
    <x v="1"/>
    <d v="2019-07-11T00:00:00"/>
    <n v="50700"/>
    <x v="0"/>
    <n v="50700"/>
    <x v="0"/>
    <s v="Lot 159036"/>
  </r>
  <r>
    <x v="0"/>
    <s v="360369ApP0000570"/>
    <x v="4"/>
    <x v="0"/>
    <d v="2019-08-14T00:00:00"/>
    <n v="38707.5"/>
    <x v="0"/>
    <n v="38707.5"/>
    <x v="0"/>
    <s v="Lot 160457"/>
  </r>
  <r>
    <x v="0"/>
    <s v="360369ApP0000576"/>
    <x v="2"/>
    <x v="1"/>
    <d v="2019-07-17T00:00:00"/>
    <n v="13650"/>
    <x v="0"/>
    <n v="13650"/>
    <x v="0"/>
    <s v="Lot 161766"/>
  </r>
  <r>
    <x v="0"/>
    <s v="360369ApP0000582"/>
    <x v="6"/>
    <x v="3"/>
    <d v="2019-07-31T00:00:00"/>
    <n v="9750"/>
    <x v="0"/>
    <n v="9750"/>
    <x v="0"/>
    <s v="Lot 162980"/>
  </r>
  <r>
    <x v="0"/>
    <s v="360369ApP0000582"/>
    <x v="2"/>
    <x v="1"/>
    <d v="2019-07-31T00:00:00"/>
    <n v="7800"/>
    <x v="0"/>
    <n v="7800"/>
    <x v="0"/>
    <s v="Lot 162981"/>
  </r>
  <r>
    <x v="0"/>
    <s v="360369ApP0000582"/>
    <x v="4"/>
    <x v="0"/>
    <d v="2019-07-31T00:00:00"/>
    <n v="7800"/>
    <x v="0"/>
    <n v="7800"/>
    <x v="0"/>
    <s v="Lot 162982"/>
  </r>
  <r>
    <x v="0"/>
    <s v="360369ApP0000588"/>
    <x v="13"/>
    <x v="0"/>
    <d v="2019-08-06T00:00:00"/>
    <n v="1500"/>
    <x v="0"/>
    <n v="1500"/>
    <x v="0"/>
    <s v="Lot 165083"/>
  </r>
  <r>
    <x v="0"/>
    <s v="360369ApP0000588"/>
    <x v="4"/>
    <x v="0"/>
    <d v="2019-08-06T00:00:00"/>
    <n v="7800"/>
    <x v="0"/>
    <n v="7800"/>
    <x v="0"/>
    <s v="Lot 165084"/>
  </r>
  <r>
    <x v="0"/>
    <s v="360369ApP0000597"/>
    <x v="2"/>
    <x v="1"/>
    <d v="2019-08-28T00:00:00"/>
    <n v="23400"/>
    <x v="0"/>
    <n v="23400"/>
    <x v="0"/>
    <s v="Lot 169549"/>
  </r>
  <r>
    <x v="0"/>
    <s v="360369ApP0000597"/>
    <x v="4"/>
    <x v="0"/>
    <d v="2019-08-28T00:00:00"/>
    <n v="1950"/>
    <x v="0"/>
    <n v="1950"/>
    <x v="0"/>
    <s v="Lot 169550"/>
  </r>
  <r>
    <x v="0"/>
    <s v="360369ApP0000600"/>
    <x v="13"/>
    <x v="0"/>
    <d v="2019-09-03T00:00:00"/>
    <n v="19500"/>
    <x v="0"/>
    <n v="19500"/>
    <x v="0"/>
    <s v="Lot 169552"/>
  </r>
  <r>
    <x v="0"/>
    <s v="360369ApP0000602"/>
    <x v="3"/>
    <x v="1"/>
    <d v="2019-09-02T00:00:00"/>
    <n v="3880"/>
    <x v="0"/>
    <n v="3880"/>
    <x v="0"/>
    <s v="Lot 169976"/>
  </r>
  <r>
    <x v="0"/>
    <s v="360369ApP0000602"/>
    <x v="1"/>
    <x v="1"/>
    <d v="2019-09-02T00:00:00"/>
    <n v="3000"/>
    <x v="0"/>
    <n v="3000"/>
    <x v="0"/>
    <s v="Lot 169977"/>
  </r>
  <r>
    <x v="0"/>
    <s v="360369ApP0000602"/>
    <x v="2"/>
    <x v="1"/>
    <d v="2019-09-02T00:00:00"/>
    <n v="7800"/>
    <x v="0"/>
    <n v="7800"/>
    <x v="0"/>
    <s v="Lot 169978"/>
  </r>
  <r>
    <x v="0"/>
    <s v="360369ApP0000616"/>
    <x v="2"/>
    <x v="1"/>
    <d v="2019-09-24T00:00:00"/>
    <n v="9750"/>
    <x v="0"/>
    <n v="9750"/>
    <x v="0"/>
    <s v="Lot 174958"/>
  </r>
  <r>
    <x v="0"/>
    <s v="360369ApP0000616"/>
    <x v="1"/>
    <x v="1"/>
    <d v="2019-09-24T00:00:00"/>
    <n v="1500"/>
    <x v="0"/>
    <n v="1500"/>
    <x v="0"/>
    <s v="Lot 174959"/>
  </r>
  <r>
    <x v="0"/>
    <s v="360369ApP0000633"/>
    <x v="9"/>
    <x v="2"/>
    <d v="2019-10-11T00:00:00"/>
    <n v="1940"/>
    <x v="0"/>
    <n v="1940"/>
    <x v="0"/>
    <s v="Lot 180253"/>
  </r>
  <r>
    <x v="0"/>
    <s v="360369ApP0000633"/>
    <x v="10"/>
    <x v="2"/>
    <d v="2019-10-11T00:00:00"/>
    <n v="1500"/>
    <x v="0"/>
    <n v="1500"/>
    <x v="0"/>
    <s v="Lot 180254"/>
  </r>
  <r>
    <x v="0"/>
    <s v="360369ApP0000633"/>
    <x v="5"/>
    <x v="2"/>
    <d v="2019-10-11T00:00:00"/>
    <n v="5850"/>
    <x v="0"/>
    <n v="5850"/>
    <x v="0"/>
    <s v="Lot 180255"/>
  </r>
  <r>
    <x v="0"/>
    <s v="360369ApP0000633"/>
    <x v="0"/>
    <x v="0"/>
    <d v="2019-10-11T00:00:00"/>
    <n v="1940"/>
    <x v="0"/>
    <n v="1940"/>
    <x v="0"/>
    <s v="Lot 180256"/>
  </r>
  <r>
    <x v="0"/>
    <s v="360369ApP0000637"/>
    <x v="2"/>
    <x v="1"/>
    <d v="2019-10-08T00:00:00"/>
    <n v="23400"/>
    <x v="0"/>
    <n v="23400"/>
    <x v="0"/>
    <s v="Lot 180585"/>
  </r>
  <r>
    <x v="0"/>
    <s v="360369ApP0000637"/>
    <x v="1"/>
    <x v="1"/>
    <d v="2019-10-08T00:00:00"/>
    <n v="1500"/>
    <x v="0"/>
    <n v="1500"/>
    <x v="0"/>
    <s v="Lot 180586"/>
  </r>
  <r>
    <x v="0"/>
    <s v="360369ApP0000646"/>
    <x v="3"/>
    <x v="1"/>
    <d v="2019-11-18T00:00:00"/>
    <n v="7760"/>
    <x v="0"/>
    <n v="7760"/>
    <x v="0"/>
    <s v="Lot 186868"/>
  </r>
  <r>
    <x v="0"/>
    <s v="360371ApP0000598"/>
    <x v="5"/>
    <x v="2"/>
    <d v="2019-03-18T00:00:00"/>
    <n v="1170"/>
    <x v="0"/>
    <n v="1170"/>
    <x v="0"/>
    <s v="Lot 145279"/>
  </r>
  <r>
    <x v="0"/>
    <s v="360371ApP0000613"/>
    <x v="5"/>
    <x v="2"/>
    <d v="2019-04-08T00:00:00"/>
    <n v="6145"/>
    <x v="0"/>
    <n v="6145"/>
    <x v="0"/>
    <s v="Lot 148371"/>
  </r>
  <r>
    <x v="0"/>
    <s v="360371ApP0000613"/>
    <x v="2"/>
    <x v="1"/>
    <d v="2019-04-08T00:00:00"/>
    <n v="20475"/>
    <x v="0"/>
    <n v="20475"/>
    <x v="0"/>
    <s v="Lot 148372"/>
  </r>
  <r>
    <x v="0"/>
    <s v="360371ApP0000727"/>
    <x v="5"/>
    <x v="2"/>
    <d v="2019-08-21T00:00:00"/>
    <n v="4095"/>
    <x v="0"/>
    <n v="4095"/>
    <x v="0"/>
    <s v="Lot 166700"/>
  </r>
  <r>
    <x v="0"/>
    <s v="360ApP0003755"/>
    <x v="9"/>
    <x v="2"/>
    <d v="2019-01-24T00:00:00"/>
    <n v="4268"/>
    <x v="0"/>
    <n v="4268"/>
    <x v="0"/>
    <s v="Lot 135526"/>
  </r>
  <r>
    <x v="0"/>
    <s v="360ApP0003755"/>
    <x v="3"/>
    <x v="1"/>
    <d v="2019-01-24T00:00:00"/>
    <n v="9603"/>
    <x v="0"/>
    <n v="9603"/>
    <x v="0"/>
    <s v="Lot 135527"/>
  </r>
  <r>
    <x v="0"/>
    <s v="360ApP0003755"/>
    <x v="2"/>
    <x v="1"/>
    <d v="2019-01-24T00:00:00"/>
    <n v="5850"/>
    <x v="0"/>
    <n v="5850"/>
    <x v="0"/>
    <s v="Lot 135528"/>
  </r>
  <r>
    <x v="0"/>
    <s v="360ApP0003761"/>
    <x v="5"/>
    <x v="2"/>
    <d v="2019-01-14T00:00:00"/>
    <n v="7020"/>
    <x v="0"/>
    <n v="7020"/>
    <x v="0"/>
    <s v="Lot 135636"/>
  </r>
  <r>
    <x v="0"/>
    <s v="360ApP0003956"/>
    <x v="5"/>
    <x v="2"/>
    <d v="2019-04-01T00:00:00"/>
    <n v="5850"/>
    <x v="0"/>
    <n v="5850"/>
    <x v="0"/>
    <s v="Lot 146085"/>
  </r>
  <r>
    <x v="0"/>
    <s v="360ApP0003956"/>
    <x v="4"/>
    <x v="0"/>
    <d v="2019-04-01T00:00:00"/>
    <n v="3900"/>
    <x v="0"/>
    <n v="3900"/>
    <x v="0"/>
    <s v="Lot 146086"/>
  </r>
  <r>
    <x v="0"/>
    <s v="360ApP0003956"/>
    <x v="2"/>
    <x v="1"/>
    <d v="2019-04-01T00:00:00"/>
    <n v="15600"/>
    <x v="0"/>
    <n v="15600"/>
    <x v="0"/>
    <s v="Lot 146087"/>
  </r>
  <r>
    <x v="0"/>
    <s v="360ApP0004032"/>
    <x v="10"/>
    <x v="2"/>
    <d v="2019-05-22T00:00:00"/>
    <n v="4500"/>
    <x v="0"/>
    <n v="4500"/>
    <x v="0"/>
    <s v="Lot 153802"/>
  </r>
  <r>
    <x v="0"/>
    <s v="360ApP0004113"/>
    <x v="3"/>
    <x v="1"/>
    <d v="2019-05-17T00:00:00"/>
    <n v="9603"/>
    <x v="0"/>
    <n v="9603"/>
    <x v="0"/>
    <s v="Lot 151470"/>
  </r>
  <r>
    <x v="0"/>
    <s v="360ApP0004113"/>
    <x v="9"/>
    <x v="2"/>
    <d v="2019-05-17T00:00:00"/>
    <n v="5917"/>
    <x v="0"/>
    <n v="5917"/>
    <x v="0"/>
    <s v="Lot 151471"/>
  </r>
  <r>
    <x v="0"/>
    <s v="360ApP0004113"/>
    <x v="2"/>
    <x v="1"/>
    <d v="2019-05-17T00:00:00"/>
    <n v="1950"/>
    <x v="0"/>
    <n v="1950"/>
    <x v="0"/>
    <s v="Lot 151472"/>
  </r>
  <r>
    <x v="0"/>
    <s v="360ApP0004235"/>
    <x v="5"/>
    <x v="2"/>
    <d v="2019-06-03T00:00:00"/>
    <n v="11700"/>
    <x v="0"/>
    <n v="11700"/>
    <x v="0"/>
    <s v="Lot 155297"/>
  </r>
  <r>
    <x v="0"/>
    <s v="360ApP0004330"/>
    <x v="3"/>
    <x v="1"/>
    <d v="2019-07-08T00:00:00"/>
    <n v="5335"/>
    <x v="0"/>
    <n v="5335"/>
    <x v="0"/>
    <s v="Lot 159624"/>
  </r>
  <r>
    <x v="0"/>
    <s v="360ApP0004330"/>
    <x v="9"/>
    <x v="2"/>
    <d v="2019-07-08T00:00:00"/>
    <n v="4268"/>
    <x v="0"/>
    <n v="4268"/>
    <x v="0"/>
    <s v="Lot 159625"/>
  </r>
  <r>
    <x v="0"/>
    <s v="360ApP0004330"/>
    <x v="5"/>
    <x v="2"/>
    <d v="2019-07-08T00:00:00"/>
    <n v="5850"/>
    <x v="0"/>
    <n v="5850"/>
    <x v="0"/>
    <s v="Lot 159626"/>
  </r>
  <r>
    <x v="0"/>
    <s v="360ApP0004330"/>
    <x v="2"/>
    <x v="1"/>
    <d v="2019-07-08T00:00:00"/>
    <n v="5850"/>
    <x v="0"/>
    <n v="5850"/>
    <x v="0"/>
    <s v="Lot 159628"/>
  </r>
  <r>
    <x v="0"/>
    <s v="360ApP0004434"/>
    <x v="2"/>
    <x v="1"/>
    <d v="2019-08-08T00:00:00"/>
    <n v="13650"/>
    <x v="0"/>
    <n v="13650"/>
    <x v="0"/>
    <s v="Lot 164354"/>
  </r>
  <r>
    <x v="0"/>
    <s v="360ApP0004434"/>
    <x v="3"/>
    <x v="1"/>
    <d v="2019-08-08T00:00:00"/>
    <n v="5335"/>
    <x v="0"/>
    <n v="5335"/>
    <x v="0"/>
    <s v="Lot 165801"/>
  </r>
  <r>
    <x v="0"/>
    <s v="360ApP0004434"/>
    <x v="5"/>
    <x v="2"/>
    <d v="2019-08-08T00:00:00"/>
    <n v="3900"/>
    <x v="0"/>
    <n v="3900"/>
    <x v="0"/>
    <s v="Lot 165802"/>
  </r>
  <r>
    <x v="0"/>
    <s v="360ApP0004539"/>
    <x v="9"/>
    <x v="2"/>
    <d v="2019-09-09T00:00:00"/>
    <n v="533.5"/>
    <x v="0"/>
    <n v="533.5"/>
    <x v="0"/>
    <s v="Lot 168786"/>
  </r>
  <r>
    <x v="0"/>
    <s v="360ApP0004539"/>
    <x v="10"/>
    <x v="2"/>
    <d v="2019-09-09T00:00:00"/>
    <n v="9000"/>
    <x v="0"/>
    <n v="9000"/>
    <x v="0"/>
    <s v="Lot 168787"/>
  </r>
  <r>
    <x v="0"/>
    <s v="360ApP0004539"/>
    <x v="3"/>
    <x v="1"/>
    <d v="2019-09-09T00:00:00"/>
    <n v="533.5"/>
    <x v="0"/>
    <n v="533.5"/>
    <x v="0"/>
    <s v="Lot 168788"/>
  </r>
  <r>
    <x v="0"/>
    <s v="360ApP0004539"/>
    <x v="2"/>
    <x v="1"/>
    <d v="2019-09-09T00:00:00"/>
    <n v="11700"/>
    <x v="0"/>
    <n v="11700"/>
    <x v="0"/>
    <s v="Lot 168789"/>
  </r>
  <r>
    <x v="0"/>
    <s v="360ApP0004561"/>
    <x v="9"/>
    <x v="2"/>
    <d v="2019-09-09T00:00:00"/>
    <n v="4268"/>
    <x v="0"/>
    <n v="4268"/>
    <x v="0"/>
    <s v="Lot 170439"/>
  </r>
  <r>
    <x v="0"/>
    <s v="360ApP0004561"/>
    <x v="5"/>
    <x v="2"/>
    <d v="2019-09-09T00:00:00"/>
    <n v="9750"/>
    <x v="0"/>
    <n v="9750"/>
    <x v="0"/>
    <s v="Lot 170440"/>
  </r>
  <r>
    <x v="0"/>
    <s v="360ApP0004561"/>
    <x v="3"/>
    <x v="1"/>
    <d v="2019-09-09T00:00:00"/>
    <n v="6402"/>
    <x v="0"/>
    <n v="6402"/>
    <x v="0"/>
    <s v="Lot 170441"/>
  </r>
  <r>
    <x v="0"/>
    <s v="360SO0007705"/>
    <x v="0"/>
    <x v="0"/>
    <d v="2019-02-13T00:00:00"/>
    <n v="533.5"/>
    <x v="0"/>
    <n v="533.5"/>
    <x v="0"/>
    <s v="Lot 139746"/>
  </r>
  <r>
    <x v="0"/>
    <s v="360SO0007705"/>
    <x v="5"/>
    <x v="2"/>
    <d v="2019-02-13T00:00:00"/>
    <n v="3900"/>
    <x v="0"/>
    <n v="3900"/>
    <x v="0"/>
    <s v="Lot 139747"/>
  </r>
  <r>
    <x v="0"/>
    <s v="360SO0007705"/>
    <x v="4"/>
    <x v="0"/>
    <d v="2019-02-13T00:00:00"/>
    <n v="1950"/>
    <x v="0"/>
    <n v="1950"/>
    <x v="0"/>
    <s v="Lot 139748"/>
  </r>
  <r>
    <x v="0"/>
    <s v="360SO0007705"/>
    <x v="3"/>
    <x v="1"/>
    <d v="2019-02-13T00:00:00"/>
    <n v="1067"/>
    <x v="0"/>
    <n v="1067"/>
    <x v="0"/>
    <s v="Lot 139749"/>
  </r>
  <r>
    <x v="0"/>
    <s v="360SO0007705"/>
    <x v="1"/>
    <x v="1"/>
    <d v="2019-02-13T00:00:00"/>
    <n v="4500"/>
    <x v="0"/>
    <n v="4500"/>
    <x v="0"/>
    <s v="Lot 139750"/>
  </r>
  <r>
    <x v="0"/>
    <s v="360SO0007705"/>
    <x v="2"/>
    <x v="1"/>
    <d v="2019-02-13T00:00:00"/>
    <n v="9750"/>
    <x v="0"/>
    <n v="9750"/>
    <x v="0"/>
    <s v="Lot 139751"/>
  </r>
  <r>
    <x v="0"/>
    <s v="363ApP0000742"/>
    <x v="3"/>
    <x v="1"/>
    <d v="2019-10-30T00:00:00"/>
    <n v="388"/>
    <x v="0"/>
    <n v="388"/>
    <x v="0"/>
    <s v="Lot 183624"/>
  </r>
  <r>
    <x v="0"/>
    <s v="363ApP0000763"/>
    <x v="3"/>
    <x v="1"/>
    <d v="2019-10-31T00:00:00"/>
    <n v="388"/>
    <x v="0"/>
    <n v="388"/>
    <x v="0"/>
    <s v="Lot 185269"/>
  </r>
  <r>
    <x v="0"/>
    <s v="SO0002170"/>
    <x v="5"/>
    <x v="2"/>
    <d v="2019-01-10T00:00:00"/>
    <n v="1365"/>
    <x v="0"/>
    <n v="1365"/>
    <x v="0"/>
    <s v="Lot 135811"/>
  </r>
  <r>
    <x v="0"/>
    <s v="SO0002173"/>
    <x v="1"/>
    <x v="1"/>
    <d v="2019-01-16T00:00:00"/>
    <n v="75"/>
    <x v="0"/>
    <n v="75"/>
    <x v="0"/>
    <s v="Lot 136058"/>
  </r>
  <r>
    <x v="0"/>
    <s v="SO0002176"/>
    <x v="3"/>
    <x v="1"/>
    <d v="2019-01-24T00:00:00"/>
    <n v="485"/>
    <x v="0"/>
    <n v="485"/>
    <x v="0"/>
    <s v="Lot 136514"/>
  </r>
  <r>
    <x v="0"/>
    <s v="SO0002176"/>
    <x v="1"/>
    <x v="1"/>
    <d v="2019-01-24T00:00:00"/>
    <n v="225"/>
    <x v="0"/>
    <n v="225"/>
    <x v="0"/>
    <s v="Lot 136515"/>
  </r>
  <r>
    <x v="0"/>
    <s v="SO0002178"/>
    <x v="3"/>
    <x v="1"/>
    <d v="2019-01-25T00:00:00"/>
    <n v="-485"/>
    <x v="0"/>
    <n v="-485"/>
    <x v="0"/>
    <s v="Lot 137304"/>
  </r>
  <r>
    <x v="0"/>
    <s v="SO0002178"/>
    <x v="1"/>
    <x v="1"/>
    <d v="2019-01-25T00:00:00"/>
    <n v="-225"/>
    <x v="0"/>
    <n v="-225"/>
    <x v="0"/>
    <s v="Lot 137305"/>
  </r>
  <r>
    <x v="0"/>
    <s v="SO0002179"/>
    <x v="3"/>
    <x v="1"/>
    <d v="2019-01-25T00:00:00"/>
    <n v="485"/>
    <x v="0"/>
    <n v="485"/>
    <x v="0"/>
    <s v="Lot 137306"/>
  </r>
  <r>
    <x v="0"/>
    <s v="SO0002179"/>
    <x v="1"/>
    <x v="1"/>
    <d v="2019-01-25T00:00:00"/>
    <n v="225"/>
    <x v="0"/>
    <n v="225"/>
    <x v="0"/>
    <s v="Lot 137307"/>
  </r>
  <r>
    <x v="0"/>
    <s v="SO0002193"/>
    <x v="2"/>
    <x v="1"/>
    <d v="2019-02-20T00:00:00"/>
    <n v="195"/>
    <x v="0"/>
    <n v="195"/>
    <x v="0"/>
    <s v="Lot 141538"/>
  </r>
  <r>
    <x v="0"/>
    <s v="SO0002195"/>
    <x v="5"/>
    <x v="2"/>
    <d v="2019-02-21T00:00:00"/>
    <n v="390"/>
    <x v="0"/>
    <n v="390"/>
    <x v="0"/>
    <s v="Lot 141797"/>
  </r>
  <r>
    <x v="0"/>
    <s v="SO0002198"/>
    <x v="5"/>
    <x v="2"/>
    <d v="2019-02-22T00:00:00"/>
    <n v="292.5"/>
    <x v="0"/>
    <n v="292.5"/>
    <x v="0"/>
    <s v="Lot 142075"/>
  </r>
  <r>
    <x v="0"/>
    <s v="SO0002199"/>
    <x v="5"/>
    <x v="2"/>
    <d v="2019-02-25T00:00:00"/>
    <n v="1170"/>
    <x v="0"/>
    <n v="1170"/>
    <x v="0"/>
    <s v="Lot 142076"/>
  </r>
  <r>
    <x v="0"/>
    <s v="SO0002203"/>
    <x v="9"/>
    <x v="2"/>
    <d v="2019-03-05T00:00:00"/>
    <n v="48.5"/>
    <x v="0"/>
    <n v="48.5"/>
    <x v="0"/>
    <s v="Lot 143363"/>
  </r>
  <r>
    <x v="0"/>
    <s v="SO0002203"/>
    <x v="10"/>
    <x v="2"/>
    <d v="2019-03-05T00:00:00"/>
    <n v="825"/>
    <x v="0"/>
    <n v="825"/>
    <x v="0"/>
    <s v="Lot 143364"/>
  </r>
  <r>
    <x v="0"/>
    <s v="SO0002203"/>
    <x v="5"/>
    <x v="2"/>
    <d v="2019-03-05T00:00:00"/>
    <n v="3900"/>
    <x v="0"/>
    <n v="3900"/>
    <x v="0"/>
    <s v="Lot 143365"/>
  </r>
  <r>
    <x v="0"/>
    <s v="SO0002204"/>
    <x v="10"/>
    <x v="2"/>
    <d v="2019-03-06T00:00:00"/>
    <n v="6825"/>
    <x v="0"/>
    <n v="6825"/>
    <x v="0"/>
    <s v="Lot 143859"/>
  </r>
  <r>
    <x v="0"/>
    <s v="SO0002205"/>
    <x v="2"/>
    <x v="1"/>
    <d v="2019-03-06T00:00:00"/>
    <n v="487.5"/>
    <x v="0"/>
    <n v="487.5"/>
    <x v="0"/>
    <s v="Lot 143860"/>
  </r>
  <r>
    <x v="0"/>
    <s v="SO0002206"/>
    <x v="11"/>
    <x v="3"/>
    <d v="2019-03-11T00:00:00"/>
    <n v="48.5"/>
    <x v="0"/>
    <n v="48.5"/>
    <x v="0"/>
    <s v="Lot 144331"/>
  </r>
  <r>
    <x v="0"/>
    <s v="SO0002206"/>
    <x v="7"/>
    <x v="3"/>
    <d v="2019-03-11T00:00:00"/>
    <n v="75"/>
    <x v="0"/>
    <n v="75"/>
    <x v="0"/>
    <s v="Lot 144332"/>
  </r>
  <r>
    <x v="0"/>
    <s v="SO0002208"/>
    <x v="3"/>
    <x v="1"/>
    <d v="2019-03-12T00:00:00"/>
    <n v="485"/>
    <x v="0"/>
    <n v="485"/>
    <x v="0"/>
    <s v="Lot 144619"/>
  </r>
  <r>
    <x v="0"/>
    <s v="SO0002209"/>
    <x v="3"/>
    <x v="1"/>
    <d v="2019-03-12T00:00:00"/>
    <n v="145.5"/>
    <x v="0"/>
    <n v="145.5"/>
    <x v="0"/>
    <s v="Lot 144620"/>
  </r>
  <r>
    <x v="0"/>
    <s v="SO0002209"/>
    <x v="1"/>
    <x v="1"/>
    <d v="2019-03-12T00:00:00"/>
    <n v="1500"/>
    <x v="0"/>
    <n v="1500"/>
    <x v="0"/>
    <s v="Lot 144621"/>
  </r>
  <r>
    <x v="0"/>
    <s v="SO0002210"/>
    <x v="3"/>
    <x v="1"/>
    <d v="2019-03-13T00:00:00"/>
    <n v="4025.5"/>
    <x v="0"/>
    <n v="4025.5"/>
    <x v="0"/>
    <s v="Lot 144852"/>
  </r>
  <r>
    <x v="0"/>
    <s v="SO0002213"/>
    <x v="5"/>
    <x v="2"/>
    <d v="2019-03-18T00:00:00"/>
    <n v="10042.5"/>
    <x v="0"/>
    <n v="10042.5"/>
    <x v="0"/>
    <s v="Lot 145474"/>
  </r>
  <r>
    <x v="0"/>
    <s v="SO0002214"/>
    <x v="5"/>
    <x v="2"/>
    <d v="2019-03-19T00:00:00"/>
    <n v="22425"/>
    <x v="0"/>
    <n v="22425"/>
    <x v="0"/>
    <s v="Lot 145475"/>
  </r>
  <r>
    <x v="0"/>
    <s v="SO0002215"/>
    <x v="2"/>
    <x v="1"/>
    <d v="2019-03-20T00:00:00"/>
    <n v="10042.5"/>
    <x v="0"/>
    <n v="10042.5"/>
    <x v="0"/>
    <s v="Lot 145609"/>
  </r>
  <r>
    <x v="0"/>
    <s v="SO0002216"/>
    <x v="3"/>
    <x v="1"/>
    <d v="2019-03-20T00:00:00"/>
    <n v="48.5"/>
    <x v="0"/>
    <n v="48.5"/>
    <x v="0"/>
    <s v="Lot 145963"/>
  </r>
  <r>
    <x v="0"/>
    <s v="SO0002217"/>
    <x v="5"/>
    <x v="2"/>
    <d v="2019-03-25T00:00:00"/>
    <n v="2535"/>
    <x v="0"/>
    <n v="2535"/>
    <x v="0"/>
    <s v="Lot 146082"/>
  </r>
  <r>
    <x v="0"/>
    <s v="SO0002218"/>
    <x v="2"/>
    <x v="1"/>
    <d v="2019-03-25T00:00:00"/>
    <n v="195"/>
    <x v="0"/>
    <n v="195"/>
    <x v="0"/>
    <s v="Lot 146083"/>
  </r>
  <r>
    <x v="0"/>
    <s v="SO0002219"/>
    <x v="3"/>
    <x v="1"/>
    <d v="2019-03-25T00:00:00"/>
    <n v="97"/>
    <x v="0"/>
    <n v="97"/>
    <x v="0"/>
    <s v="Lot 146091"/>
  </r>
  <r>
    <x v="0"/>
    <s v="SO0002219"/>
    <x v="2"/>
    <x v="1"/>
    <d v="2019-03-25T00:00:00"/>
    <n v="292.5"/>
    <x v="0"/>
    <n v="292.5"/>
    <x v="0"/>
    <s v="Lot 146092"/>
  </r>
  <r>
    <x v="0"/>
    <s v="SO0002220"/>
    <x v="1"/>
    <x v="1"/>
    <d v="2019-03-26T00:00:00"/>
    <n v="225"/>
    <x v="0"/>
    <n v="225"/>
    <x v="0"/>
    <s v="Lot 146395"/>
  </r>
  <r>
    <x v="0"/>
    <s v="SO0002224"/>
    <x v="2"/>
    <x v="1"/>
    <d v="2019-03-28T00:00:00"/>
    <n v="14040"/>
    <x v="0"/>
    <n v="14040"/>
    <x v="0"/>
    <s v="Lot 147312"/>
  </r>
  <r>
    <x v="0"/>
    <s v="SO0002226"/>
    <x v="5"/>
    <x v="2"/>
    <d v="2019-03-29T00:00:00"/>
    <n v="2925"/>
    <x v="0"/>
    <n v="2925"/>
    <x v="0"/>
    <s v="Lot 147571"/>
  </r>
  <r>
    <x v="0"/>
    <s v="SO0002227"/>
    <x v="5"/>
    <x v="2"/>
    <d v="2019-04-01T00:00:00"/>
    <n v="4095"/>
    <x v="0"/>
    <n v="4095"/>
    <x v="0"/>
    <s v="Lot 148362"/>
  </r>
  <r>
    <x v="0"/>
    <s v="SO0002228"/>
    <x v="2"/>
    <x v="1"/>
    <d v="2019-04-01T00:00:00"/>
    <n v="2437.5"/>
    <x v="0"/>
    <n v="2437.5"/>
    <x v="0"/>
    <s v="Lot 148363"/>
  </r>
  <r>
    <x v="0"/>
    <s v="SO0002229"/>
    <x v="2"/>
    <x v="1"/>
    <d v="2019-04-01T00:00:00"/>
    <n v="682.5"/>
    <x v="0"/>
    <n v="682.5"/>
    <x v="0"/>
    <s v="Lot 148364"/>
  </r>
  <r>
    <x v="0"/>
    <s v="SO0002230"/>
    <x v="10"/>
    <x v="2"/>
    <d v="2019-04-01T00:00:00"/>
    <n v="15000"/>
    <x v="0"/>
    <n v="15000"/>
    <x v="0"/>
    <s v="Lot 148366"/>
  </r>
  <r>
    <x v="0"/>
    <s v="SO0002231"/>
    <x v="3"/>
    <x v="1"/>
    <d v="2019-04-03T00:00:00"/>
    <n v="679"/>
    <x v="0"/>
    <n v="679"/>
    <x v="0"/>
    <s v="Lot 148374"/>
  </r>
  <r>
    <x v="0"/>
    <s v="SO0002232"/>
    <x v="10"/>
    <x v="2"/>
    <d v="2019-04-04T00:00:00"/>
    <n v="5025"/>
    <x v="0"/>
    <n v="5025"/>
    <x v="0"/>
    <s v="Lot 148528"/>
  </r>
  <r>
    <x v="0"/>
    <s v="SO0002235"/>
    <x v="9"/>
    <x v="2"/>
    <d v="2019-04-08T00:00:00"/>
    <n v="776"/>
    <x v="0"/>
    <n v="776"/>
    <x v="0"/>
    <s v="Lot 149555"/>
  </r>
  <r>
    <x v="0"/>
    <s v="SO0002235"/>
    <x v="5"/>
    <x v="2"/>
    <d v="2019-04-08T00:00:00"/>
    <n v="3120"/>
    <x v="0"/>
    <n v="3120"/>
    <x v="0"/>
    <s v="Lot 149556"/>
  </r>
  <r>
    <x v="0"/>
    <s v="SO0002236"/>
    <x v="5"/>
    <x v="2"/>
    <d v="2019-04-08T00:00:00"/>
    <n v="585"/>
    <x v="0"/>
    <n v="585"/>
    <x v="0"/>
    <s v="Lot 149557"/>
  </r>
  <r>
    <x v="0"/>
    <s v="SO0002236"/>
    <x v="3"/>
    <x v="1"/>
    <d v="2019-04-08T00:00:00"/>
    <n v="485"/>
    <x v="0"/>
    <n v="485"/>
    <x v="0"/>
    <s v="Lot 149558"/>
  </r>
  <r>
    <x v="0"/>
    <s v="SO0002237"/>
    <x v="1"/>
    <x v="1"/>
    <d v="2019-04-08T00:00:00"/>
    <n v="2700"/>
    <x v="0"/>
    <n v="2700"/>
    <x v="0"/>
    <s v="Lot 149577"/>
  </r>
  <r>
    <x v="0"/>
    <s v="SO0002241"/>
    <x v="5"/>
    <x v="2"/>
    <d v="2019-04-12T00:00:00"/>
    <n v="487.5"/>
    <x v="0"/>
    <n v="487.5"/>
    <x v="0"/>
    <s v="Lot 150207"/>
  </r>
  <r>
    <x v="0"/>
    <s v="SO0002243"/>
    <x v="2"/>
    <x v="1"/>
    <d v="2019-04-15T00:00:00"/>
    <n v="195"/>
    <x v="0"/>
    <n v="195"/>
    <x v="0"/>
    <s v="Lot 150409"/>
  </r>
  <r>
    <x v="0"/>
    <s v="SO0002244"/>
    <x v="10"/>
    <x v="2"/>
    <d v="2019-04-11T00:00:00"/>
    <n v="1125"/>
    <x v="0"/>
    <n v="1125"/>
    <x v="0"/>
    <s v="Lot 150410"/>
  </r>
  <r>
    <x v="0"/>
    <s v="SO0002245"/>
    <x v="8"/>
    <x v="4"/>
    <d v="2019-04-15T00:00:00"/>
    <n v="2145"/>
    <x v="0"/>
    <n v="2145"/>
    <x v="0"/>
    <s v="Lot 150414"/>
  </r>
  <r>
    <x v="0"/>
    <s v="SO0002246"/>
    <x v="3"/>
    <x v="1"/>
    <d v="2019-04-15T00:00:00"/>
    <n v="485"/>
    <x v="0"/>
    <n v="485"/>
    <x v="0"/>
    <s v="Lot 150602"/>
  </r>
  <r>
    <x v="0"/>
    <s v="SO0002246"/>
    <x v="2"/>
    <x v="1"/>
    <d v="2019-04-15T00:00:00"/>
    <n v="10042.5"/>
    <x v="0"/>
    <n v="10042.5"/>
    <x v="0"/>
    <s v="Lot 150603"/>
  </r>
  <r>
    <x v="0"/>
    <s v="SO0002247"/>
    <x v="7"/>
    <x v="3"/>
    <d v="2019-04-16T00:00:00"/>
    <n v="2550"/>
    <x v="0"/>
    <n v="2550"/>
    <x v="0"/>
    <s v="Lot 150615"/>
  </r>
  <r>
    <x v="0"/>
    <s v="SO0002247"/>
    <x v="6"/>
    <x v="3"/>
    <d v="2019-04-16T00:00:00"/>
    <n v="390"/>
    <x v="0"/>
    <n v="390"/>
    <x v="0"/>
    <s v="Lot 150616"/>
  </r>
  <r>
    <x v="0"/>
    <s v="SO0002248"/>
    <x v="3"/>
    <x v="1"/>
    <d v="2019-04-16T00:00:00"/>
    <n v="533.5"/>
    <x v="0"/>
    <n v="533.5"/>
    <x v="0"/>
    <s v="Lot 150617"/>
  </r>
  <r>
    <x v="0"/>
    <s v="SO0002248"/>
    <x v="1"/>
    <x v="1"/>
    <d v="2019-04-16T00:00:00"/>
    <n v="975"/>
    <x v="0"/>
    <n v="975"/>
    <x v="0"/>
    <s v="Lot 150618"/>
  </r>
  <r>
    <x v="0"/>
    <s v="SO0002248"/>
    <x v="2"/>
    <x v="1"/>
    <d v="2019-04-16T00:00:00"/>
    <n v="4290"/>
    <x v="0"/>
    <n v="4290"/>
    <x v="0"/>
    <s v="Lot 150619"/>
  </r>
  <r>
    <x v="0"/>
    <s v="SO0002249"/>
    <x v="5"/>
    <x v="2"/>
    <d v="2019-04-16T00:00:00"/>
    <n v="50700"/>
    <x v="0"/>
    <n v="50700"/>
    <x v="0"/>
    <s v="Lot 150803"/>
  </r>
  <r>
    <x v="0"/>
    <s v="SO0002250"/>
    <x v="2"/>
    <x v="1"/>
    <d v="2019-04-16T00:00:00"/>
    <n v="50017.5"/>
    <x v="0"/>
    <n v="50017.5"/>
    <x v="0"/>
    <s v="Lot 150804"/>
  </r>
  <r>
    <x v="0"/>
    <s v="SO0002251"/>
    <x v="3"/>
    <x v="1"/>
    <d v="2019-04-16T00:00:00"/>
    <n v="2667.5"/>
    <x v="0"/>
    <n v="2667.5"/>
    <x v="0"/>
    <s v="Lot 150805"/>
  </r>
  <r>
    <x v="0"/>
    <s v="SO0002251"/>
    <x v="2"/>
    <x v="1"/>
    <d v="2019-04-16T00:00:00"/>
    <n v="26520"/>
    <x v="0"/>
    <n v="26520"/>
    <x v="0"/>
    <s v="Lot 150806"/>
  </r>
  <r>
    <x v="0"/>
    <s v="SO0002252"/>
    <x v="9"/>
    <x v="2"/>
    <d v="2019-04-15T00:00:00"/>
    <n v="1164"/>
    <x v="0"/>
    <n v="1164"/>
    <x v="0"/>
    <s v="Lot 150807"/>
  </r>
  <r>
    <x v="0"/>
    <s v="SO0002252"/>
    <x v="5"/>
    <x v="2"/>
    <d v="2019-04-15T00:00:00"/>
    <n v="2340"/>
    <x v="0"/>
    <n v="2340"/>
    <x v="0"/>
    <s v="Lot 150808"/>
  </r>
  <r>
    <x v="0"/>
    <s v="SO0002253"/>
    <x v="2"/>
    <x v="1"/>
    <d v="2019-04-16T00:00:00"/>
    <n v="1950"/>
    <x v="0"/>
    <n v="1950"/>
    <x v="0"/>
    <s v="Lot 150809"/>
  </r>
  <r>
    <x v="0"/>
    <s v="SO0002254"/>
    <x v="5"/>
    <x v="2"/>
    <d v="2019-04-17T00:00:00"/>
    <n v="1267.5"/>
    <x v="0"/>
    <n v="1267.5"/>
    <x v="0"/>
    <s v="Lot 150990"/>
  </r>
  <r>
    <x v="0"/>
    <s v="SO0002254"/>
    <x v="10"/>
    <x v="2"/>
    <d v="2019-04-17T00:00:00"/>
    <n v="3000"/>
    <x v="0"/>
    <n v="3000"/>
    <x v="0"/>
    <s v="Lot 150991"/>
  </r>
  <r>
    <x v="0"/>
    <s v="SO0002257"/>
    <x v="5"/>
    <x v="2"/>
    <d v="2019-05-06T00:00:00"/>
    <n v="1950"/>
    <x v="0"/>
    <n v="1950"/>
    <x v="0"/>
    <s v="Lot 151512"/>
  </r>
  <r>
    <x v="0"/>
    <s v="SO0002257"/>
    <x v="2"/>
    <x v="1"/>
    <d v="2019-05-06T00:00:00"/>
    <n v="3900"/>
    <x v="0"/>
    <n v="3900"/>
    <x v="0"/>
    <s v="Lot 151513"/>
  </r>
  <r>
    <x v="0"/>
    <s v="SO0002258"/>
    <x v="5"/>
    <x v="2"/>
    <d v="2019-05-06T00:00:00"/>
    <n v="292.5"/>
    <x v="0"/>
    <n v="292.5"/>
    <x v="0"/>
    <s v="Lot 151514"/>
  </r>
  <r>
    <x v="0"/>
    <s v="SO0002260"/>
    <x v="3"/>
    <x v="1"/>
    <d v="2019-05-06T00:00:00"/>
    <n v="97"/>
    <x v="0"/>
    <n v="97"/>
    <x v="0"/>
    <s v="Lot 151522"/>
  </r>
  <r>
    <x v="0"/>
    <s v="SO0002260"/>
    <x v="2"/>
    <x v="1"/>
    <d v="2019-05-06T00:00:00"/>
    <n v="682.5"/>
    <x v="0"/>
    <n v="682.5"/>
    <x v="0"/>
    <s v="Lot 151523"/>
  </r>
  <r>
    <x v="0"/>
    <s v="SO0002262"/>
    <x v="9"/>
    <x v="2"/>
    <d v="2019-05-06T00:00:00"/>
    <n v="2425"/>
    <x v="0"/>
    <n v="2425"/>
    <x v="0"/>
    <s v="Lot 151755"/>
  </r>
  <r>
    <x v="0"/>
    <s v="SO0002262"/>
    <x v="5"/>
    <x v="2"/>
    <d v="2019-05-06T00:00:00"/>
    <n v="19500"/>
    <x v="0"/>
    <n v="19500"/>
    <x v="0"/>
    <s v="Lot 151756"/>
  </r>
  <r>
    <x v="0"/>
    <s v="SO0002263"/>
    <x v="3"/>
    <x v="1"/>
    <d v="2019-05-06T00:00:00"/>
    <n v="145.5"/>
    <x v="0"/>
    <n v="145.5"/>
    <x v="0"/>
    <s v="Lot 151757"/>
  </r>
  <r>
    <x v="0"/>
    <s v="SO0002265"/>
    <x v="5"/>
    <x v="2"/>
    <d v="2019-05-06T00:00:00"/>
    <n v="-1950"/>
    <x v="0"/>
    <n v="-1950"/>
    <x v="0"/>
    <s v="Lot 151801"/>
  </r>
  <r>
    <x v="0"/>
    <s v="SO0002265"/>
    <x v="2"/>
    <x v="1"/>
    <d v="2019-05-06T00:00:00"/>
    <n v="-3900"/>
    <x v="0"/>
    <n v="-3900"/>
    <x v="0"/>
    <s v="Lot 151802"/>
  </r>
  <r>
    <x v="0"/>
    <s v="SO0002266"/>
    <x v="5"/>
    <x v="2"/>
    <d v="2019-05-06T00:00:00"/>
    <n v="1950"/>
    <x v="0"/>
    <n v="1950"/>
    <x v="0"/>
    <s v="Lot 151803"/>
  </r>
  <r>
    <x v="0"/>
    <s v="SO0002266"/>
    <x v="2"/>
    <x v="1"/>
    <d v="2019-05-06T00:00:00"/>
    <n v="3900"/>
    <x v="0"/>
    <n v="3900"/>
    <x v="0"/>
    <s v="Lot 151804"/>
  </r>
  <r>
    <x v="0"/>
    <s v="SO0002268"/>
    <x v="5"/>
    <x v="2"/>
    <d v="2019-05-06T00:00:00"/>
    <n v="682.5"/>
    <x v="0"/>
    <n v="682.5"/>
    <x v="0"/>
    <s v="Lot 151947"/>
  </r>
  <r>
    <x v="0"/>
    <s v="SO0002269"/>
    <x v="5"/>
    <x v="2"/>
    <d v="2019-05-08T00:00:00"/>
    <n v="2535"/>
    <x v="0"/>
    <n v="2535"/>
    <x v="0"/>
    <s v="Lot 151948"/>
  </r>
  <r>
    <x v="0"/>
    <s v="SO0002270"/>
    <x v="5"/>
    <x v="2"/>
    <d v="2019-05-08T00:00:00"/>
    <n v="10042.5"/>
    <x v="0"/>
    <n v="10042.5"/>
    <x v="0"/>
    <s v="Lot 151949"/>
  </r>
  <r>
    <x v="0"/>
    <s v="SO0002271"/>
    <x v="5"/>
    <x v="2"/>
    <d v="2019-05-08T00:00:00"/>
    <n v="2535"/>
    <x v="0"/>
    <n v="2535"/>
    <x v="0"/>
    <s v="Lot 151950"/>
  </r>
  <r>
    <x v="0"/>
    <s v="SO0002272"/>
    <x v="8"/>
    <x v="4"/>
    <d v="2019-05-08T00:00:00"/>
    <n v="4290"/>
    <x v="0"/>
    <n v="4290"/>
    <x v="0"/>
    <s v="Lot 151951"/>
  </r>
  <r>
    <x v="0"/>
    <s v="SO0002273"/>
    <x v="5"/>
    <x v="2"/>
    <d v="2019-05-08T00:00:00"/>
    <n v="97.5"/>
    <x v="0"/>
    <n v="97.5"/>
    <x v="0"/>
    <s v="Lot 151952"/>
  </r>
  <r>
    <x v="0"/>
    <s v="SO0002274"/>
    <x v="2"/>
    <x v="1"/>
    <d v="2019-05-09T00:00:00"/>
    <n v="195"/>
    <x v="0"/>
    <n v="195"/>
    <x v="0"/>
    <s v="Lot 152075"/>
  </r>
  <r>
    <x v="0"/>
    <s v="SO0002276"/>
    <x v="5"/>
    <x v="2"/>
    <d v="2019-05-10T00:00:00"/>
    <n v="1950"/>
    <x v="0"/>
    <n v="1950"/>
    <x v="0"/>
    <s v="Lot 152150"/>
  </r>
  <r>
    <x v="0"/>
    <s v="SO0002276"/>
    <x v="2"/>
    <x v="1"/>
    <d v="2019-05-10T00:00:00"/>
    <n v="3900"/>
    <x v="0"/>
    <n v="3900"/>
    <x v="0"/>
    <s v="Lot 152151"/>
  </r>
  <r>
    <x v="0"/>
    <s v="SO0002278"/>
    <x v="8"/>
    <x v="4"/>
    <d v="2019-05-10T00:00:00"/>
    <n v="195"/>
    <x v="0"/>
    <n v="195"/>
    <x v="0"/>
    <s v="Lot 152340"/>
  </r>
  <r>
    <x v="0"/>
    <s v="SO0002279"/>
    <x v="12"/>
    <x v="5"/>
    <d v="2019-05-10T00:00:00"/>
    <n v="780"/>
    <x v="0"/>
    <n v="780"/>
    <x v="0"/>
    <s v="Lot 152341"/>
  </r>
  <r>
    <x v="0"/>
    <s v="SO0002281"/>
    <x v="2"/>
    <x v="1"/>
    <d v="2019-05-13T00:00:00"/>
    <n v="682.5"/>
    <x v="0"/>
    <n v="682.5"/>
    <x v="0"/>
    <s v="Lot 152348"/>
  </r>
  <r>
    <x v="0"/>
    <s v="SO0002282"/>
    <x v="3"/>
    <x v="1"/>
    <d v="2019-05-13T00:00:00"/>
    <n v="1552"/>
    <x v="0"/>
    <n v="1552"/>
    <x v="0"/>
    <s v="Lot 152550"/>
  </r>
  <r>
    <x v="0"/>
    <s v="SO0002282"/>
    <x v="19"/>
    <x v="8"/>
    <d v="2019-05-13T00:00:00"/>
    <n v="194"/>
    <x v="0"/>
    <n v="194"/>
    <x v="0"/>
    <s v="Lot 152551"/>
  </r>
  <r>
    <x v="0"/>
    <s v="SO0002283"/>
    <x v="1"/>
    <x v="1"/>
    <d v="2019-05-13T00:00:00"/>
    <n v="6000"/>
    <x v="0"/>
    <n v="6000"/>
    <x v="0"/>
    <s v="Lot 152553"/>
  </r>
  <r>
    <x v="0"/>
    <s v="SO0002283"/>
    <x v="1"/>
    <x v="1"/>
    <d v="2019-05-14T00:00:00"/>
    <n v="6000"/>
    <x v="0"/>
    <n v="6000"/>
    <x v="0"/>
    <s v="Lot 152734"/>
  </r>
  <r>
    <x v="0"/>
    <s v="SO0002284"/>
    <x v="9"/>
    <x v="2"/>
    <d v="2019-05-13T00:00:00"/>
    <n v="-3880"/>
    <x v="0"/>
    <n v="-3880"/>
    <x v="0"/>
    <s v="Lot 152554"/>
  </r>
  <r>
    <x v="0"/>
    <s v="SO0002284"/>
    <x v="10"/>
    <x v="2"/>
    <d v="2019-05-13T00:00:00"/>
    <n v="-6000"/>
    <x v="0"/>
    <n v="-6000"/>
    <x v="0"/>
    <s v="Lot 152555"/>
  </r>
  <r>
    <x v="0"/>
    <s v="SO0002284"/>
    <x v="5"/>
    <x v="2"/>
    <d v="2019-05-13T00:00:00"/>
    <n v="-13650"/>
    <x v="0"/>
    <n v="-13650"/>
    <x v="0"/>
    <s v="Lot 152556"/>
  </r>
  <r>
    <x v="0"/>
    <s v="SO0002288"/>
    <x v="8"/>
    <x v="4"/>
    <d v="2019-05-16T00:00:00"/>
    <n v="5265"/>
    <x v="0"/>
    <n v="5265"/>
    <x v="0"/>
    <s v="Lot 152907"/>
  </r>
  <r>
    <x v="0"/>
    <s v="SO0002294"/>
    <x v="6"/>
    <x v="3"/>
    <d v="2019-05-20T00:00:00"/>
    <n v="15600"/>
    <x v="0"/>
    <n v="15600"/>
    <x v="0"/>
    <s v="Lot 153294"/>
  </r>
  <r>
    <x v="0"/>
    <s v="SO0002294"/>
    <x v="8"/>
    <x v="4"/>
    <d v="2019-05-20T00:00:00"/>
    <n v="2925"/>
    <x v="0"/>
    <n v="2925"/>
    <x v="0"/>
    <s v="Lot 153295"/>
  </r>
  <r>
    <x v="0"/>
    <s v="SO0002296"/>
    <x v="5"/>
    <x v="2"/>
    <d v="2019-05-17T00:00:00"/>
    <n v="975"/>
    <x v="0"/>
    <n v="975"/>
    <x v="0"/>
    <s v="Lot 153446"/>
  </r>
  <r>
    <x v="0"/>
    <s v="SO0002297"/>
    <x v="2"/>
    <x v="1"/>
    <d v="2019-05-22T00:00:00"/>
    <n v="6337.5"/>
    <x v="0"/>
    <n v="6337.5"/>
    <x v="0"/>
    <s v="Lot 153472"/>
  </r>
  <r>
    <x v="0"/>
    <s v="SO0002298"/>
    <x v="3"/>
    <x v="1"/>
    <d v="2019-05-23T00:00:00"/>
    <n v="582"/>
    <x v="0"/>
    <n v="582"/>
    <x v="0"/>
    <s v="Lot 154196"/>
  </r>
  <r>
    <x v="0"/>
    <s v="SO0002299"/>
    <x v="5"/>
    <x v="2"/>
    <d v="2019-05-23T00:00:00"/>
    <n v="5167.5"/>
    <x v="0"/>
    <n v="5167.5"/>
    <x v="0"/>
    <s v="Lot 154197"/>
  </r>
  <r>
    <x v="0"/>
    <s v="SO0002300"/>
    <x v="3"/>
    <x v="1"/>
    <d v="2019-05-23T00:00:00"/>
    <n v="2716"/>
    <x v="0"/>
    <n v="2716"/>
    <x v="0"/>
    <s v="Lot 154198"/>
  </r>
  <r>
    <x v="0"/>
    <s v="SO0002304"/>
    <x v="12"/>
    <x v="5"/>
    <d v="2019-05-24T00:00:00"/>
    <n v="5070"/>
    <x v="0"/>
    <n v="5070"/>
    <x v="0"/>
    <s v="Lot 154846"/>
  </r>
  <r>
    <x v="0"/>
    <s v="SO0002305"/>
    <x v="1"/>
    <x v="1"/>
    <d v="2019-05-24T00:00:00"/>
    <n v="2025"/>
    <x v="0"/>
    <n v="2025"/>
    <x v="0"/>
    <s v="Lot 154847"/>
  </r>
  <r>
    <x v="0"/>
    <s v="SO0002306"/>
    <x v="5"/>
    <x v="2"/>
    <d v="2019-05-28T00:00:00"/>
    <n v="-4095"/>
    <x v="0"/>
    <n v="-4095"/>
    <x v="0"/>
    <s v="Lot 155032"/>
  </r>
  <r>
    <x v="0"/>
    <s v="SO0002307"/>
    <x v="5"/>
    <x v="2"/>
    <d v="2019-05-28T00:00:00"/>
    <n v="4095"/>
    <x v="0"/>
    <n v="4095"/>
    <x v="0"/>
    <s v="Lot 155033"/>
  </r>
  <r>
    <x v="0"/>
    <s v="SO0002308"/>
    <x v="9"/>
    <x v="2"/>
    <d v="2019-05-21T00:00:00"/>
    <n v="2182.5"/>
    <x v="0"/>
    <n v="2182.5"/>
    <x v="0"/>
    <s v="Lot 155034"/>
  </r>
  <r>
    <x v="0"/>
    <s v="SO0002308"/>
    <x v="5"/>
    <x v="2"/>
    <d v="2019-05-21T00:00:00"/>
    <n v="4875"/>
    <x v="0"/>
    <n v="4875"/>
    <x v="0"/>
    <s v="Lot 155035"/>
  </r>
  <r>
    <x v="0"/>
    <s v="SO0002309"/>
    <x v="14"/>
    <x v="6"/>
    <d v="2019-05-27T00:00:00"/>
    <n v="150"/>
    <x v="0"/>
    <n v="150"/>
    <x v="0"/>
    <s v="Lot 155036"/>
  </r>
  <r>
    <x v="0"/>
    <s v="SO0002310"/>
    <x v="2"/>
    <x v="1"/>
    <d v="2019-05-28T00:00:00"/>
    <n v="585"/>
    <x v="0"/>
    <n v="585"/>
    <x v="0"/>
    <s v="Lot 155037"/>
  </r>
  <r>
    <x v="0"/>
    <s v="SO0002315"/>
    <x v="3"/>
    <x v="1"/>
    <d v="2019-06-03T00:00:00"/>
    <n v="921.5"/>
    <x v="0"/>
    <n v="921.5"/>
    <x v="0"/>
    <s v="Lot 155638"/>
  </r>
  <r>
    <x v="0"/>
    <s v="SO0002315"/>
    <x v="2"/>
    <x v="1"/>
    <d v="2019-06-03T00:00:00"/>
    <n v="2730"/>
    <x v="0"/>
    <n v="2730"/>
    <x v="0"/>
    <s v="Lot 155639"/>
  </r>
  <r>
    <x v="0"/>
    <s v="SO0002316"/>
    <x v="5"/>
    <x v="2"/>
    <d v="2019-06-03T00:00:00"/>
    <n v="1365"/>
    <x v="0"/>
    <n v="1365"/>
    <x v="0"/>
    <s v="Lot 155676"/>
  </r>
  <r>
    <x v="0"/>
    <s v="SO0002317"/>
    <x v="2"/>
    <x v="1"/>
    <d v="2019-06-03T00:00:00"/>
    <n v="5362.5"/>
    <x v="0"/>
    <n v="5362.5"/>
    <x v="0"/>
    <s v="Lot 155695"/>
  </r>
  <r>
    <x v="0"/>
    <s v="SO0002318"/>
    <x v="2"/>
    <x v="1"/>
    <d v="2019-06-04T00:00:00"/>
    <n v="195"/>
    <x v="0"/>
    <n v="195"/>
    <x v="0"/>
    <s v="Lot 156096"/>
  </r>
  <r>
    <x v="0"/>
    <s v="SO0002320"/>
    <x v="5"/>
    <x v="2"/>
    <d v="2019-06-05T00:00:00"/>
    <n v="3217.5"/>
    <x v="0"/>
    <n v="3217.5"/>
    <x v="0"/>
    <s v="Lot 156335"/>
  </r>
  <r>
    <x v="0"/>
    <s v="SO0002321"/>
    <x v="3"/>
    <x v="1"/>
    <d v="2019-06-05T00:00:00"/>
    <n v="2522"/>
    <x v="0"/>
    <n v="2522"/>
    <x v="0"/>
    <s v="Lot 156361"/>
  </r>
  <r>
    <x v="0"/>
    <s v="SO0002323"/>
    <x v="10"/>
    <x v="2"/>
    <d v="2019-06-05T00:00:00"/>
    <n v="1050"/>
    <x v="0"/>
    <n v="1050"/>
    <x v="0"/>
    <s v="Lot 156539"/>
  </r>
  <r>
    <x v="0"/>
    <s v="SO0002323"/>
    <x v="5"/>
    <x v="2"/>
    <d v="2019-06-05T00:00:00"/>
    <n v="487.5"/>
    <x v="0"/>
    <n v="487.5"/>
    <x v="0"/>
    <s v="Lot 156540"/>
  </r>
  <r>
    <x v="0"/>
    <s v="SO0002324"/>
    <x v="1"/>
    <x v="1"/>
    <d v="2019-06-05T00:00:00"/>
    <n v="1800"/>
    <x v="0"/>
    <n v="1800"/>
    <x v="0"/>
    <s v="Lot 156542"/>
  </r>
  <r>
    <x v="0"/>
    <s v="SO0002324"/>
    <x v="2"/>
    <x v="1"/>
    <d v="2019-06-05T00:00:00"/>
    <n v="7020"/>
    <x v="0"/>
    <n v="7020"/>
    <x v="0"/>
    <s v="Lot 156543"/>
  </r>
  <r>
    <x v="0"/>
    <s v="SO0002326"/>
    <x v="2"/>
    <x v="1"/>
    <d v="2019-06-06T00:00:00"/>
    <n v="15600"/>
    <x v="0"/>
    <n v="15600"/>
    <x v="0"/>
    <s v="Lot 156906"/>
  </r>
  <r>
    <x v="0"/>
    <s v="SO0002327"/>
    <x v="5"/>
    <x v="2"/>
    <d v="2019-06-06T00:00:00"/>
    <n v="585"/>
    <x v="0"/>
    <n v="585"/>
    <x v="0"/>
    <s v="Lot 157117"/>
  </r>
  <r>
    <x v="0"/>
    <s v="SO0002328"/>
    <x v="2"/>
    <x v="1"/>
    <d v="2019-06-10T00:00:00"/>
    <n v="877.5"/>
    <x v="0"/>
    <n v="877.5"/>
    <x v="0"/>
    <s v="Lot 157118"/>
  </r>
  <r>
    <x v="0"/>
    <s v="SO0002329"/>
    <x v="3"/>
    <x v="1"/>
    <d v="2019-06-10T00:00:00"/>
    <n v="776"/>
    <x v="0"/>
    <n v="776"/>
    <x v="0"/>
    <s v="Lot 157119"/>
  </r>
  <r>
    <x v="0"/>
    <s v="SO0002329"/>
    <x v="2"/>
    <x v="1"/>
    <d v="2019-06-10T00:00:00"/>
    <n v="2535"/>
    <x v="0"/>
    <n v="2535"/>
    <x v="0"/>
    <s v="Lot 157120"/>
  </r>
  <r>
    <x v="0"/>
    <s v="SO0002330"/>
    <x v="2"/>
    <x v="1"/>
    <d v="2019-06-10T00:00:00"/>
    <n v="19207.5"/>
    <x v="0"/>
    <n v="19207.5"/>
    <x v="0"/>
    <s v="Lot 157121"/>
  </r>
  <r>
    <x v="0"/>
    <s v="SO0002332"/>
    <x v="1"/>
    <x v="1"/>
    <d v="2019-06-11T00:00:00"/>
    <n v="900"/>
    <x v="0"/>
    <n v="900"/>
    <x v="0"/>
    <s v="Lot 157341"/>
  </r>
  <r>
    <x v="0"/>
    <s v="SO0002332"/>
    <x v="2"/>
    <x v="1"/>
    <d v="2019-06-11T00:00:00"/>
    <n v="585"/>
    <x v="0"/>
    <n v="585"/>
    <x v="0"/>
    <s v="Lot 157342"/>
  </r>
  <r>
    <x v="0"/>
    <s v="SO0002333"/>
    <x v="3"/>
    <x v="1"/>
    <d v="2019-06-11T00:00:00"/>
    <n v="388"/>
    <x v="0"/>
    <n v="388"/>
    <x v="0"/>
    <s v="Lot 157495"/>
  </r>
  <r>
    <x v="0"/>
    <s v="SO0002335"/>
    <x v="5"/>
    <x v="2"/>
    <d v="2019-06-12T00:00:00"/>
    <n v="975"/>
    <x v="0"/>
    <n v="975"/>
    <x v="0"/>
    <s v="Lot 157536"/>
  </r>
  <r>
    <x v="0"/>
    <s v="SO0002338"/>
    <x v="5"/>
    <x v="2"/>
    <d v="2019-06-11T00:00:00"/>
    <n v="13260"/>
    <x v="0"/>
    <n v="13260"/>
    <x v="0"/>
    <s v="Lot 157738"/>
  </r>
  <r>
    <x v="0"/>
    <s v="SO0002339"/>
    <x v="2"/>
    <x v="1"/>
    <d v="2019-06-12T00:00:00"/>
    <n v="9750"/>
    <x v="0"/>
    <n v="9750"/>
    <x v="0"/>
    <s v="Lot 157758"/>
  </r>
  <r>
    <x v="0"/>
    <s v="SO0002341"/>
    <x v="3"/>
    <x v="1"/>
    <d v="2019-06-13T00:00:00"/>
    <n v="2522"/>
    <x v="0"/>
    <n v="2522"/>
    <x v="0"/>
    <s v="Lot 157889"/>
  </r>
  <r>
    <x v="0"/>
    <s v="SO0002341"/>
    <x v="2"/>
    <x v="1"/>
    <d v="2019-06-13T00:00:00"/>
    <n v="15210"/>
    <x v="0"/>
    <n v="15210"/>
    <x v="0"/>
    <s v="Lot 157890"/>
  </r>
  <r>
    <x v="0"/>
    <s v="SO0002342"/>
    <x v="2"/>
    <x v="1"/>
    <d v="2019-06-14T00:00:00"/>
    <n v="3900"/>
    <x v="0"/>
    <n v="3900"/>
    <x v="0"/>
    <s v="Lot 158663"/>
  </r>
  <r>
    <x v="0"/>
    <s v="SO0002343"/>
    <x v="2"/>
    <x v="1"/>
    <d v="2019-06-14T00:00:00"/>
    <n v="1950"/>
    <x v="0"/>
    <n v="1950"/>
    <x v="0"/>
    <s v="Lot 158664"/>
  </r>
  <r>
    <x v="0"/>
    <s v="SO0002343"/>
    <x v="19"/>
    <x v="8"/>
    <d v="2019-06-14T00:00:00"/>
    <n v="1500"/>
    <x v="0"/>
    <n v="1500"/>
    <x v="0"/>
    <s v="Lot 158665"/>
  </r>
  <r>
    <x v="0"/>
    <s v="SO0002344"/>
    <x v="5"/>
    <x v="2"/>
    <d v="2019-06-14T00:00:00"/>
    <n v="2535"/>
    <x v="0"/>
    <n v="2535"/>
    <x v="0"/>
    <s v="Lot 158667"/>
  </r>
  <r>
    <x v="0"/>
    <s v="SO0002344"/>
    <x v="8"/>
    <x v="4"/>
    <d v="2019-06-14T00:00:00"/>
    <n v="7800"/>
    <x v="0"/>
    <n v="7800"/>
    <x v="0"/>
    <s v="Lot 158668"/>
  </r>
  <r>
    <x v="0"/>
    <s v="SO0002345"/>
    <x v="2"/>
    <x v="1"/>
    <d v="2019-06-17T00:00:00"/>
    <n v="877.5"/>
    <x v="0"/>
    <n v="877.5"/>
    <x v="0"/>
    <s v="Lot 159168"/>
  </r>
  <r>
    <x v="0"/>
    <s v="SO0002346"/>
    <x v="5"/>
    <x v="2"/>
    <d v="2019-06-18T00:00:00"/>
    <n v="97.5"/>
    <x v="0"/>
    <n v="97.5"/>
    <x v="0"/>
    <s v="Lot 159422"/>
  </r>
  <r>
    <x v="0"/>
    <s v="SO0002349"/>
    <x v="2"/>
    <x v="1"/>
    <d v="2019-06-24T00:00:00"/>
    <n v="3900"/>
    <x v="0"/>
    <n v="3900"/>
    <x v="0"/>
    <s v="Lot 159757"/>
  </r>
  <r>
    <x v="0"/>
    <s v="SO0002350"/>
    <x v="3"/>
    <x v="1"/>
    <d v="2019-06-24T00:00:00"/>
    <n v="7808.5"/>
    <x v="0"/>
    <n v="7808.5"/>
    <x v="0"/>
    <s v="Lot 159758"/>
  </r>
  <r>
    <x v="0"/>
    <s v="SO0002350"/>
    <x v="2"/>
    <x v="1"/>
    <d v="2019-06-24T00:00:00"/>
    <n v="12285"/>
    <x v="0"/>
    <n v="12285"/>
    <x v="0"/>
    <s v="Lot 159759"/>
  </r>
  <r>
    <x v="0"/>
    <s v="SO0002351"/>
    <x v="2"/>
    <x v="1"/>
    <d v="2019-06-24T00:00:00"/>
    <n v="9750"/>
    <x v="0"/>
    <n v="9750"/>
    <x v="0"/>
    <s v="Lot 159760"/>
  </r>
  <r>
    <x v="0"/>
    <s v="SO0002352"/>
    <x v="2"/>
    <x v="1"/>
    <d v="2019-06-24T00:00:00"/>
    <n v="-19305"/>
    <x v="0"/>
    <n v="-19305"/>
    <x v="0"/>
    <s v="Lot 159845"/>
  </r>
  <r>
    <x v="0"/>
    <s v="SO0002352"/>
    <x v="3"/>
    <x v="1"/>
    <d v="2019-06-24T00:00:00"/>
    <n v="-4268"/>
    <x v="0"/>
    <n v="-4268"/>
    <x v="0"/>
    <s v="Lot 159846"/>
  </r>
  <r>
    <x v="0"/>
    <s v="SO0002352"/>
    <x v="11"/>
    <x v="3"/>
    <d v="2019-06-24T00:00:00"/>
    <n v="-2134"/>
    <x v="0"/>
    <n v="-2134"/>
    <x v="0"/>
    <s v="Lot 159847"/>
  </r>
  <r>
    <x v="0"/>
    <s v="SO0002352"/>
    <x v="9"/>
    <x v="2"/>
    <d v="2019-06-24T00:00:00"/>
    <n v="-2134"/>
    <x v="0"/>
    <n v="-2134"/>
    <x v="0"/>
    <s v="Lot 159848"/>
  </r>
  <r>
    <x v="0"/>
    <s v="SO0002353"/>
    <x v="2"/>
    <x v="1"/>
    <d v="2019-06-24T00:00:00"/>
    <n v="4680"/>
    <x v="0"/>
    <n v="4680"/>
    <x v="0"/>
    <s v="Lot 159854"/>
  </r>
  <r>
    <x v="0"/>
    <s v="SO0002354"/>
    <x v="5"/>
    <x v="2"/>
    <d v="2019-06-24T00:00:00"/>
    <n v="585"/>
    <x v="0"/>
    <n v="585"/>
    <x v="0"/>
    <s v="Lot 159855"/>
  </r>
  <r>
    <x v="0"/>
    <s v="SO0002355"/>
    <x v="2"/>
    <x v="1"/>
    <d v="2019-06-25T00:00:00"/>
    <n v="6240"/>
    <x v="0"/>
    <n v="6240"/>
    <x v="0"/>
    <s v="Lot 159856"/>
  </r>
  <r>
    <x v="0"/>
    <s v="SO0002356"/>
    <x v="8"/>
    <x v="4"/>
    <d v="2019-06-27T00:00:00"/>
    <n v="15600"/>
    <x v="0"/>
    <n v="15600"/>
    <x v="0"/>
    <s v="Lot 160436"/>
  </r>
  <r>
    <x v="0"/>
    <s v="SO0002356"/>
    <x v="6"/>
    <x v="3"/>
    <d v="2019-06-27T00:00:00"/>
    <n v="3900"/>
    <x v="0"/>
    <n v="3900"/>
    <x v="0"/>
    <s v="Lot 160437"/>
  </r>
  <r>
    <x v="0"/>
    <s v="SO0002356"/>
    <x v="8"/>
    <x v="4"/>
    <d v="2019-06-27T00:00:00"/>
    <n v="1950"/>
    <x v="0"/>
    <n v="1950"/>
    <x v="0"/>
    <s v="Lot 160438"/>
  </r>
  <r>
    <x v="0"/>
    <s v="SO0002359"/>
    <x v="5"/>
    <x v="2"/>
    <d v="2019-07-01T00:00:00"/>
    <n v="3607.5"/>
    <x v="0"/>
    <n v="3607.5"/>
    <x v="0"/>
    <s v="Lot 161768"/>
  </r>
  <r>
    <x v="0"/>
    <s v="SO0002360"/>
    <x v="2"/>
    <x v="1"/>
    <d v="2019-07-16T00:00:00"/>
    <n v="3900"/>
    <x v="0"/>
    <n v="3900"/>
    <x v="0"/>
    <s v="Lot 161769"/>
  </r>
  <r>
    <x v="0"/>
    <s v="SO0002361"/>
    <x v="1"/>
    <x v="1"/>
    <d v="2019-07-01T00:00:00"/>
    <n v="1350"/>
    <x v="0"/>
    <n v="1350"/>
    <x v="0"/>
    <s v="Lot 161770"/>
  </r>
  <r>
    <x v="0"/>
    <s v="SO0002361"/>
    <x v="2"/>
    <x v="1"/>
    <d v="2019-07-01T00:00:00"/>
    <n v="1755"/>
    <x v="0"/>
    <n v="1755"/>
    <x v="0"/>
    <s v="Lot 161771"/>
  </r>
  <r>
    <x v="0"/>
    <s v="SO0002362"/>
    <x v="2"/>
    <x v="1"/>
    <d v="2019-07-01T00:00:00"/>
    <n v="11700"/>
    <x v="0"/>
    <n v="11700"/>
    <x v="0"/>
    <s v="Lot 162259"/>
  </r>
  <r>
    <x v="0"/>
    <s v="SO0002363"/>
    <x v="5"/>
    <x v="2"/>
    <d v="2019-07-02T00:00:00"/>
    <n v="22425"/>
    <x v="0"/>
    <n v="22425"/>
    <x v="0"/>
    <s v="Lot 162261"/>
  </r>
  <r>
    <x v="0"/>
    <s v="SO0002364"/>
    <x v="5"/>
    <x v="2"/>
    <d v="2019-07-02T00:00:00"/>
    <n v="11992.5"/>
    <x v="0"/>
    <n v="11992.5"/>
    <x v="0"/>
    <s v="Lot 162462"/>
  </r>
  <r>
    <x v="0"/>
    <s v="SO0002364"/>
    <x v="20"/>
    <x v="9"/>
    <d v="2019-07-02T00:00:00"/>
    <n v="550"/>
    <x v="0"/>
    <n v="550"/>
    <x v="0"/>
    <s v="Lot 162463"/>
  </r>
  <r>
    <x v="0"/>
    <s v="SO0002365"/>
    <x v="2"/>
    <x v="1"/>
    <d v="2019-07-03T00:00:00"/>
    <n v="487.5"/>
    <x v="0"/>
    <n v="487.5"/>
    <x v="0"/>
    <s v="Lot 162464"/>
  </r>
  <r>
    <x v="0"/>
    <s v="SO0002365"/>
    <x v="2"/>
    <x v="1"/>
    <d v="2019-07-03T00:00:00"/>
    <n v="-487.5"/>
    <x v="0"/>
    <n v="-487.5"/>
    <x v="0"/>
    <s v="Lot 162466"/>
  </r>
  <r>
    <x v="0"/>
    <s v="SO0002366"/>
    <x v="2"/>
    <x v="1"/>
    <d v="2019-07-03T00:00:00"/>
    <n v="4485"/>
    <x v="0"/>
    <n v="4485"/>
    <x v="0"/>
    <s v="Lot 162465"/>
  </r>
  <r>
    <x v="0"/>
    <s v="SO0002367"/>
    <x v="3"/>
    <x v="1"/>
    <d v="2019-07-03T00:00:00"/>
    <n v="485"/>
    <x v="0"/>
    <n v="485"/>
    <x v="0"/>
    <s v="Lot 162467"/>
  </r>
  <r>
    <x v="0"/>
    <s v="SO0002368"/>
    <x v="6"/>
    <x v="3"/>
    <d v="2019-07-04T00:00:00"/>
    <n v="97.5"/>
    <x v="0"/>
    <n v="97.5"/>
    <x v="0"/>
    <s v="Lot 162760"/>
  </r>
  <r>
    <x v="0"/>
    <s v="SO0002369"/>
    <x v="5"/>
    <x v="2"/>
    <d v="2019-07-05T00:00:00"/>
    <n v="97.5"/>
    <x v="0"/>
    <n v="97.5"/>
    <x v="0"/>
    <s v="Lot 162860"/>
  </r>
  <r>
    <x v="0"/>
    <s v="SO0002371"/>
    <x v="9"/>
    <x v="2"/>
    <d v="2019-07-08T00:00:00"/>
    <n v="3686"/>
    <x v="0"/>
    <n v="3686"/>
    <x v="0"/>
    <s v="Lot 163082"/>
  </r>
  <r>
    <x v="0"/>
    <s v="SO0002373"/>
    <x v="2"/>
    <x v="1"/>
    <d v="2019-07-08T00:00:00"/>
    <n v="9750"/>
    <x v="0"/>
    <n v="9750"/>
    <x v="0"/>
    <s v="Lot 163084"/>
  </r>
  <r>
    <x v="0"/>
    <s v="SO0002374"/>
    <x v="2"/>
    <x v="1"/>
    <d v="2019-07-08T00:00:00"/>
    <n v="3997.5"/>
    <x v="0"/>
    <n v="3997.5"/>
    <x v="0"/>
    <s v="Lot 163085"/>
  </r>
  <r>
    <x v="0"/>
    <s v="SO0002375"/>
    <x v="2"/>
    <x v="1"/>
    <d v="2019-07-08T00:00:00"/>
    <n v="3997.5"/>
    <x v="0"/>
    <n v="3997.5"/>
    <x v="0"/>
    <s v="Lot 163086"/>
  </r>
  <r>
    <x v="0"/>
    <s v="SO0002375"/>
    <x v="1"/>
    <x v="1"/>
    <d v="2019-07-08T00:00:00"/>
    <n v="2025"/>
    <x v="0"/>
    <n v="2025"/>
    <x v="0"/>
    <s v="Lot 163087"/>
  </r>
  <r>
    <x v="0"/>
    <s v="SO0002376"/>
    <x v="2"/>
    <x v="1"/>
    <d v="2019-07-08T00:00:00"/>
    <n v="390"/>
    <x v="0"/>
    <n v="390"/>
    <x v="0"/>
    <s v="Lot 163104"/>
  </r>
  <r>
    <x v="0"/>
    <s v="SO0002377"/>
    <x v="2"/>
    <x v="1"/>
    <d v="2019-07-08T00:00:00"/>
    <n v="1950"/>
    <x v="0"/>
    <n v="1950"/>
    <x v="0"/>
    <s v="Lot 163105"/>
  </r>
  <r>
    <x v="0"/>
    <s v="SO0002377"/>
    <x v="3"/>
    <x v="1"/>
    <d v="2019-07-08T00:00:00"/>
    <n v="970"/>
    <x v="0"/>
    <n v="970"/>
    <x v="0"/>
    <s v="Lot 163106"/>
  </r>
  <r>
    <x v="0"/>
    <s v="SO0002379"/>
    <x v="3"/>
    <x v="1"/>
    <d v="2019-07-09T00:00:00"/>
    <n v="485"/>
    <x v="0"/>
    <n v="485"/>
    <x v="0"/>
    <s v="Lot 163130"/>
  </r>
  <r>
    <x v="0"/>
    <s v="SO0002379"/>
    <x v="2"/>
    <x v="1"/>
    <d v="2019-07-09T00:00:00"/>
    <n v="1950"/>
    <x v="0"/>
    <n v="1950"/>
    <x v="0"/>
    <s v="Lot 163131"/>
  </r>
  <r>
    <x v="0"/>
    <s v="SO0002380"/>
    <x v="4"/>
    <x v="0"/>
    <d v="2019-07-09T00:00:00"/>
    <n v="-5850"/>
    <x v="0"/>
    <n v="-5850"/>
    <x v="0"/>
    <s v="Lot 163138"/>
  </r>
  <r>
    <x v="0"/>
    <s v="SO0002380"/>
    <x v="15"/>
    <x v="6"/>
    <d v="2019-07-09T00:00:00"/>
    <n v="-8730"/>
    <x v="0"/>
    <n v="-8730"/>
    <x v="0"/>
    <s v="Lot 163139"/>
  </r>
  <r>
    <x v="0"/>
    <s v="SO0002382"/>
    <x v="2"/>
    <x v="1"/>
    <d v="2019-07-09T00:00:00"/>
    <n v="487.5"/>
    <x v="0"/>
    <n v="487.5"/>
    <x v="0"/>
    <s v="Lot 163862"/>
  </r>
  <r>
    <x v="0"/>
    <s v="SO0002383"/>
    <x v="5"/>
    <x v="2"/>
    <d v="2019-07-10T00:00:00"/>
    <n v="3900"/>
    <x v="0"/>
    <n v="3900"/>
    <x v="0"/>
    <s v="Lot 163863"/>
  </r>
  <r>
    <x v="0"/>
    <s v="SO0002384"/>
    <x v="3"/>
    <x v="1"/>
    <d v="2019-07-10T00:00:00"/>
    <n v="436.5"/>
    <x v="0"/>
    <n v="436.5"/>
    <x v="0"/>
    <s v="Lot 163936"/>
  </r>
  <r>
    <x v="0"/>
    <s v="SO0002384"/>
    <x v="5"/>
    <x v="2"/>
    <d v="2019-07-10T00:00:00"/>
    <n v="873"/>
    <x v="0"/>
    <n v="873"/>
    <x v="0"/>
    <s v="Lot 163983"/>
  </r>
  <r>
    <x v="0"/>
    <s v="SO0002385"/>
    <x v="2"/>
    <x v="1"/>
    <d v="2019-07-11T00:00:00"/>
    <n v="5850"/>
    <x v="0"/>
    <n v="5850"/>
    <x v="0"/>
    <s v="Lot 164121"/>
  </r>
  <r>
    <x v="0"/>
    <s v="SO0002387"/>
    <x v="2"/>
    <x v="1"/>
    <d v="2019-07-12T00:00:00"/>
    <n v="1950"/>
    <x v="0"/>
    <n v="1950"/>
    <x v="0"/>
    <s v="Lot 164265"/>
  </r>
  <r>
    <x v="0"/>
    <s v="SO0002389"/>
    <x v="6"/>
    <x v="3"/>
    <d v="2019-07-12T00:00:00"/>
    <n v="5947.5"/>
    <x v="0"/>
    <n v="5947.5"/>
    <x v="0"/>
    <s v="Lot 164271"/>
  </r>
  <r>
    <x v="0"/>
    <s v="SO0002389"/>
    <x v="7"/>
    <x v="3"/>
    <d v="2019-07-12T00:00:00"/>
    <n v="9075"/>
    <x v="0"/>
    <n v="9075"/>
    <x v="0"/>
    <s v="Lot 164272"/>
  </r>
  <r>
    <x v="0"/>
    <s v="SO0002389"/>
    <x v="11"/>
    <x v="3"/>
    <d v="2019-07-12T00:00:00"/>
    <n v="1503.5"/>
    <x v="0"/>
    <n v="1503.5"/>
    <x v="0"/>
    <s v="Lot 164273"/>
  </r>
  <r>
    <x v="0"/>
    <s v="SO0002389"/>
    <x v="19"/>
    <x v="8"/>
    <d v="2019-07-12T00:00:00"/>
    <n v="1500"/>
    <x v="0"/>
    <n v="1500"/>
    <x v="0"/>
    <s v="Lot 164274"/>
  </r>
  <r>
    <x v="0"/>
    <s v="SO0002390"/>
    <x v="2"/>
    <x v="1"/>
    <d v="2019-07-12T00:00:00"/>
    <n v="5167.5"/>
    <x v="0"/>
    <n v="5167.5"/>
    <x v="0"/>
    <s v="Lot 164275"/>
  </r>
  <r>
    <x v="0"/>
    <s v="SO0002392"/>
    <x v="2"/>
    <x v="1"/>
    <d v="2019-07-12T00:00:00"/>
    <n v="5070"/>
    <x v="0"/>
    <n v="5070"/>
    <x v="0"/>
    <s v="Lot 164315"/>
  </r>
  <r>
    <x v="0"/>
    <s v="SO0002393"/>
    <x v="4"/>
    <x v="0"/>
    <d v="2019-07-15T00:00:00"/>
    <n v="487.5"/>
    <x v="0"/>
    <n v="487.5"/>
    <x v="0"/>
    <s v="Lot 164352"/>
  </r>
  <r>
    <x v="0"/>
    <s v="SO0002394"/>
    <x v="4"/>
    <x v="0"/>
    <d v="2019-07-15T00:00:00"/>
    <n v="97.5"/>
    <x v="0"/>
    <n v="97.5"/>
    <x v="0"/>
    <s v="Lot 164353"/>
  </r>
  <r>
    <x v="0"/>
    <s v="SO0002396"/>
    <x v="2"/>
    <x v="1"/>
    <d v="2019-07-16T00:00:00"/>
    <n v="25057.5"/>
    <x v="0"/>
    <n v="25057.5"/>
    <x v="0"/>
    <s v="Lot 164684"/>
  </r>
  <r>
    <x v="0"/>
    <s v="SO0002397"/>
    <x v="5"/>
    <x v="2"/>
    <d v="2019-07-16T00:00:00"/>
    <n v="975"/>
    <x v="0"/>
    <n v="975"/>
    <x v="0"/>
    <s v="Lot 164723"/>
  </r>
  <r>
    <x v="0"/>
    <s v="SO0002398"/>
    <x v="9"/>
    <x v="2"/>
    <d v="2019-07-17T00:00:00"/>
    <n v="1697.5"/>
    <x v="0"/>
    <n v="1697.5"/>
    <x v="0"/>
    <s v="Lot 164895"/>
  </r>
  <r>
    <x v="0"/>
    <s v="SO0002398"/>
    <x v="10"/>
    <x v="2"/>
    <d v="2019-07-17T00:00:00"/>
    <n v="3975"/>
    <x v="0"/>
    <n v="3975"/>
    <x v="0"/>
    <s v="Lot 164896"/>
  </r>
  <r>
    <x v="0"/>
    <s v="SO0002398"/>
    <x v="5"/>
    <x v="2"/>
    <d v="2019-07-17T00:00:00"/>
    <n v="6922.5"/>
    <x v="0"/>
    <n v="6922.5"/>
    <x v="0"/>
    <s v="Lot 164897"/>
  </r>
  <r>
    <x v="0"/>
    <s v="SO0002399"/>
    <x v="10"/>
    <x v="2"/>
    <d v="2019-07-17T00:00:00"/>
    <n v="4050"/>
    <x v="0"/>
    <n v="4050"/>
    <x v="0"/>
    <s v="Lot 164898"/>
  </r>
  <r>
    <x v="0"/>
    <s v="SO0002400"/>
    <x v="3"/>
    <x v="1"/>
    <d v="2019-07-17T00:00:00"/>
    <n v="533.5"/>
    <x v="0"/>
    <n v="533.5"/>
    <x v="0"/>
    <s v="Lot 164899"/>
  </r>
  <r>
    <x v="0"/>
    <s v="SO0002400"/>
    <x v="2"/>
    <x v="1"/>
    <d v="2019-07-17T00:00:00"/>
    <n v="5752.5"/>
    <x v="0"/>
    <n v="5752.5"/>
    <x v="0"/>
    <s v="Lot 164900"/>
  </r>
  <r>
    <x v="0"/>
    <s v="SO0002401"/>
    <x v="5"/>
    <x v="2"/>
    <d v="2019-07-18T00:00:00"/>
    <n v="97.5"/>
    <x v="0"/>
    <n v="97.5"/>
    <x v="0"/>
    <s v="Lot 165324"/>
  </r>
  <r>
    <x v="0"/>
    <s v="SO0002406"/>
    <x v="3"/>
    <x v="1"/>
    <d v="2019-07-18T00:00:00"/>
    <n v="48.5"/>
    <x v="0"/>
    <n v="48.5"/>
    <x v="0"/>
    <s v="Lot 165348"/>
  </r>
  <r>
    <x v="0"/>
    <s v="SO0002407"/>
    <x v="19"/>
    <x v="8"/>
    <d v="2019-07-19T00:00:00"/>
    <n v="100"/>
    <x v="0"/>
    <n v="100"/>
    <x v="0"/>
    <s v="Lot 165393"/>
  </r>
  <r>
    <x v="0"/>
    <s v="SO0002408"/>
    <x v="2"/>
    <x v="1"/>
    <d v="2019-07-18T00:00:00"/>
    <n v="195"/>
    <x v="0"/>
    <n v="195"/>
    <x v="0"/>
    <s v="Lot 165503"/>
  </r>
  <r>
    <x v="0"/>
    <s v="SO0002409"/>
    <x v="3"/>
    <x v="1"/>
    <d v="2019-07-22T00:00:00"/>
    <n v="6062.5"/>
    <x v="0"/>
    <n v="6062.5"/>
    <x v="0"/>
    <s v="Lot 165516"/>
  </r>
  <r>
    <x v="0"/>
    <s v="SO0002409"/>
    <x v="1"/>
    <x v="1"/>
    <d v="2019-07-22T00:00:00"/>
    <n v="4650"/>
    <x v="0"/>
    <n v="4650"/>
    <x v="0"/>
    <s v="Lot 165521"/>
  </r>
  <r>
    <x v="0"/>
    <s v="SO0002409"/>
    <x v="2"/>
    <x v="1"/>
    <d v="2019-07-22T00:00:00"/>
    <n v="6045"/>
    <x v="0"/>
    <n v="6045"/>
    <x v="0"/>
    <s v="Lot 165530"/>
  </r>
  <r>
    <x v="0"/>
    <s v="SO0002410"/>
    <x v="3"/>
    <x v="1"/>
    <d v="2019-07-22T00:00:00"/>
    <n v="1843"/>
    <x v="0"/>
    <n v="1843"/>
    <x v="0"/>
    <s v="Lot 165559"/>
  </r>
  <r>
    <x v="0"/>
    <s v="SO0002411"/>
    <x v="4"/>
    <x v="0"/>
    <d v="2019-07-22T00:00:00"/>
    <n v="10042.5"/>
    <x v="0"/>
    <n v="10042.5"/>
    <x v="0"/>
    <s v="Lot 165580"/>
  </r>
  <r>
    <x v="0"/>
    <s v="SO0002412"/>
    <x v="2"/>
    <x v="1"/>
    <d v="2019-07-24T00:00:00"/>
    <n v="10042.5"/>
    <x v="0"/>
    <n v="10042.5"/>
    <x v="0"/>
    <s v="Lot 165581"/>
  </r>
  <r>
    <x v="0"/>
    <s v="SO0002412"/>
    <x v="10"/>
    <x v="2"/>
    <d v="2019-07-24T00:00:00"/>
    <n v="6000"/>
    <x v="0"/>
    <n v="6000"/>
    <x v="0"/>
    <s v="Lot 165582"/>
  </r>
  <r>
    <x v="0"/>
    <s v="SO0002412"/>
    <x v="5"/>
    <x v="2"/>
    <d v="2019-07-24T00:00:00"/>
    <n v="6045"/>
    <x v="0"/>
    <n v="6045"/>
    <x v="0"/>
    <s v="Lot 165583"/>
  </r>
  <r>
    <x v="0"/>
    <s v="SO0002414"/>
    <x v="2"/>
    <x v="1"/>
    <d v="2019-07-23T00:00:00"/>
    <n v="1365"/>
    <x v="0"/>
    <n v="1365"/>
    <x v="0"/>
    <s v="Lot 165585"/>
  </r>
  <r>
    <x v="0"/>
    <s v="SO0002415"/>
    <x v="2"/>
    <x v="1"/>
    <d v="2019-07-24T00:00:00"/>
    <n v="7995"/>
    <x v="0"/>
    <n v="7995"/>
    <x v="0"/>
    <s v="Lot 165587"/>
  </r>
  <r>
    <x v="0"/>
    <s v="SO0002416"/>
    <x v="5"/>
    <x v="2"/>
    <d v="2019-07-24T00:00:00"/>
    <n v="7800"/>
    <x v="0"/>
    <n v="7800"/>
    <x v="0"/>
    <s v="Lot 165588"/>
  </r>
  <r>
    <x v="0"/>
    <s v="SO0002416"/>
    <x v="2"/>
    <x v="1"/>
    <d v="2019-07-24T00:00:00"/>
    <n v="12285"/>
    <x v="0"/>
    <n v="12285"/>
    <x v="0"/>
    <s v="Lot 165589"/>
  </r>
  <r>
    <x v="0"/>
    <s v="SO0002417"/>
    <x v="9"/>
    <x v="2"/>
    <d v="2019-07-24T00:00:00"/>
    <n v="1649"/>
    <x v="0"/>
    <n v="1649"/>
    <x v="0"/>
    <s v="Lot 165590"/>
  </r>
  <r>
    <x v="0"/>
    <s v="SO0002417"/>
    <x v="10"/>
    <x v="2"/>
    <d v="2019-07-24T00:00:00"/>
    <n v="3975"/>
    <x v="0"/>
    <n v="3975"/>
    <x v="0"/>
    <s v="Lot 165591"/>
  </r>
  <r>
    <x v="0"/>
    <s v="SO0002417"/>
    <x v="5"/>
    <x v="2"/>
    <d v="2019-07-24T00:00:00"/>
    <n v="6922.5"/>
    <x v="0"/>
    <n v="6922.5"/>
    <x v="0"/>
    <s v="Lot 165592"/>
  </r>
  <r>
    <x v="0"/>
    <s v="SO0002418"/>
    <x v="7"/>
    <x v="3"/>
    <d v="2019-07-23T00:00:00"/>
    <n v="9300"/>
    <x v="0"/>
    <n v="9300"/>
    <x v="0"/>
    <s v="Lot 165593"/>
  </r>
  <r>
    <x v="0"/>
    <s v="SO0002419"/>
    <x v="3"/>
    <x v="1"/>
    <d v="2019-07-25T00:00:00"/>
    <n v="97"/>
    <x v="0"/>
    <n v="97"/>
    <x v="0"/>
    <s v="Lot 166286"/>
  </r>
  <r>
    <x v="0"/>
    <s v="SO0002420"/>
    <x v="2"/>
    <x v="1"/>
    <d v="2019-07-25T00:00:00"/>
    <n v="1950"/>
    <x v="0"/>
    <n v="1950"/>
    <x v="0"/>
    <s v="Lot 166287"/>
  </r>
  <r>
    <x v="0"/>
    <s v="SO0002421"/>
    <x v="5"/>
    <x v="2"/>
    <d v="2019-07-25T00:00:00"/>
    <n v="4972.5"/>
    <x v="0"/>
    <n v="4972.5"/>
    <x v="0"/>
    <s v="Lot 166300"/>
  </r>
  <r>
    <x v="0"/>
    <s v="SO0002422"/>
    <x v="10"/>
    <x v="2"/>
    <d v="2019-07-25T00:00:00"/>
    <n v="-2700"/>
    <x v="0"/>
    <n v="-2700"/>
    <x v="0"/>
    <s v="Lot 166338"/>
  </r>
  <r>
    <x v="0"/>
    <s v="SO0002424"/>
    <x v="5"/>
    <x v="2"/>
    <d v="2019-07-26T00:00:00"/>
    <n v="-7800"/>
    <x v="0"/>
    <n v="-7800"/>
    <x v="0"/>
    <s v="Lot 166343"/>
  </r>
  <r>
    <x v="0"/>
    <s v="SO0002424"/>
    <x v="2"/>
    <x v="1"/>
    <d v="2019-07-26T00:00:00"/>
    <n v="-12285"/>
    <x v="0"/>
    <n v="-12285"/>
    <x v="0"/>
    <s v="Lot 166344"/>
  </r>
  <r>
    <x v="0"/>
    <s v="SO0002425"/>
    <x v="2"/>
    <x v="1"/>
    <d v="2019-07-25T00:00:00"/>
    <n v="487.5"/>
    <x v="0"/>
    <n v="487.5"/>
    <x v="0"/>
    <s v="Lot 166346"/>
  </r>
  <r>
    <x v="0"/>
    <s v="SO0002425"/>
    <x v="5"/>
    <x v="2"/>
    <d v="2019-07-25T00:00:00"/>
    <n v="1560"/>
    <x v="0"/>
    <n v="1560"/>
    <x v="0"/>
    <s v="Lot 166347"/>
  </r>
  <r>
    <x v="0"/>
    <s v="SO0002426"/>
    <x v="2"/>
    <x v="1"/>
    <d v="2019-07-26T00:00:00"/>
    <n v="4680"/>
    <x v="0"/>
    <n v="4680"/>
    <x v="0"/>
    <s v="Lot 166499"/>
  </r>
  <r>
    <x v="0"/>
    <s v="SO0002426"/>
    <x v="5"/>
    <x v="2"/>
    <d v="2019-07-26T00:00:00"/>
    <n v="2632.5"/>
    <x v="0"/>
    <n v="2632.5"/>
    <x v="0"/>
    <s v="Lot 166500"/>
  </r>
  <r>
    <x v="0"/>
    <s v="SO0002428"/>
    <x v="5"/>
    <x v="2"/>
    <d v="2019-07-29T00:00:00"/>
    <n v="3900"/>
    <x v="0"/>
    <n v="3900"/>
    <x v="0"/>
    <s v="Lot 166505"/>
  </r>
  <r>
    <x v="0"/>
    <s v="SO0002429"/>
    <x v="7"/>
    <x v="3"/>
    <d v="2019-07-26T00:00:00"/>
    <n v="12750"/>
    <x v="0"/>
    <n v="12750"/>
    <x v="0"/>
    <s v="Lot 166506"/>
  </r>
  <r>
    <x v="0"/>
    <s v="SO0002430"/>
    <x v="2"/>
    <x v="1"/>
    <d v="2019-07-26T00:00:00"/>
    <n v="1365"/>
    <x v="0"/>
    <n v="1365"/>
    <x v="0"/>
    <s v="Lot 166507"/>
  </r>
  <r>
    <x v="0"/>
    <s v="SO0002432"/>
    <x v="2"/>
    <x v="1"/>
    <d v="2019-07-29T00:00:00"/>
    <n v="6825"/>
    <x v="0"/>
    <n v="6825"/>
    <x v="0"/>
    <s v="Lot 166699"/>
  </r>
  <r>
    <x v="0"/>
    <s v="SO0002434"/>
    <x v="3"/>
    <x v="1"/>
    <d v="2019-08-01T00:00:00"/>
    <n v="776"/>
    <x v="0"/>
    <n v="776"/>
    <x v="0"/>
    <s v="Lot 167177"/>
  </r>
  <r>
    <x v="0"/>
    <s v="SO0002434"/>
    <x v="2"/>
    <x v="1"/>
    <d v="2019-08-01T00:00:00"/>
    <n v="780"/>
    <x v="0"/>
    <n v="780"/>
    <x v="0"/>
    <s v="Lot 167178"/>
  </r>
  <r>
    <x v="0"/>
    <s v="SO0002435"/>
    <x v="2"/>
    <x v="1"/>
    <d v="2019-08-01T00:00:00"/>
    <n v="1560"/>
    <x v="0"/>
    <n v="1560"/>
    <x v="0"/>
    <s v="Lot 167179"/>
  </r>
  <r>
    <x v="0"/>
    <s v="SO0002436"/>
    <x v="5"/>
    <x v="2"/>
    <d v="2019-08-01T00:00:00"/>
    <n v="2535"/>
    <x v="0"/>
    <n v="2535"/>
    <x v="0"/>
    <s v="Lot 167181"/>
  </r>
  <r>
    <x v="0"/>
    <s v="SO0002437"/>
    <x v="19"/>
    <x v="8"/>
    <d v="2019-08-01T00:00:00"/>
    <n v="40"/>
    <x v="0"/>
    <n v="40"/>
    <x v="0"/>
    <s v="Lot 167265"/>
  </r>
  <r>
    <x v="0"/>
    <s v="SO0002438"/>
    <x v="5"/>
    <x v="2"/>
    <d v="2019-08-01T00:00:00"/>
    <n v="1170"/>
    <x v="0"/>
    <n v="1170"/>
    <x v="0"/>
    <s v="Lot 167286"/>
  </r>
  <r>
    <x v="0"/>
    <s v="SO0002439"/>
    <x v="5"/>
    <x v="2"/>
    <d v="2019-08-01T00:00:00"/>
    <n v="1462.5"/>
    <x v="0"/>
    <n v="1462.5"/>
    <x v="0"/>
    <s v="Lot 167301"/>
  </r>
  <r>
    <x v="0"/>
    <s v="SO0002439"/>
    <x v="10"/>
    <x v="2"/>
    <d v="2019-08-01T00:00:00"/>
    <n v="600"/>
    <x v="0"/>
    <n v="600"/>
    <x v="0"/>
    <s v="Lot 167309"/>
  </r>
  <r>
    <x v="0"/>
    <s v="SO0002440"/>
    <x v="10"/>
    <x v="2"/>
    <d v="2019-08-01T00:00:00"/>
    <n v="2700"/>
    <x v="0"/>
    <n v="2700"/>
    <x v="0"/>
    <s v="Lot 167335"/>
  </r>
  <r>
    <x v="0"/>
    <s v="SO0002440"/>
    <x v="5"/>
    <x v="2"/>
    <d v="2019-08-01T00:00:00"/>
    <n v="10432.5"/>
    <x v="0"/>
    <n v="10432.5"/>
    <x v="0"/>
    <s v="Lot 167336"/>
  </r>
  <r>
    <x v="0"/>
    <s v="SO0002441"/>
    <x v="3"/>
    <x v="1"/>
    <d v="2019-08-01T00:00:00"/>
    <n v="1212.5"/>
    <x v="0"/>
    <n v="1212.5"/>
    <x v="0"/>
    <s v="Lot 167337"/>
  </r>
  <r>
    <x v="0"/>
    <s v="SO0002441"/>
    <x v="2"/>
    <x v="1"/>
    <d v="2019-08-01T00:00:00"/>
    <n v="7995"/>
    <x v="0"/>
    <n v="7995"/>
    <x v="0"/>
    <s v="Lot 167338"/>
  </r>
  <r>
    <x v="0"/>
    <s v="SO0002442"/>
    <x v="3"/>
    <x v="1"/>
    <d v="2019-08-01T00:00:00"/>
    <n v="2231"/>
    <x v="0"/>
    <n v="2231"/>
    <x v="0"/>
    <s v="Lot 167339"/>
  </r>
  <r>
    <x v="0"/>
    <s v="SO0002442"/>
    <x v="2"/>
    <x v="1"/>
    <d v="2019-08-01T00:00:00"/>
    <n v="5850"/>
    <x v="0"/>
    <n v="5850"/>
    <x v="0"/>
    <s v="Lot 167340"/>
  </r>
  <r>
    <x v="0"/>
    <s v="SO0002444"/>
    <x v="5"/>
    <x v="2"/>
    <d v="2019-08-01T00:00:00"/>
    <n v="15795"/>
    <x v="0"/>
    <n v="15795"/>
    <x v="0"/>
    <s v="Lot 167356"/>
  </r>
  <r>
    <x v="0"/>
    <s v="SO0002445"/>
    <x v="2"/>
    <x v="1"/>
    <d v="2019-08-01T00:00:00"/>
    <n v="1755"/>
    <x v="0"/>
    <n v="1755"/>
    <x v="0"/>
    <s v="Lot 167357"/>
  </r>
  <r>
    <x v="0"/>
    <s v="SO0002447"/>
    <x v="10"/>
    <x v="2"/>
    <d v="2019-08-01T00:00:00"/>
    <n v="3450"/>
    <x v="0"/>
    <n v="3450"/>
    <x v="0"/>
    <s v="Lot 167481"/>
  </r>
  <r>
    <x v="0"/>
    <s v="SO0002447"/>
    <x v="5"/>
    <x v="2"/>
    <d v="2019-08-01T00:00:00"/>
    <n v="3315"/>
    <x v="0"/>
    <n v="3315"/>
    <x v="0"/>
    <s v="Lot 167482"/>
  </r>
  <r>
    <x v="0"/>
    <s v="SO0002448"/>
    <x v="2"/>
    <x v="1"/>
    <d v="2019-08-02T00:00:00"/>
    <n v="4095"/>
    <x v="0"/>
    <n v="4095"/>
    <x v="0"/>
    <s v="Lot 167493"/>
  </r>
  <r>
    <x v="0"/>
    <s v="SO0002451"/>
    <x v="5"/>
    <x v="2"/>
    <d v="2019-08-05T00:00:00"/>
    <n v="-1170"/>
    <x v="0"/>
    <n v="-1170"/>
    <x v="0"/>
    <s v="Lot 167918"/>
  </r>
  <r>
    <x v="0"/>
    <s v="SO0002451"/>
    <x v="5"/>
    <x v="2"/>
    <d v="2019-08-05T00:00:00"/>
    <n v="1170"/>
    <x v="0"/>
    <n v="1170"/>
    <x v="0"/>
    <s v="Lot 167919"/>
  </r>
  <r>
    <x v="0"/>
    <s v="SO0002452"/>
    <x v="2"/>
    <x v="1"/>
    <d v="2019-08-05T00:00:00"/>
    <n v="5850"/>
    <x v="0"/>
    <n v="5850"/>
    <x v="0"/>
    <s v="Lot 167940"/>
  </r>
  <r>
    <x v="0"/>
    <s v="SO0002452"/>
    <x v="2"/>
    <x v="1"/>
    <d v="2019-08-06T00:00:00"/>
    <n v="-5850"/>
    <x v="0"/>
    <n v="-5850"/>
    <x v="0"/>
    <s v="Lot 167941"/>
  </r>
  <r>
    <x v="0"/>
    <s v="SO0002453"/>
    <x v="2"/>
    <x v="1"/>
    <d v="2019-08-05T00:00:00"/>
    <n v="5850"/>
    <x v="0"/>
    <n v="5850"/>
    <x v="0"/>
    <s v="Lot 168064"/>
  </r>
  <r>
    <x v="0"/>
    <s v="SO0002454"/>
    <x v="2"/>
    <x v="1"/>
    <d v="2019-08-06T00:00:00"/>
    <n v="5655"/>
    <x v="0"/>
    <n v="5655"/>
    <x v="0"/>
    <s v="Lot 168133"/>
  </r>
  <r>
    <x v="0"/>
    <s v="SO0002456"/>
    <x v="2"/>
    <x v="1"/>
    <d v="2019-08-07T00:00:00"/>
    <n v="292.5"/>
    <x v="0"/>
    <n v="292.5"/>
    <x v="0"/>
    <s v="Lot 168158"/>
  </r>
  <r>
    <x v="0"/>
    <s v="SO0002459"/>
    <x v="5"/>
    <x v="2"/>
    <d v="2019-08-07T00:00:00"/>
    <n v="7800"/>
    <x v="0"/>
    <n v="7800"/>
    <x v="0"/>
    <s v="Lot 168161"/>
  </r>
  <r>
    <x v="0"/>
    <s v="SO0002459"/>
    <x v="2"/>
    <x v="1"/>
    <d v="2019-08-07T00:00:00"/>
    <n v="9750"/>
    <x v="0"/>
    <n v="9750"/>
    <x v="0"/>
    <s v="Lot 168162"/>
  </r>
  <r>
    <x v="0"/>
    <s v="SO0002460"/>
    <x v="2"/>
    <x v="1"/>
    <d v="2019-08-07T00:00:00"/>
    <n v="-5850"/>
    <x v="0"/>
    <n v="-5850"/>
    <x v="0"/>
    <s v="Lot 168163"/>
  </r>
  <r>
    <x v="0"/>
    <s v="SO0002461"/>
    <x v="2"/>
    <x v="1"/>
    <d v="2019-08-07T00:00:00"/>
    <n v="8190"/>
    <x v="0"/>
    <n v="8190"/>
    <x v="0"/>
    <s v="Lot 168246"/>
  </r>
  <r>
    <x v="0"/>
    <s v="SO0002461"/>
    <x v="2"/>
    <x v="1"/>
    <d v="2019-08-07T00:00:00"/>
    <n v="6337.5"/>
    <x v="0"/>
    <n v="6337.5"/>
    <x v="0"/>
    <s v="Lot 168337"/>
  </r>
  <r>
    <x v="0"/>
    <s v="SO0002461"/>
    <x v="5"/>
    <x v="2"/>
    <d v="2019-08-07T00:00:00"/>
    <n v="780"/>
    <x v="0"/>
    <n v="780"/>
    <x v="0"/>
    <s v="Lot 168338"/>
  </r>
  <r>
    <x v="0"/>
    <s v="SO0002461"/>
    <x v="4"/>
    <x v="0"/>
    <d v="2019-08-07T00:00:00"/>
    <n v="780"/>
    <x v="0"/>
    <n v="780"/>
    <x v="0"/>
    <s v="Lot 168339"/>
  </r>
  <r>
    <x v="0"/>
    <s v="SO0002462"/>
    <x v="2"/>
    <x v="1"/>
    <d v="2019-08-07T00:00:00"/>
    <n v="4095"/>
    <x v="0"/>
    <n v="4095"/>
    <x v="0"/>
    <s v="Lot 168341"/>
  </r>
  <r>
    <x v="0"/>
    <s v="SO0002463"/>
    <x v="2"/>
    <x v="1"/>
    <d v="2019-08-08T00:00:00"/>
    <n v="3120"/>
    <x v="0"/>
    <n v="3120"/>
    <x v="0"/>
    <s v="Lot 168347"/>
  </r>
  <r>
    <x v="0"/>
    <s v="SO0002465"/>
    <x v="5"/>
    <x v="2"/>
    <d v="2019-08-08T00:00:00"/>
    <n v="27300"/>
    <x v="0"/>
    <n v="27300"/>
    <x v="0"/>
    <s v="Lot 168496"/>
  </r>
  <r>
    <x v="0"/>
    <s v="SO0002466"/>
    <x v="2"/>
    <x v="1"/>
    <d v="2019-08-08T00:00:00"/>
    <n v="3412.5"/>
    <x v="0"/>
    <n v="3412.5"/>
    <x v="0"/>
    <s v="Lot 168497"/>
  </r>
  <r>
    <x v="0"/>
    <s v="SO0002467"/>
    <x v="3"/>
    <x v="1"/>
    <d v="2019-08-09T00:00:00"/>
    <n v="145.5"/>
    <x v="0"/>
    <n v="145.5"/>
    <x v="0"/>
    <s v="Lot 168567"/>
  </r>
  <r>
    <x v="0"/>
    <s v="SO0002467"/>
    <x v="2"/>
    <x v="1"/>
    <d v="2019-08-09T00:00:00"/>
    <n v="1072.5"/>
    <x v="0"/>
    <n v="1072.5"/>
    <x v="0"/>
    <s v="Lot 168568"/>
  </r>
  <r>
    <x v="0"/>
    <s v="SO0002468"/>
    <x v="2"/>
    <x v="1"/>
    <d v="2019-08-09T00:00:00"/>
    <n v="3510"/>
    <x v="0"/>
    <n v="3510"/>
    <x v="0"/>
    <s v="Lot 168569"/>
  </r>
  <r>
    <x v="0"/>
    <s v="SO0002469"/>
    <x v="5"/>
    <x v="2"/>
    <d v="2019-08-09T00:00:00"/>
    <n v="97.5"/>
    <x v="0"/>
    <n v="97.5"/>
    <x v="0"/>
    <s v="Lot 168781"/>
  </r>
  <r>
    <x v="0"/>
    <s v="SO0002470"/>
    <x v="3"/>
    <x v="1"/>
    <d v="2019-08-12T00:00:00"/>
    <n v="3492"/>
    <x v="0"/>
    <n v="3492"/>
    <x v="0"/>
    <s v="Lot 168782"/>
  </r>
  <r>
    <x v="0"/>
    <s v="SO0002470"/>
    <x v="2"/>
    <x v="1"/>
    <d v="2019-08-12T00:00:00"/>
    <n v="6630"/>
    <x v="0"/>
    <n v="6630"/>
    <x v="0"/>
    <s v="Lot 168783"/>
  </r>
  <r>
    <x v="0"/>
    <s v="SO0002473"/>
    <x v="2"/>
    <x v="1"/>
    <d v="2019-08-12T00:00:00"/>
    <n v="-3900"/>
    <x v="0"/>
    <n v="-3900"/>
    <x v="0"/>
    <s v="Lot 169003"/>
  </r>
  <r>
    <x v="0"/>
    <s v="SO0002473"/>
    <x v="2"/>
    <x v="1"/>
    <d v="2019-08-12T00:00:00"/>
    <n v="1950"/>
    <x v="0"/>
    <n v="1950"/>
    <x v="0"/>
    <s v="Lot 169004"/>
  </r>
  <r>
    <x v="0"/>
    <s v="SO0002478"/>
    <x v="2"/>
    <x v="1"/>
    <d v="2019-08-12T00:00:00"/>
    <n v="3900"/>
    <x v="0"/>
    <n v="3900"/>
    <x v="0"/>
    <s v="Lot 169034"/>
  </r>
  <r>
    <x v="0"/>
    <s v="SO0002478"/>
    <x v="2"/>
    <x v="1"/>
    <d v="2019-08-12T00:00:00"/>
    <n v="-1950"/>
    <x v="0"/>
    <n v="-1950"/>
    <x v="0"/>
    <s v="Lot 169035"/>
  </r>
  <r>
    <x v="0"/>
    <s v="SO0002481"/>
    <x v="2"/>
    <x v="1"/>
    <d v="2019-08-14T00:00:00"/>
    <n v="5850"/>
    <x v="0"/>
    <n v="5850"/>
    <x v="0"/>
    <s v="Lot 169766"/>
  </r>
  <r>
    <x v="0"/>
    <s v="SO0002482"/>
    <x v="19"/>
    <x v="8"/>
    <d v="2019-08-14T00:00:00"/>
    <n v="800"/>
    <x v="0"/>
    <n v="800"/>
    <x v="0"/>
    <s v="Lot 169769"/>
  </r>
  <r>
    <x v="0"/>
    <s v="SO0002482"/>
    <x v="19"/>
    <x v="8"/>
    <d v="2019-08-14T00:00:00"/>
    <n v="2000"/>
    <x v="0"/>
    <n v="2000"/>
    <x v="0"/>
    <s v="Lot 169770"/>
  </r>
  <r>
    <x v="0"/>
    <s v="SO0002482"/>
    <x v="9"/>
    <x v="2"/>
    <d v="2019-08-14T00:00:00"/>
    <n v="679"/>
    <x v="0"/>
    <n v="679"/>
    <x v="0"/>
    <s v="Lot 169771"/>
  </r>
  <r>
    <x v="0"/>
    <s v="SO0002482"/>
    <x v="5"/>
    <x v="2"/>
    <d v="2019-08-14T00:00:00"/>
    <n v="2340"/>
    <x v="0"/>
    <n v="2340"/>
    <x v="0"/>
    <s v="Lot 169772"/>
  </r>
  <r>
    <x v="0"/>
    <s v="SO0002483"/>
    <x v="2"/>
    <x v="1"/>
    <d v="2019-08-14T00:00:00"/>
    <n v="3510"/>
    <x v="0"/>
    <n v="3510"/>
    <x v="0"/>
    <s v="Lot 169773"/>
  </r>
  <r>
    <x v="0"/>
    <s v="SO0002484"/>
    <x v="5"/>
    <x v="2"/>
    <d v="2019-08-14T00:00:00"/>
    <n v="1657.5"/>
    <x v="0"/>
    <n v="1657.5"/>
    <x v="0"/>
    <s v="Lot 169774"/>
  </r>
  <r>
    <x v="0"/>
    <s v="SO0002485"/>
    <x v="1"/>
    <x v="1"/>
    <d v="2019-08-16T00:00:00"/>
    <n v="2850"/>
    <x v="0"/>
    <n v="2850"/>
    <x v="0"/>
    <s v="Lot 169800"/>
  </r>
  <r>
    <x v="0"/>
    <s v="SO0002485"/>
    <x v="2"/>
    <x v="1"/>
    <d v="2019-08-16T00:00:00"/>
    <n v="10140"/>
    <x v="0"/>
    <n v="10140"/>
    <x v="0"/>
    <s v="Lot 169802"/>
  </r>
  <r>
    <x v="0"/>
    <s v="SO0002486"/>
    <x v="5"/>
    <x v="2"/>
    <d v="2019-08-14T00:00:00"/>
    <n v="97.5"/>
    <x v="0"/>
    <n v="97.5"/>
    <x v="0"/>
    <s v="Lot 169831"/>
  </r>
  <r>
    <x v="0"/>
    <s v="SO0002488"/>
    <x v="2"/>
    <x v="1"/>
    <d v="2019-08-14T00:00:00"/>
    <n v="975"/>
    <x v="0"/>
    <n v="975"/>
    <x v="0"/>
    <s v="Lot 169836"/>
  </r>
  <r>
    <x v="0"/>
    <s v="SO0002489"/>
    <x v="19"/>
    <x v="8"/>
    <d v="2019-08-13T00:00:00"/>
    <n v="30"/>
    <x v="0"/>
    <n v="30"/>
    <x v="0"/>
    <s v="Lot 169837"/>
  </r>
  <r>
    <x v="0"/>
    <s v="SO0002490"/>
    <x v="3"/>
    <x v="1"/>
    <d v="2019-08-16T00:00:00"/>
    <n v="582"/>
    <x v="0"/>
    <n v="582"/>
    <x v="0"/>
    <s v="Lot 169838"/>
  </r>
  <r>
    <x v="0"/>
    <s v="SO0002491"/>
    <x v="2"/>
    <x v="1"/>
    <d v="2019-08-14T00:00:00"/>
    <n v="195"/>
    <x v="0"/>
    <n v="195"/>
    <x v="0"/>
    <s v="Lot 169839"/>
  </r>
  <r>
    <x v="0"/>
    <s v="SO0002492"/>
    <x v="10"/>
    <x v="2"/>
    <d v="2019-08-12T00:00:00"/>
    <n v="300"/>
    <x v="0"/>
    <n v="300"/>
    <x v="0"/>
    <s v="Lot 169840"/>
  </r>
  <r>
    <x v="0"/>
    <s v="SO0002492"/>
    <x v="5"/>
    <x v="2"/>
    <d v="2019-08-12T00:00:00"/>
    <n v="1170"/>
    <x v="0"/>
    <n v="1170"/>
    <x v="0"/>
    <s v="Lot 169841"/>
  </r>
  <r>
    <x v="0"/>
    <s v="SO0002493"/>
    <x v="5"/>
    <x v="2"/>
    <d v="2019-08-13T00:00:00"/>
    <n v="3022.5"/>
    <x v="0"/>
    <n v="3022.5"/>
    <x v="0"/>
    <s v="Lot 169842"/>
  </r>
  <r>
    <x v="0"/>
    <s v="SO0002494"/>
    <x v="20"/>
    <x v="9"/>
    <d v="2019-08-23T00:00:00"/>
    <n v="100"/>
    <x v="0"/>
    <n v="100"/>
    <x v="0"/>
    <s v="Lot 169844"/>
  </r>
  <r>
    <x v="0"/>
    <s v="SO0002494"/>
    <x v="20"/>
    <x v="9"/>
    <d v="2019-08-23T00:00:00"/>
    <n v="100"/>
    <x v="0"/>
    <n v="100"/>
    <x v="0"/>
    <s v="Lot 170807"/>
  </r>
  <r>
    <x v="0"/>
    <s v="SO0002497"/>
    <x v="5"/>
    <x v="2"/>
    <d v="2019-08-20T00:00:00"/>
    <n v="5362.5"/>
    <x v="0"/>
    <n v="5362.5"/>
    <x v="0"/>
    <s v="Lot 170070"/>
  </r>
  <r>
    <x v="0"/>
    <s v="SO0002498"/>
    <x v="3"/>
    <x v="1"/>
    <d v="2019-08-20T00:00:00"/>
    <n v="873"/>
    <x v="0"/>
    <n v="873"/>
    <x v="0"/>
    <s v="Lot 170197"/>
  </r>
  <r>
    <x v="0"/>
    <s v="SO0002499"/>
    <x v="2"/>
    <x v="1"/>
    <d v="2019-08-20T00:00:00"/>
    <n v="7410"/>
    <x v="0"/>
    <n v="7410"/>
    <x v="0"/>
    <s v="Lot 170200"/>
  </r>
  <r>
    <x v="0"/>
    <s v="SO0002500"/>
    <x v="5"/>
    <x v="2"/>
    <d v="2019-08-21T00:00:00"/>
    <n v="6922.5"/>
    <x v="0"/>
    <n v="6922.5"/>
    <x v="0"/>
    <s v="Lot 170424"/>
  </r>
  <r>
    <x v="0"/>
    <s v="SO0002501"/>
    <x v="9"/>
    <x v="2"/>
    <d v="2019-08-21T00:00:00"/>
    <n v="339.5"/>
    <x v="0"/>
    <n v="339.5"/>
    <x v="0"/>
    <s v="Lot 170425"/>
  </r>
  <r>
    <x v="0"/>
    <s v="SO0002501"/>
    <x v="2"/>
    <x v="1"/>
    <d v="2019-08-21T00:00:00"/>
    <n v="3120"/>
    <x v="0"/>
    <n v="3120"/>
    <x v="0"/>
    <s v="Lot 170426"/>
  </r>
  <r>
    <x v="0"/>
    <s v="SO0002501"/>
    <x v="3"/>
    <x v="1"/>
    <d v="2019-08-21T00:00:00"/>
    <n v="1552"/>
    <x v="0"/>
    <n v="1552"/>
    <x v="0"/>
    <s v="Lot 170427"/>
  </r>
  <r>
    <x v="0"/>
    <s v="SO0002502"/>
    <x v="3"/>
    <x v="1"/>
    <d v="2019-08-21T00:00:00"/>
    <n v="679"/>
    <x v="0"/>
    <n v="679"/>
    <x v="0"/>
    <s v="Lot 170428"/>
  </r>
  <r>
    <x v="0"/>
    <s v="SO0002502"/>
    <x v="2"/>
    <x v="1"/>
    <d v="2019-08-21T00:00:00"/>
    <n v="2730"/>
    <x v="0"/>
    <n v="2730"/>
    <x v="0"/>
    <s v="Lot 170429"/>
  </r>
  <r>
    <x v="0"/>
    <s v="SO0002503"/>
    <x v="2"/>
    <x v="1"/>
    <d v="2019-08-21T00:00:00"/>
    <n v="390"/>
    <x v="0"/>
    <n v="390"/>
    <x v="0"/>
    <s v="Lot 170430"/>
  </r>
  <r>
    <x v="0"/>
    <s v="SO0002504"/>
    <x v="2"/>
    <x v="1"/>
    <d v="2019-08-21T00:00:00"/>
    <n v="487.5"/>
    <x v="0"/>
    <n v="487.5"/>
    <x v="0"/>
    <s v="Lot 170431"/>
  </r>
  <r>
    <x v="0"/>
    <s v="SO0002505"/>
    <x v="2"/>
    <x v="1"/>
    <d v="2019-08-22T00:00:00"/>
    <n v="2242.5"/>
    <x v="0"/>
    <n v="2242.5"/>
    <x v="0"/>
    <s v="Lot 170444"/>
  </r>
  <r>
    <x v="0"/>
    <s v="SO0002506"/>
    <x v="2"/>
    <x v="1"/>
    <d v="2019-08-22T00:00:00"/>
    <n v="10530"/>
    <x v="0"/>
    <n v="10530"/>
    <x v="0"/>
    <s v="Lot 170632"/>
  </r>
  <r>
    <x v="0"/>
    <s v="SO0002507"/>
    <x v="2"/>
    <x v="1"/>
    <d v="2019-08-22T00:00:00"/>
    <n v="6337.5"/>
    <x v="0"/>
    <n v="6337.5"/>
    <x v="0"/>
    <s v="Lot 170633"/>
  </r>
  <r>
    <x v="0"/>
    <s v="SO0002509"/>
    <x v="6"/>
    <x v="3"/>
    <d v="2019-08-22T00:00:00"/>
    <n v="292.5"/>
    <x v="0"/>
    <n v="292.5"/>
    <x v="0"/>
    <s v="Lot 170636"/>
  </r>
  <r>
    <x v="0"/>
    <s v="SO0002509"/>
    <x v="6"/>
    <x v="3"/>
    <d v="2019-08-23T00:00:00"/>
    <n v="-292.5"/>
    <x v="0"/>
    <n v="-292.5"/>
    <x v="0"/>
    <s v="Lot 170703"/>
  </r>
  <r>
    <x v="0"/>
    <s v="SO0002510"/>
    <x v="2"/>
    <x v="1"/>
    <d v="2019-08-22T00:00:00"/>
    <n v="19110"/>
    <x v="0"/>
    <n v="19110"/>
    <x v="0"/>
    <s v="Lot 170704"/>
  </r>
  <r>
    <x v="0"/>
    <s v="SO0002511"/>
    <x v="5"/>
    <x v="2"/>
    <d v="2019-08-22T00:00:00"/>
    <n v="1462.5"/>
    <x v="0"/>
    <n v="1462.5"/>
    <x v="0"/>
    <s v="Lot 170705"/>
  </r>
  <r>
    <x v="0"/>
    <s v="SO0002512"/>
    <x v="5"/>
    <x v="2"/>
    <d v="2019-08-23T00:00:00"/>
    <n v="4095"/>
    <x v="0"/>
    <n v="4095"/>
    <x v="0"/>
    <s v="Lot 170805"/>
  </r>
  <r>
    <x v="0"/>
    <s v="SO0002514"/>
    <x v="5"/>
    <x v="2"/>
    <d v="2019-08-26T00:00:00"/>
    <n v="4485"/>
    <x v="0"/>
    <n v="4485"/>
    <x v="0"/>
    <s v="Lot 170905"/>
  </r>
  <r>
    <x v="0"/>
    <s v="SO0002514"/>
    <x v="20"/>
    <x v="9"/>
    <d v="2019-08-26T00:00:00"/>
    <n v="500"/>
    <x v="0"/>
    <n v="500"/>
    <x v="0"/>
    <s v="Lot 170906"/>
  </r>
  <r>
    <x v="0"/>
    <s v="SO0002515"/>
    <x v="10"/>
    <x v="2"/>
    <d v="2019-08-26T00:00:00"/>
    <n v="300"/>
    <x v="0"/>
    <n v="300"/>
    <x v="0"/>
    <s v="Lot 170907"/>
  </r>
  <r>
    <x v="0"/>
    <s v="SO0002515"/>
    <x v="5"/>
    <x v="2"/>
    <d v="2019-08-26T00:00:00"/>
    <n v="1072.5"/>
    <x v="0"/>
    <n v="1072.5"/>
    <x v="0"/>
    <s v="Lot 170908"/>
  </r>
  <r>
    <x v="0"/>
    <s v="SO0002516"/>
    <x v="3"/>
    <x v="1"/>
    <d v="2019-08-26T00:00:00"/>
    <n v="97"/>
    <x v="0"/>
    <n v="97"/>
    <x v="0"/>
    <s v="Lot 170909"/>
  </r>
  <r>
    <x v="0"/>
    <s v="SO0002516"/>
    <x v="1"/>
    <x v="1"/>
    <d v="2019-08-26T00:00:00"/>
    <n v="450"/>
    <x v="0"/>
    <n v="450"/>
    <x v="0"/>
    <s v="Lot 170910"/>
  </r>
  <r>
    <x v="0"/>
    <s v="SO0002516"/>
    <x v="2"/>
    <x v="1"/>
    <d v="2019-08-26T00:00:00"/>
    <n v="1170"/>
    <x v="0"/>
    <n v="1170"/>
    <x v="0"/>
    <s v="Lot 170911"/>
  </r>
  <r>
    <x v="0"/>
    <s v="SO0002517"/>
    <x v="2"/>
    <x v="1"/>
    <d v="2019-08-27T00:00:00"/>
    <n v="16672.5"/>
    <x v="0"/>
    <n v="16672.5"/>
    <x v="0"/>
    <s v="Lot 170912"/>
  </r>
  <r>
    <x v="0"/>
    <s v="SO0002518"/>
    <x v="2"/>
    <x v="1"/>
    <d v="2019-08-26T00:00:00"/>
    <n v="4485"/>
    <x v="0"/>
    <n v="4485"/>
    <x v="0"/>
    <s v="Lot 170913"/>
  </r>
  <r>
    <x v="0"/>
    <s v="SO0002519"/>
    <x v="3"/>
    <x v="1"/>
    <d v="2019-08-16T00:00:00"/>
    <n v="582"/>
    <x v="0"/>
    <n v="582"/>
    <x v="0"/>
    <s v="Lot 170914"/>
  </r>
  <r>
    <x v="0"/>
    <s v="SO0002519"/>
    <x v="2"/>
    <x v="1"/>
    <d v="2019-08-16T00:00:00"/>
    <n v="1170"/>
    <x v="0"/>
    <n v="1170"/>
    <x v="0"/>
    <s v="Lot 170915"/>
  </r>
  <r>
    <x v="0"/>
    <s v="SO0002524"/>
    <x v="5"/>
    <x v="2"/>
    <d v="2019-08-22T00:00:00"/>
    <n v="1170"/>
    <x v="0"/>
    <n v="1170"/>
    <x v="0"/>
    <s v="Lot 170925"/>
  </r>
  <r>
    <x v="0"/>
    <s v="SO0002525"/>
    <x v="2"/>
    <x v="1"/>
    <d v="2019-08-14T00:00:00"/>
    <n v="2340"/>
    <x v="0"/>
    <n v="2340"/>
    <x v="0"/>
    <s v="Lot 170926"/>
  </r>
  <r>
    <x v="0"/>
    <s v="SO0002526"/>
    <x v="5"/>
    <x v="2"/>
    <d v="2019-08-26T00:00:00"/>
    <n v="15015"/>
    <x v="0"/>
    <n v="15015"/>
    <x v="0"/>
    <s v="Lot 170927"/>
  </r>
  <r>
    <x v="0"/>
    <s v="SO0002527"/>
    <x v="2"/>
    <x v="1"/>
    <d v="2019-08-27T00:00:00"/>
    <n v="18135"/>
    <x v="0"/>
    <n v="18135"/>
    <x v="0"/>
    <s v="Lot 171220"/>
  </r>
  <r>
    <x v="0"/>
    <s v="SO0002528"/>
    <x v="5"/>
    <x v="2"/>
    <d v="2019-08-27T00:00:00"/>
    <n v="292.5"/>
    <x v="0"/>
    <n v="292.5"/>
    <x v="0"/>
    <s v="Lot 171221"/>
  </r>
  <r>
    <x v="0"/>
    <s v="SO0002531"/>
    <x v="2"/>
    <x v="1"/>
    <d v="2019-08-28T00:00:00"/>
    <n v="4095"/>
    <x v="0"/>
    <n v="4095"/>
    <x v="0"/>
    <s v="Lot 171753"/>
  </r>
  <r>
    <x v="0"/>
    <s v="SO0002532"/>
    <x v="5"/>
    <x v="2"/>
    <d v="2019-08-28T00:00:00"/>
    <n v="1950"/>
    <x v="0"/>
    <n v="1950"/>
    <x v="0"/>
    <s v="Lot 171754"/>
  </r>
  <r>
    <x v="0"/>
    <s v="SO0002534"/>
    <x v="5"/>
    <x v="2"/>
    <d v="2019-09-02T00:00:00"/>
    <n v="3900"/>
    <x v="0"/>
    <n v="3900"/>
    <x v="0"/>
    <s v="Lot 172076"/>
  </r>
  <r>
    <x v="0"/>
    <s v="SO0002536"/>
    <x v="5"/>
    <x v="2"/>
    <d v="2019-09-02T00:00:00"/>
    <n v="25350"/>
    <x v="0"/>
    <n v="25350"/>
    <x v="0"/>
    <s v="Lot 172080"/>
  </r>
  <r>
    <x v="0"/>
    <s v="SO0002537"/>
    <x v="5"/>
    <x v="2"/>
    <d v="2019-09-02T00:00:00"/>
    <n v="4387.5"/>
    <x v="0"/>
    <n v="4387.5"/>
    <x v="0"/>
    <s v="Lot 172081"/>
  </r>
  <r>
    <x v="0"/>
    <s v="SO0002537"/>
    <x v="2"/>
    <x v="1"/>
    <d v="2019-09-02T00:00:00"/>
    <n v="487.5"/>
    <x v="0"/>
    <n v="487.5"/>
    <x v="0"/>
    <s v="Lot 172082"/>
  </r>
  <r>
    <x v="0"/>
    <s v="SO0002538"/>
    <x v="19"/>
    <x v="8"/>
    <d v="2019-09-02T00:00:00"/>
    <n v="1300"/>
    <x v="0"/>
    <n v="1300"/>
    <x v="0"/>
    <s v="Lot 172102"/>
  </r>
  <r>
    <x v="0"/>
    <s v="SO0002539"/>
    <x v="2"/>
    <x v="1"/>
    <d v="2019-09-02T00:00:00"/>
    <n v="975"/>
    <x v="0"/>
    <n v="975"/>
    <x v="0"/>
    <s v="Lot 172103"/>
  </r>
  <r>
    <x v="0"/>
    <s v="SO0002542"/>
    <x v="2"/>
    <x v="1"/>
    <d v="2019-09-03T00:00:00"/>
    <n v="3022.5"/>
    <x v="0"/>
    <n v="3022.5"/>
    <x v="0"/>
    <s v="Lot 172346"/>
  </r>
  <r>
    <x v="0"/>
    <s v="SO0002543"/>
    <x v="2"/>
    <x v="1"/>
    <d v="2019-09-03T00:00:00"/>
    <n v="2145"/>
    <x v="0"/>
    <n v="2145"/>
    <x v="0"/>
    <s v="Lot 172347"/>
  </r>
  <r>
    <x v="0"/>
    <s v="SO0002544"/>
    <x v="2"/>
    <x v="1"/>
    <d v="2019-09-02T00:00:00"/>
    <n v="4192.5"/>
    <x v="0"/>
    <n v="4192.5"/>
    <x v="0"/>
    <s v="Lot 172400"/>
  </r>
  <r>
    <x v="0"/>
    <s v="SO0002545"/>
    <x v="5"/>
    <x v="2"/>
    <d v="2019-08-30T00:00:00"/>
    <n v="-97.5"/>
    <x v="0"/>
    <n v="-97.5"/>
    <x v="0"/>
    <s v="Lot 172598"/>
  </r>
  <r>
    <x v="0"/>
    <s v="SO0002545"/>
    <x v="5"/>
    <x v="2"/>
    <d v="2019-08-30T00:00:00"/>
    <n v="97.5"/>
    <x v="0"/>
    <n v="97.5"/>
    <x v="0"/>
    <s v="Lot 172599"/>
  </r>
  <r>
    <x v="0"/>
    <s v="SO0002546"/>
    <x v="2"/>
    <x v="1"/>
    <d v="2019-09-06T00:00:00"/>
    <n v="10042.5"/>
    <x v="0"/>
    <n v="10042.5"/>
    <x v="0"/>
    <s v="Lot 172702"/>
  </r>
  <r>
    <x v="0"/>
    <s v="SO0002548"/>
    <x v="2"/>
    <x v="1"/>
    <d v="2019-09-02T00:00:00"/>
    <n v="292.5"/>
    <x v="0"/>
    <n v="292.5"/>
    <x v="0"/>
    <s v="Lot 173678"/>
  </r>
  <r>
    <x v="0"/>
    <s v="SO0002549"/>
    <x v="5"/>
    <x v="2"/>
    <d v="2019-09-05T00:00:00"/>
    <n v="16575"/>
    <x v="0"/>
    <n v="16575"/>
    <x v="0"/>
    <s v="Lot 173679"/>
  </r>
  <r>
    <x v="0"/>
    <s v="SO0002550"/>
    <x v="5"/>
    <x v="2"/>
    <d v="2019-09-09T00:00:00"/>
    <n v="4777.5"/>
    <x v="0"/>
    <n v="4777.5"/>
    <x v="0"/>
    <s v="Lot 173680"/>
  </r>
  <r>
    <x v="0"/>
    <s v="SO0002552"/>
    <x v="5"/>
    <x v="2"/>
    <d v="2019-09-09T00:00:00"/>
    <n v="1560"/>
    <x v="0"/>
    <n v="1560"/>
    <x v="0"/>
    <s v="Lot 173683"/>
  </r>
  <r>
    <x v="0"/>
    <s v="SO0002553"/>
    <x v="5"/>
    <x v="2"/>
    <d v="2019-09-09T00:00:00"/>
    <n v="2827.5"/>
    <x v="0"/>
    <n v="2827.5"/>
    <x v="0"/>
    <s v="Lot 173684"/>
  </r>
  <r>
    <x v="0"/>
    <s v="SO0002554"/>
    <x v="2"/>
    <x v="1"/>
    <d v="2019-09-10T00:00:00"/>
    <n v="390"/>
    <x v="0"/>
    <n v="390"/>
    <x v="0"/>
    <s v="Lot 173685"/>
  </r>
  <r>
    <x v="0"/>
    <s v="SO0002556"/>
    <x v="5"/>
    <x v="2"/>
    <d v="2019-09-09T00:00:00"/>
    <n v="1267.5"/>
    <x v="0"/>
    <n v="1267.5"/>
    <x v="0"/>
    <s v="Lot 173937"/>
  </r>
  <r>
    <x v="0"/>
    <s v="SO0002557"/>
    <x v="2"/>
    <x v="1"/>
    <d v="2019-09-10T00:00:00"/>
    <n v="5850"/>
    <x v="0"/>
    <n v="5850"/>
    <x v="0"/>
    <s v="Lot 173938"/>
  </r>
  <r>
    <x v="0"/>
    <s v="SO0002558"/>
    <x v="3"/>
    <x v="1"/>
    <d v="2019-09-10T00:00:00"/>
    <n v="1406.5"/>
    <x v="0"/>
    <n v="1406.5"/>
    <x v="0"/>
    <s v="Lot 173939"/>
  </r>
  <r>
    <x v="0"/>
    <s v="SO0002558"/>
    <x v="2"/>
    <x v="1"/>
    <d v="2019-09-10T00:00:00"/>
    <n v="780"/>
    <x v="0"/>
    <n v="780"/>
    <x v="0"/>
    <s v="Lot 173940"/>
  </r>
  <r>
    <x v="0"/>
    <s v="SO0002559"/>
    <x v="2"/>
    <x v="1"/>
    <d v="2019-09-10T00:00:00"/>
    <n v="7215"/>
    <x v="0"/>
    <n v="7215"/>
    <x v="0"/>
    <s v="Lot 173941"/>
  </r>
  <r>
    <x v="0"/>
    <s v="SO0002559"/>
    <x v="3"/>
    <x v="1"/>
    <d v="2019-09-10T00:00:00"/>
    <n v="1794.5"/>
    <x v="0"/>
    <n v="1794.5"/>
    <x v="0"/>
    <s v="Lot 173942"/>
  </r>
  <r>
    <x v="0"/>
    <s v="SO0002560"/>
    <x v="19"/>
    <x v="8"/>
    <d v="2019-09-10T00:00:00"/>
    <n v="194"/>
    <x v="0"/>
    <n v="194"/>
    <x v="0"/>
    <s v="Lot 173943"/>
  </r>
  <r>
    <x v="0"/>
    <s v="SO0002561"/>
    <x v="2"/>
    <x v="1"/>
    <d v="2019-09-11T00:00:00"/>
    <n v="12967.5"/>
    <x v="0"/>
    <n v="12967.5"/>
    <x v="0"/>
    <s v="Lot 173944"/>
  </r>
  <r>
    <x v="0"/>
    <s v="SO0002561"/>
    <x v="10"/>
    <x v="2"/>
    <d v="2019-09-11T00:00:00"/>
    <n v="5025"/>
    <x v="0"/>
    <n v="5025"/>
    <x v="0"/>
    <s v="Lot 173945"/>
  </r>
  <r>
    <x v="0"/>
    <s v="SO0002562"/>
    <x v="2"/>
    <x v="1"/>
    <d v="2019-09-11T00:00:00"/>
    <n v="1950"/>
    <x v="0"/>
    <n v="1950"/>
    <x v="0"/>
    <s v="Lot 173946"/>
  </r>
  <r>
    <x v="0"/>
    <s v="SO0002563"/>
    <x v="2"/>
    <x v="1"/>
    <d v="2019-09-11T00:00:00"/>
    <n v="1267.5"/>
    <x v="0"/>
    <n v="1267.5"/>
    <x v="0"/>
    <s v="Lot 173947"/>
  </r>
  <r>
    <x v="0"/>
    <s v="SO0002564"/>
    <x v="3"/>
    <x v="1"/>
    <d v="2019-09-11T00:00:00"/>
    <n v="485"/>
    <x v="0"/>
    <n v="485"/>
    <x v="0"/>
    <s v="Lot 174034"/>
  </r>
  <r>
    <x v="0"/>
    <s v="SO0002564"/>
    <x v="9"/>
    <x v="2"/>
    <d v="2019-09-11T00:00:00"/>
    <n v="48.5"/>
    <x v="0"/>
    <n v="48.5"/>
    <x v="0"/>
    <s v="Lot 174107"/>
  </r>
  <r>
    <x v="0"/>
    <s v="SO0002565"/>
    <x v="5"/>
    <x v="2"/>
    <d v="2019-09-11T00:00:00"/>
    <n v="7507.5"/>
    <x v="0"/>
    <n v="7507.5"/>
    <x v="0"/>
    <s v="Lot 174168"/>
  </r>
  <r>
    <x v="0"/>
    <s v="SO0002566"/>
    <x v="2"/>
    <x v="1"/>
    <d v="2019-09-11T00:00:00"/>
    <n v="5850"/>
    <x v="0"/>
    <n v="5850"/>
    <x v="0"/>
    <s v="Lot 174252"/>
  </r>
  <r>
    <x v="0"/>
    <s v="SO0002568"/>
    <x v="3"/>
    <x v="1"/>
    <d v="2019-09-11T00:00:00"/>
    <n v="4656"/>
    <x v="0"/>
    <n v="4656"/>
    <x v="0"/>
    <s v="Lot 174255"/>
  </r>
  <r>
    <x v="0"/>
    <s v="SO0002568"/>
    <x v="1"/>
    <x v="1"/>
    <d v="2019-09-11T00:00:00"/>
    <n v="14550"/>
    <x v="0"/>
    <n v="14550"/>
    <x v="0"/>
    <s v="Lot 174256"/>
  </r>
  <r>
    <x v="0"/>
    <s v="SO0002569"/>
    <x v="1"/>
    <x v="1"/>
    <d v="2019-09-12T00:00:00"/>
    <n v="3000"/>
    <x v="0"/>
    <n v="3000"/>
    <x v="0"/>
    <s v="Lot 174419"/>
  </r>
  <r>
    <x v="0"/>
    <s v="SO0002569"/>
    <x v="2"/>
    <x v="1"/>
    <d v="2019-09-12T00:00:00"/>
    <n v="3900"/>
    <x v="0"/>
    <n v="3900"/>
    <x v="0"/>
    <s v="Lot 174420"/>
  </r>
  <r>
    <x v="0"/>
    <s v="SO0002570"/>
    <x v="9"/>
    <x v="2"/>
    <d v="2019-09-13T00:00:00"/>
    <n v="2570.5"/>
    <x v="0"/>
    <n v="2570.5"/>
    <x v="0"/>
    <s v="Lot 174672"/>
  </r>
  <r>
    <x v="0"/>
    <s v="SO0002570"/>
    <x v="5"/>
    <x v="2"/>
    <d v="2019-09-13T00:00:00"/>
    <n v="5167.5"/>
    <x v="0"/>
    <n v="5167.5"/>
    <x v="0"/>
    <s v="Lot 174673"/>
  </r>
  <r>
    <x v="0"/>
    <s v="SO0002571"/>
    <x v="1"/>
    <x v="1"/>
    <d v="2019-09-13T00:00:00"/>
    <n v="4350"/>
    <x v="0"/>
    <n v="4350"/>
    <x v="0"/>
    <s v="Lot 174674"/>
  </r>
  <r>
    <x v="0"/>
    <s v="SO0002572"/>
    <x v="5"/>
    <x v="2"/>
    <d v="2019-09-16T00:00:00"/>
    <n v="4777.5"/>
    <x v="0"/>
    <n v="4777.5"/>
    <x v="0"/>
    <s v="Lot 174748"/>
  </r>
  <r>
    <x v="0"/>
    <s v="SO0002572"/>
    <x v="2"/>
    <x v="1"/>
    <d v="2019-09-16T00:00:00"/>
    <n v="390"/>
    <x v="0"/>
    <n v="390"/>
    <x v="0"/>
    <s v="Lot 174749"/>
  </r>
  <r>
    <x v="0"/>
    <s v="SO0002573"/>
    <x v="3"/>
    <x v="1"/>
    <d v="2019-09-16T00:00:00"/>
    <n v="145.5"/>
    <x v="0"/>
    <n v="145.5"/>
    <x v="0"/>
    <s v="Lot 174750"/>
  </r>
  <r>
    <x v="0"/>
    <s v="SO0002574"/>
    <x v="2"/>
    <x v="1"/>
    <d v="2019-09-16T00:00:00"/>
    <n v="4192.5"/>
    <x v="0"/>
    <n v="4192.5"/>
    <x v="0"/>
    <s v="Lot 174751"/>
  </r>
  <r>
    <x v="0"/>
    <s v="SO0002575"/>
    <x v="5"/>
    <x v="2"/>
    <d v="2019-09-16T00:00:00"/>
    <n v="7800"/>
    <x v="0"/>
    <n v="7800"/>
    <x v="0"/>
    <s v="Lot 174770"/>
  </r>
  <r>
    <x v="0"/>
    <s v="SO0002579"/>
    <x v="5"/>
    <x v="2"/>
    <d v="2019-09-17T00:00:00"/>
    <n v="11407.5"/>
    <x v="0"/>
    <n v="11407.5"/>
    <x v="0"/>
    <s v="Lot 175378"/>
  </r>
  <r>
    <x v="0"/>
    <s v="SO0002580"/>
    <x v="8"/>
    <x v="4"/>
    <d v="2019-09-17T00:00:00"/>
    <n v="4095"/>
    <x v="0"/>
    <n v="4095"/>
    <x v="0"/>
    <s v="Lot 175379"/>
  </r>
  <r>
    <x v="0"/>
    <s v="SO0002581"/>
    <x v="5"/>
    <x v="2"/>
    <d v="2019-09-17T00:00:00"/>
    <n v="5655"/>
    <x v="0"/>
    <n v="5655"/>
    <x v="0"/>
    <s v="Lot 175380"/>
  </r>
  <r>
    <x v="0"/>
    <s v="SO0002582"/>
    <x v="5"/>
    <x v="2"/>
    <d v="2019-09-17T00:00:00"/>
    <n v="7800"/>
    <x v="0"/>
    <n v="7800"/>
    <x v="0"/>
    <s v="Lot 175387"/>
  </r>
  <r>
    <x v="0"/>
    <s v="SO0002582"/>
    <x v="2"/>
    <x v="1"/>
    <d v="2019-09-17T00:00:00"/>
    <n v="2047.5"/>
    <x v="0"/>
    <n v="2047.5"/>
    <x v="0"/>
    <s v="Lot 175418"/>
  </r>
  <r>
    <x v="0"/>
    <s v="SO0002582"/>
    <x v="5"/>
    <x v="2"/>
    <d v="2019-09-17T00:00:00"/>
    <n v="195"/>
    <x v="0"/>
    <n v="195"/>
    <x v="0"/>
    <s v="Lot 175423"/>
  </r>
  <r>
    <x v="0"/>
    <s v="SO0002583"/>
    <x v="2"/>
    <x v="1"/>
    <d v="2019-09-18T00:00:00"/>
    <n v="1170"/>
    <x v="0"/>
    <n v="1170"/>
    <x v="0"/>
    <s v="Lot 175442"/>
  </r>
  <r>
    <x v="0"/>
    <s v="SO0002584"/>
    <x v="2"/>
    <x v="1"/>
    <d v="2019-09-18T00:00:00"/>
    <n v="4095"/>
    <x v="0"/>
    <n v="4095"/>
    <x v="0"/>
    <s v="Lot 175443"/>
  </r>
  <r>
    <x v="0"/>
    <s v="SO0002585"/>
    <x v="2"/>
    <x v="1"/>
    <d v="2019-09-18T00:00:00"/>
    <n v="11505"/>
    <x v="0"/>
    <n v="11505"/>
    <x v="0"/>
    <s v="Lot 175498"/>
  </r>
  <r>
    <x v="0"/>
    <s v="SO0002587"/>
    <x v="8"/>
    <x v="4"/>
    <d v="2019-09-20T00:00:00"/>
    <n v="13650"/>
    <x v="0"/>
    <n v="13650"/>
    <x v="0"/>
    <s v="Lot 175639"/>
  </r>
  <r>
    <x v="0"/>
    <s v="SO0002588"/>
    <x v="2"/>
    <x v="1"/>
    <d v="2019-09-19T00:00:00"/>
    <n v="17550"/>
    <x v="0"/>
    <n v="17550"/>
    <x v="0"/>
    <s v="Lot 175641"/>
  </r>
  <r>
    <x v="0"/>
    <s v="SO0002588"/>
    <x v="5"/>
    <x v="2"/>
    <d v="2019-09-19T00:00:00"/>
    <n v="7800"/>
    <x v="0"/>
    <n v="7800"/>
    <x v="0"/>
    <s v="Lot 175642"/>
  </r>
  <r>
    <x v="0"/>
    <s v="SO0002589"/>
    <x v="3"/>
    <x v="1"/>
    <d v="2019-09-19T00:00:00"/>
    <n v="5917"/>
    <x v="0"/>
    <n v="5917"/>
    <x v="0"/>
    <s v="Lot 175741"/>
  </r>
  <r>
    <x v="0"/>
    <s v="SO0002589"/>
    <x v="1"/>
    <x v="1"/>
    <d v="2019-09-19T00:00:00"/>
    <n v="2025"/>
    <x v="0"/>
    <n v="2025"/>
    <x v="0"/>
    <s v="Lot 175753"/>
  </r>
  <r>
    <x v="0"/>
    <s v="SO0002590"/>
    <x v="2"/>
    <x v="1"/>
    <d v="2019-09-19T00:00:00"/>
    <n v="1950"/>
    <x v="0"/>
    <n v="1950"/>
    <x v="0"/>
    <s v="Lot 175772"/>
  </r>
  <r>
    <x v="0"/>
    <s v="SO0002591"/>
    <x v="2"/>
    <x v="1"/>
    <d v="2019-09-19T00:00:00"/>
    <n v="7507.5"/>
    <x v="0"/>
    <n v="7507.5"/>
    <x v="0"/>
    <s v="Lot 175774"/>
  </r>
  <r>
    <x v="0"/>
    <s v="SO0002593"/>
    <x v="5"/>
    <x v="2"/>
    <d v="2019-09-20T00:00:00"/>
    <n v="3120"/>
    <x v="0"/>
    <n v="3120"/>
    <x v="0"/>
    <s v="Lot 175795"/>
  </r>
  <r>
    <x v="0"/>
    <s v="SO0002594"/>
    <x v="9"/>
    <x v="2"/>
    <d v="2019-09-23T00:00:00"/>
    <n v="5383.5"/>
    <x v="0"/>
    <n v="5383.5"/>
    <x v="0"/>
    <s v="Lot 176272"/>
  </r>
  <r>
    <x v="0"/>
    <s v="SO0002594"/>
    <x v="5"/>
    <x v="2"/>
    <d v="2019-09-23T00:00:00"/>
    <n v="10822.5"/>
    <x v="0"/>
    <n v="10822.5"/>
    <x v="0"/>
    <s v="Lot 176273"/>
  </r>
  <r>
    <x v="0"/>
    <s v="SO0002596"/>
    <x v="3"/>
    <x v="1"/>
    <d v="2019-09-24T00:00:00"/>
    <n v="7808.5"/>
    <x v="0"/>
    <n v="7808.5"/>
    <x v="0"/>
    <s v="Lot 176796"/>
  </r>
  <r>
    <x v="0"/>
    <s v="SO0002596"/>
    <x v="2"/>
    <x v="1"/>
    <d v="2019-09-24T00:00:00"/>
    <n v="13747.5"/>
    <x v="0"/>
    <n v="13747.5"/>
    <x v="0"/>
    <s v="Lot 176797"/>
  </r>
  <r>
    <x v="0"/>
    <s v="SO0002597"/>
    <x v="2"/>
    <x v="1"/>
    <d v="2019-09-24T00:00:00"/>
    <n v="3315"/>
    <x v="0"/>
    <n v="3315"/>
    <x v="0"/>
    <s v="Lot 176798"/>
  </r>
  <r>
    <x v="0"/>
    <s v="SO0002598"/>
    <x v="2"/>
    <x v="1"/>
    <d v="2019-09-24T00:00:00"/>
    <n v="5557.5"/>
    <x v="0"/>
    <n v="5557.5"/>
    <x v="0"/>
    <s v="Lot 176799"/>
  </r>
  <r>
    <x v="0"/>
    <s v="SO0002600"/>
    <x v="2"/>
    <x v="1"/>
    <d v="2019-09-25T00:00:00"/>
    <n v="1560"/>
    <x v="0"/>
    <n v="1560"/>
    <x v="0"/>
    <s v="Lot 177014"/>
  </r>
  <r>
    <x v="0"/>
    <s v="SO0002600"/>
    <x v="5"/>
    <x v="2"/>
    <d v="2019-09-25T00:00:00"/>
    <n v="1560"/>
    <x v="0"/>
    <n v="1560"/>
    <x v="0"/>
    <s v="Lot 177015"/>
  </r>
  <r>
    <x v="0"/>
    <s v="SO0002601"/>
    <x v="5"/>
    <x v="2"/>
    <d v="2019-09-25T00:00:00"/>
    <n v="4290"/>
    <x v="0"/>
    <n v="4290"/>
    <x v="0"/>
    <s v="Lot 177016"/>
  </r>
  <r>
    <x v="0"/>
    <s v="SO0002602"/>
    <x v="5"/>
    <x v="2"/>
    <d v="2019-09-25T00:00:00"/>
    <n v="6045"/>
    <x v="0"/>
    <n v="6045"/>
    <x v="0"/>
    <s v="Lot 177017"/>
  </r>
  <r>
    <x v="0"/>
    <s v="SO0002603"/>
    <x v="5"/>
    <x v="2"/>
    <d v="2019-09-25T00:00:00"/>
    <n v="877.5"/>
    <x v="0"/>
    <n v="877.5"/>
    <x v="0"/>
    <s v="Lot 177018"/>
  </r>
  <r>
    <x v="0"/>
    <s v="SO0002603"/>
    <x v="10"/>
    <x v="2"/>
    <d v="2019-09-25T00:00:00"/>
    <n v="375"/>
    <x v="0"/>
    <n v="375"/>
    <x v="0"/>
    <s v="Lot 177019"/>
  </r>
  <r>
    <x v="0"/>
    <s v="SO0002604"/>
    <x v="3"/>
    <x v="1"/>
    <d v="2019-09-25T00:00:00"/>
    <n v="242.5"/>
    <x v="0"/>
    <n v="242.5"/>
    <x v="0"/>
    <s v="Lot 177020"/>
  </r>
  <r>
    <x v="0"/>
    <s v="SO0002605"/>
    <x v="19"/>
    <x v="8"/>
    <d v="2019-09-24T00:00:00"/>
    <n v="1000"/>
    <x v="0"/>
    <n v="1000"/>
    <x v="0"/>
    <s v="Lot 177021"/>
  </r>
  <r>
    <x v="0"/>
    <s v="SO0002605"/>
    <x v="19"/>
    <x v="8"/>
    <d v="2019-09-24T00:00:00"/>
    <n v="1000"/>
    <x v="0"/>
    <n v="1000"/>
    <x v="0"/>
    <s v="Lot 177022"/>
  </r>
  <r>
    <x v="0"/>
    <s v="SO0002610"/>
    <x v="2"/>
    <x v="1"/>
    <d v="2019-09-25T00:00:00"/>
    <n v="975"/>
    <x v="0"/>
    <n v="975"/>
    <x v="0"/>
    <s v="Lot 177054"/>
  </r>
  <r>
    <x v="0"/>
    <s v="SO0002611"/>
    <x v="2"/>
    <x v="1"/>
    <d v="2019-09-25T00:00:00"/>
    <n v="3120"/>
    <x v="0"/>
    <n v="3120"/>
    <x v="0"/>
    <s v="Lot 177055"/>
  </r>
  <r>
    <x v="0"/>
    <s v="SO0002612"/>
    <x v="2"/>
    <x v="1"/>
    <d v="2019-09-26T00:00:00"/>
    <n v="1950"/>
    <x v="0"/>
    <n v="1950"/>
    <x v="0"/>
    <s v="Lot 177278"/>
  </r>
  <r>
    <x v="0"/>
    <s v="SO0002613"/>
    <x v="2"/>
    <x v="1"/>
    <d v="2019-09-26T00:00:00"/>
    <n v="7800"/>
    <x v="0"/>
    <n v="7800"/>
    <x v="0"/>
    <s v="Lot 177279"/>
  </r>
  <r>
    <x v="0"/>
    <s v="SO0002616"/>
    <x v="2"/>
    <x v="1"/>
    <d v="2019-09-27T00:00:00"/>
    <n v="-17550"/>
    <x v="0"/>
    <n v="-17550"/>
    <x v="0"/>
    <s v="Lot 177283"/>
  </r>
  <r>
    <x v="0"/>
    <s v="SO0002616"/>
    <x v="2"/>
    <x v="1"/>
    <d v="2019-09-27T00:00:00"/>
    <n v="17550"/>
    <x v="0"/>
    <n v="17550"/>
    <x v="0"/>
    <s v="Lot 177284"/>
  </r>
  <r>
    <x v="0"/>
    <s v="SO0002616"/>
    <x v="5"/>
    <x v="2"/>
    <d v="2019-09-27T00:00:00"/>
    <n v="-7800"/>
    <x v="0"/>
    <n v="-7800"/>
    <x v="0"/>
    <s v="Lot 177285"/>
  </r>
  <r>
    <x v="0"/>
    <s v="SO0002616"/>
    <x v="5"/>
    <x v="2"/>
    <d v="2019-09-27T00:00:00"/>
    <n v="3900"/>
    <x v="0"/>
    <n v="3900"/>
    <x v="0"/>
    <s v="Lot 177286"/>
  </r>
  <r>
    <x v="0"/>
    <s v="SO0002620"/>
    <x v="10"/>
    <x v="2"/>
    <d v="2019-10-02T00:00:00"/>
    <n v="4575"/>
    <x v="0"/>
    <n v="4575"/>
    <x v="0"/>
    <s v="Lot 179851"/>
  </r>
  <r>
    <x v="0"/>
    <s v="SO0002620"/>
    <x v="5"/>
    <x v="2"/>
    <d v="2019-10-02T00:00:00"/>
    <n v="1950"/>
    <x v="0"/>
    <n v="1950"/>
    <x v="0"/>
    <s v="Lot 179852"/>
  </r>
  <r>
    <x v="0"/>
    <s v="SO0002621"/>
    <x v="2"/>
    <x v="1"/>
    <d v="2019-10-01T00:00:00"/>
    <n v="10627.5"/>
    <x v="0"/>
    <n v="10627.5"/>
    <x v="0"/>
    <s v="Lot 179853"/>
  </r>
  <r>
    <x v="0"/>
    <s v="SO0002622"/>
    <x v="2"/>
    <x v="1"/>
    <d v="2019-10-01T00:00:00"/>
    <n v="11505"/>
    <x v="0"/>
    <n v="11505"/>
    <x v="0"/>
    <s v="Lot 179854"/>
  </r>
  <r>
    <x v="0"/>
    <s v="SO0002623"/>
    <x v="2"/>
    <x v="1"/>
    <d v="2019-10-01T00:00:00"/>
    <n v="2437.5"/>
    <x v="0"/>
    <n v="2437.5"/>
    <x v="0"/>
    <s v="Lot 179855"/>
  </r>
  <r>
    <x v="0"/>
    <s v="SO0002623"/>
    <x v="1"/>
    <x v="1"/>
    <d v="2019-10-01T00:00:00"/>
    <n v="450"/>
    <x v="0"/>
    <n v="450"/>
    <x v="0"/>
    <s v="Lot 179856"/>
  </r>
  <r>
    <x v="0"/>
    <s v="SO0002623"/>
    <x v="11"/>
    <x v="3"/>
    <d v="2019-10-01T00:00:00"/>
    <n v="582"/>
    <x v="0"/>
    <n v="582"/>
    <x v="0"/>
    <s v="Lot 179857"/>
  </r>
  <r>
    <x v="0"/>
    <s v="SO0002625"/>
    <x v="5"/>
    <x v="2"/>
    <d v="2019-10-01T00:00:00"/>
    <n v="17355"/>
    <x v="0"/>
    <n v="17355"/>
    <x v="0"/>
    <s v="Lot 179878"/>
  </r>
  <r>
    <x v="0"/>
    <s v="SO0002625"/>
    <x v="2"/>
    <x v="1"/>
    <d v="2019-10-01T00:00:00"/>
    <n v="1365"/>
    <x v="0"/>
    <n v="1365"/>
    <x v="0"/>
    <s v="Lot 179879"/>
  </r>
  <r>
    <x v="0"/>
    <s v="SO0002626"/>
    <x v="2"/>
    <x v="1"/>
    <d v="2019-10-01T00:00:00"/>
    <n v="10237.5"/>
    <x v="0"/>
    <n v="10237.5"/>
    <x v="0"/>
    <s v="Lot 179880"/>
  </r>
  <r>
    <x v="0"/>
    <s v="SO0002627"/>
    <x v="5"/>
    <x v="2"/>
    <d v="2019-10-01T00:00:00"/>
    <n v="4192.5"/>
    <x v="0"/>
    <n v="4192.5"/>
    <x v="0"/>
    <s v="Lot 179881"/>
  </r>
  <r>
    <x v="0"/>
    <s v="SO0002628"/>
    <x v="5"/>
    <x v="2"/>
    <d v="2019-10-01T00:00:00"/>
    <n v="9457.5"/>
    <x v="0"/>
    <n v="9457.5"/>
    <x v="0"/>
    <s v="Lot 179882"/>
  </r>
  <r>
    <x v="0"/>
    <s v="SO0002629"/>
    <x v="2"/>
    <x v="1"/>
    <d v="2019-10-01T00:00:00"/>
    <n v="2145"/>
    <x v="0"/>
    <n v="2145"/>
    <x v="0"/>
    <s v="Lot 179883"/>
  </r>
  <r>
    <x v="0"/>
    <s v="SO0002631"/>
    <x v="5"/>
    <x v="2"/>
    <d v="2019-10-01T00:00:00"/>
    <n v="1950"/>
    <x v="0"/>
    <n v="1950"/>
    <x v="0"/>
    <s v="Lot 179885"/>
  </r>
  <r>
    <x v="0"/>
    <s v="SO0002631"/>
    <x v="10"/>
    <x v="2"/>
    <d v="2019-10-01T00:00:00"/>
    <n v="1500"/>
    <x v="0"/>
    <n v="1500"/>
    <x v="0"/>
    <s v="Lot 179886"/>
  </r>
  <r>
    <x v="0"/>
    <s v="SO0002632"/>
    <x v="5"/>
    <x v="2"/>
    <d v="2019-10-01T00:00:00"/>
    <n v="4387.5"/>
    <x v="0"/>
    <n v="4387.5"/>
    <x v="0"/>
    <s v="Lot 179889"/>
  </r>
  <r>
    <x v="0"/>
    <s v="SO0002633"/>
    <x v="2"/>
    <x v="1"/>
    <d v="2019-10-01T00:00:00"/>
    <n v="2925"/>
    <x v="0"/>
    <n v="2925"/>
    <x v="0"/>
    <s v="Lot 179890"/>
  </r>
  <r>
    <x v="0"/>
    <s v="SO0002635"/>
    <x v="2"/>
    <x v="1"/>
    <d v="2019-10-02T00:00:00"/>
    <n v="2145"/>
    <x v="0"/>
    <n v="2145"/>
    <x v="0"/>
    <s v="Lot 179893"/>
  </r>
  <r>
    <x v="0"/>
    <s v="SO0002636"/>
    <x v="5"/>
    <x v="2"/>
    <d v="2019-10-02T00:00:00"/>
    <n v="4485"/>
    <x v="0"/>
    <n v="4485"/>
    <x v="0"/>
    <s v="Lot 179894"/>
  </r>
  <r>
    <x v="0"/>
    <s v="SO0002637"/>
    <x v="2"/>
    <x v="1"/>
    <d v="2019-10-02T00:00:00"/>
    <n v="195"/>
    <x v="0"/>
    <n v="195"/>
    <x v="0"/>
    <s v="Lot 179895"/>
  </r>
  <r>
    <x v="0"/>
    <s v="SO0002637"/>
    <x v="3"/>
    <x v="1"/>
    <d v="2019-10-02T00:00:00"/>
    <n v="97"/>
    <x v="0"/>
    <n v="97"/>
    <x v="0"/>
    <s v="Lot 179896"/>
  </r>
  <r>
    <x v="0"/>
    <s v="SO0002639"/>
    <x v="2"/>
    <x v="1"/>
    <d v="2019-10-03T00:00:00"/>
    <n v="5070"/>
    <x v="0"/>
    <n v="5070"/>
    <x v="0"/>
    <s v="Lot 180250"/>
  </r>
  <r>
    <x v="0"/>
    <s v="SO0002640"/>
    <x v="5"/>
    <x v="2"/>
    <d v="2019-10-03T00:00:00"/>
    <n v="3705"/>
    <x v="0"/>
    <n v="3705"/>
    <x v="0"/>
    <s v="Lot 180251"/>
  </r>
  <r>
    <x v="0"/>
    <s v="SO0002641"/>
    <x v="2"/>
    <x v="1"/>
    <d v="2019-10-03T00:00:00"/>
    <n v="2535"/>
    <x v="0"/>
    <n v="2535"/>
    <x v="0"/>
    <s v="Lot 180252"/>
  </r>
  <r>
    <x v="0"/>
    <s v="SO0002644"/>
    <x v="2"/>
    <x v="1"/>
    <d v="2019-10-04T00:00:00"/>
    <n v="-2535"/>
    <x v="0"/>
    <n v="-2535"/>
    <x v="0"/>
    <s v="Lot 180525"/>
  </r>
  <r>
    <x v="0"/>
    <s v="SO0002644"/>
    <x v="2"/>
    <x v="1"/>
    <d v="2019-10-04T00:00:00"/>
    <n v="2437.5"/>
    <x v="0"/>
    <n v="2437.5"/>
    <x v="0"/>
    <s v="Lot 180526"/>
  </r>
  <r>
    <x v="0"/>
    <s v="SO0002645"/>
    <x v="19"/>
    <x v="8"/>
    <d v="2019-10-04T00:00:00"/>
    <n v="1500"/>
    <x v="0"/>
    <n v="1500"/>
    <x v="0"/>
    <s v="Lot 180528"/>
  </r>
  <r>
    <x v="0"/>
    <s v="SO0002648"/>
    <x v="2"/>
    <x v="1"/>
    <d v="2019-10-07T00:00:00"/>
    <n v="4875"/>
    <x v="0"/>
    <n v="4875"/>
    <x v="0"/>
    <s v="Lot 180695"/>
  </r>
  <r>
    <x v="0"/>
    <s v="SO0002650"/>
    <x v="5"/>
    <x v="2"/>
    <d v="2019-10-07T00:00:00"/>
    <n v="390"/>
    <x v="0"/>
    <n v="390"/>
    <x v="0"/>
    <s v="Lot 180733"/>
  </r>
  <r>
    <x v="0"/>
    <s v="SO0002651"/>
    <x v="5"/>
    <x v="2"/>
    <d v="2019-10-04T00:00:00"/>
    <n v="975"/>
    <x v="0"/>
    <n v="975"/>
    <x v="0"/>
    <s v="Lot 180794"/>
  </r>
  <r>
    <x v="0"/>
    <s v="SO0002654"/>
    <x v="1"/>
    <x v="1"/>
    <d v="2019-10-08T00:00:00"/>
    <n v="3000"/>
    <x v="0"/>
    <n v="3000"/>
    <x v="0"/>
    <s v="Lot 181002"/>
  </r>
  <r>
    <x v="0"/>
    <s v="SO0002654"/>
    <x v="2"/>
    <x v="1"/>
    <d v="2019-10-08T00:00:00"/>
    <n v="1950"/>
    <x v="0"/>
    <n v="1950"/>
    <x v="0"/>
    <s v="Lot 181003"/>
  </r>
  <r>
    <x v="0"/>
    <s v="SO0002655"/>
    <x v="2"/>
    <x v="1"/>
    <d v="2019-10-08T00:00:00"/>
    <n v="6337.5"/>
    <x v="0"/>
    <n v="6337.5"/>
    <x v="0"/>
    <s v="Lot 181004"/>
  </r>
  <r>
    <x v="0"/>
    <s v="SO0002655"/>
    <x v="3"/>
    <x v="1"/>
    <d v="2019-10-08T00:00:00"/>
    <n v="388"/>
    <x v="0"/>
    <n v="388"/>
    <x v="0"/>
    <s v="Lot 181005"/>
  </r>
  <r>
    <x v="0"/>
    <s v="SO0002656"/>
    <x v="1"/>
    <x v="1"/>
    <d v="2019-10-08T00:00:00"/>
    <n v="3000"/>
    <x v="0"/>
    <n v="3000"/>
    <x v="0"/>
    <s v="Lot 181006"/>
  </r>
  <r>
    <x v="0"/>
    <s v="SO0002656"/>
    <x v="2"/>
    <x v="1"/>
    <d v="2019-10-08T00:00:00"/>
    <n v="7897.5"/>
    <x v="0"/>
    <n v="7897.5"/>
    <x v="0"/>
    <s v="Lot 181007"/>
  </r>
  <r>
    <x v="0"/>
    <s v="SO0002657"/>
    <x v="5"/>
    <x v="2"/>
    <d v="2019-10-08T00:00:00"/>
    <n v="3022.5"/>
    <x v="0"/>
    <n v="3022.5"/>
    <x v="0"/>
    <s v="Lot 181026"/>
  </r>
  <r>
    <x v="0"/>
    <s v="SO0002658"/>
    <x v="2"/>
    <x v="1"/>
    <d v="2019-10-09T00:00:00"/>
    <n v="3997.5"/>
    <x v="0"/>
    <n v="3997.5"/>
    <x v="0"/>
    <s v="Lot 181126"/>
  </r>
  <r>
    <x v="0"/>
    <s v="SO0002659"/>
    <x v="3"/>
    <x v="1"/>
    <d v="2019-10-09T00:00:00"/>
    <n v="1212.5"/>
    <x v="0"/>
    <n v="1212.5"/>
    <x v="0"/>
    <s v="Lot 181369"/>
  </r>
  <r>
    <x v="0"/>
    <s v="SO0002659"/>
    <x v="2"/>
    <x v="1"/>
    <d v="2019-10-09T00:00:00"/>
    <n v="4875"/>
    <x v="0"/>
    <n v="4875"/>
    <x v="0"/>
    <s v="Lot 181370"/>
  </r>
  <r>
    <x v="0"/>
    <s v="SO0002660"/>
    <x v="5"/>
    <x v="2"/>
    <d v="2019-10-10T00:00:00"/>
    <n v="195"/>
    <x v="0"/>
    <n v="195"/>
    <x v="0"/>
    <s v="Lot 181371"/>
  </r>
  <r>
    <x v="0"/>
    <s v="SO0002665"/>
    <x v="9"/>
    <x v="2"/>
    <d v="2019-10-14T00:00:00"/>
    <n v="97"/>
    <x v="0"/>
    <n v="97"/>
    <x v="0"/>
    <s v="Lot 182060"/>
  </r>
  <r>
    <x v="0"/>
    <s v="SO0002665"/>
    <x v="10"/>
    <x v="2"/>
    <d v="2019-10-14T00:00:00"/>
    <n v="4650"/>
    <x v="0"/>
    <n v="4650"/>
    <x v="0"/>
    <s v="Lot 182061"/>
  </r>
  <r>
    <x v="0"/>
    <s v="SO0002665"/>
    <x v="5"/>
    <x v="2"/>
    <d v="2019-10-14T00:00:00"/>
    <n v="18135"/>
    <x v="0"/>
    <n v="18135"/>
    <x v="0"/>
    <s v="Lot 182062"/>
  </r>
  <r>
    <x v="0"/>
    <s v="SO0002666"/>
    <x v="2"/>
    <x v="1"/>
    <d v="2019-10-15T00:00:00"/>
    <n v="2145"/>
    <x v="0"/>
    <n v="2145"/>
    <x v="0"/>
    <s v="Lot 182082"/>
  </r>
  <r>
    <x v="0"/>
    <s v="SO0002666"/>
    <x v="2"/>
    <x v="1"/>
    <d v="2019-10-15T00:00:00"/>
    <n v="-2145"/>
    <x v="0"/>
    <n v="-2145"/>
    <x v="0"/>
    <s v="Lot 182138"/>
  </r>
  <r>
    <x v="0"/>
    <s v="SO0002666"/>
    <x v="3"/>
    <x v="1"/>
    <d v="2019-10-15T00:00:00"/>
    <n v="2134"/>
    <x v="0"/>
    <n v="2134"/>
    <x v="0"/>
    <s v="Lot 182157"/>
  </r>
  <r>
    <x v="0"/>
    <s v="SO0002668"/>
    <x v="2"/>
    <x v="1"/>
    <d v="2019-10-15T00:00:00"/>
    <n v="7800"/>
    <x v="0"/>
    <n v="7800"/>
    <x v="0"/>
    <s v="Lot 182306"/>
  </r>
  <r>
    <x v="0"/>
    <s v="SO0002668"/>
    <x v="5"/>
    <x v="2"/>
    <d v="2019-10-15T00:00:00"/>
    <n v="5850"/>
    <x v="0"/>
    <n v="5850"/>
    <x v="0"/>
    <s v="Lot 182316"/>
  </r>
  <r>
    <x v="0"/>
    <s v="SO0002669"/>
    <x v="1"/>
    <x v="1"/>
    <d v="2019-10-15T00:00:00"/>
    <n v="3750"/>
    <x v="0"/>
    <n v="3750"/>
    <x v="0"/>
    <s v="Lot 182318"/>
  </r>
  <r>
    <x v="0"/>
    <s v="SO0002669"/>
    <x v="2"/>
    <x v="1"/>
    <d v="2019-10-15T00:00:00"/>
    <n v="2437.5"/>
    <x v="0"/>
    <n v="2437.5"/>
    <x v="0"/>
    <s v="Lot 182319"/>
  </r>
  <r>
    <x v="0"/>
    <s v="SO0002670"/>
    <x v="2"/>
    <x v="1"/>
    <d v="2019-10-15T00:00:00"/>
    <n v="8190"/>
    <x v="0"/>
    <n v="8190"/>
    <x v="0"/>
    <s v="Lot 182320"/>
  </r>
  <r>
    <x v="0"/>
    <s v="SO0002671"/>
    <x v="19"/>
    <x v="8"/>
    <d v="2019-10-15T00:00:00"/>
    <n v="80"/>
    <x v="0"/>
    <n v="80"/>
    <x v="0"/>
    <s v="Lot 182430"/>
  </r>
  <r>
    <x v="0"/>
    <s v="SO0002672"/>
    <x v="5"/>
    <x v="2"/>
    <d v="2019-10-16T00:00:00"/>
    <n v="11992.5"/>
    <x v="0"/>
    <n v="11992.5"/>
    <x v="0"/>
    <s v="Lot 182432"/>
  </r>
  <r>
    <x v="0"/>
    <s v="SO0002673"/>
    <x v="3"/>
    <x v="1"/>
    <d v="2019-10-16T00:00:00"/>
    <n v="97"/>
    <x v="0"/>
    <n v="97"/>
    <x v="0"/>
    <s v="Lot 183326"/>
  </r>
  <r>
    <x v="0"/>
    <s v="SO0002673"/>
    <x v="2"/>
    <x v="1"/>
    <d v="2019-10-16T00:00:00"/>
    <n v="975"/>
    <x v="0"/>
    <n v="975"/>
    <x v="0"/>
    <s v="Lot 183327"/>
  </r>
  <r>
    <x v="0"/>
    <s v="SO0002674"/>
    <x v="3"/>
    <x v="1"/>
    <d v="2019-10-17T00:00:00"/>
    <n v="97"/>
    <x v="0"/>
    <n v="97"/>
    <x v="0"/>
    <s v="Lot 183328"/>
  </r>
  <r>
    <x v="0"/>
    <s v="SO0002674"/>
    <x v="2"/>
    <x v="1"/>
    <d v="2019-10-17T00:00:00"/>
    <n v="487.5"/>
    <x v="0"/>
    <n v="487.5"/>
    <x v="0"/>
    <s v="Lot 183329"/>
  </r>
  <r>
    <x v="0"/>
    <s v="SO0002679"/>
    <x v="3"/>
    <x v="1"/>
    <d v="2019-10-17T00:00:00"/>
    <n v="1018.5"/>
    <x v="0"/>
    <n v="1018.5"/>
    <x v="0"/>
    <s v="Lot 183340"/>
  </r>
  <r>
    <x v="0"/>
    <s v="SO0002682"/>
    <x v="5"/>
    <x v="2"/>
    <d v="2019-10-18T00:00:00"/>
    <n v="2242.5"/>
    <x v="0"/>
    <n v="2242.5"/>
    <x v="0"/>
    <s v="Lot 183351"/>
  </r>
  <r>
    <x v="0"/>
    <s v="SO0002683"/>
    <x v="3"/>
    <x v="1"/>
    <d v="2019-10-16T00:00:00"/>
    <n v="2134"/>
    <x v="0"/>
    <n v="2134"/>
    <x v="0"/>
    <s v="Lot 183352"/>
  </r>
  <r>
    <x v="0"/>
    <s v="SO0002684"/>
    <x v="2"/>
    <x v="1"/>
    <d v="2019-10-21T00:00:00"/>
    <n v="487.5"/>
    <x v="0"/>
    <n v="487.5"/>
    <x v="0"/>
    <s v="Lot 183353"/>
  </r>
  <r>
    <x v="0"/>
    <s v="SO0002685"/>
    <x v="5"/>
    <x v="2"/>
    <d v="2019-10-21T00:00:00"/>
    <n v="1755"/>
    <x v="0"/>
    <n v="1755"/>
    <x v="0"/>
    <s v="Lot 183354"/>
  </r>
  <r>
    <x v="0"/>
    <s v="SO0002686"/>
    <x v="5"/>
    <x v="2"/>
    <d v="2019-10-21T00:00:00"/>
    <n v="487.5"/>
    <x v="0"/>
    <n v="487.5"/>
    <x v="0"/>
    <s v="Lot 183355"/>
  </r>
  <r>
    <x v="0"/>
    <s v="SO0002687"/>
    <x v="2"/>
    <x v="1"/>
    <d v="2019-10-21T00:00:00"/>
    <n v="6045"/>
    <x v="0"/>
    <n v="6045"/>
    <x v="0"/>
    <s v="Lot 183356"/>
  </r>
  <r>
    <x v="0"/>
    <s v="SO0002688"/>
    <x v="2"/>
    <x v="1"/>
    <d v="2019-10-21T00:00:00"/>
    <n v="15307.5"/>
    <x v="0"/>
    <n v="15307.5"/>
    <x v="0"/>
    <s v="Lot 183357"/>
  </r>
  <r>
    <x v="0"/>
    <s v="SO0002689"/>
    <x v="2"/>
    <x v="1"/>
    <d v="2019-10-21T00:00:00"/>
    <n v="7020"/>
    <x v="0"/>
    <n v="7020"/>
    <x v="0"/>
    <s v="Lot 183358"/>
  </r>
  <r>
    <x v="0"/>
    <s v="SO0002690"/>
    <x v="2"/>
    <x v="1"/>
    <d v="2019-10-21T00:00:00"/>
    <n v="17647.5"/>
    <x v="0"/>
    <n v="17647.5"/>
    <x v="0"/>
    <s v="Lot 183359"/>
  </r>
  <r>
    <x v="0"/>
    <s v="SO0002691"/>
    <x v="9"/>
    <x v="2"/>
    <d v="2019-10-21T00:00:00"/>
    <n v="2473.5"/>
    <x v="0"/>
    <n v="2473.5"/>
    <x v="0"/>
    <s v="Lot 183360"/>
  </r>
  <r>
    <x v="0"/>
    <s v="SO0002691"/>
    <x v="5"/>
    <x v="2"/>
    <d v="2019-10-21T00:00:00"/>
    <n v="24375"/>
    <x v="0"/>
    <n v="24375"/>
    <x v="0"/>
    <s v="Lot 183361"/>
  </r>
  <r>
    <x v="0"/>
    <s v="SO0002692"/>
    <x v="5"/>
    <x v="2"/>
    <d v="2019-10-22T00:00:00"/>
    <n v="5557.5"/>
    <x v="0"/>
    <n v="5557.5"/>
    <x v="0"/>
    <s v="Lot 183362"/>
  </r>
  <r>
    <x v="0"/>
    <s v="SO0002695"/>
    <x v="3"/>
    <x v="1"/>
    <d v="2019-10-22T00:00:00"/>
    <n v="-388"/>
    <x v="0"/>
    <n v="-388"/>
    <x v="0"/>
    <s v="Lot 183371"/>
  </r>
  <r>
    <x v="0"/>
    <s v="SO0002700"/>
    <x v="3"/>
    <x v="1"/>
    <d v="2019-10-22T00:00:00"/>
    <n v="485"/>
    <x v="0"/>
    <n v="485"/>
    <x v="0"/>
    <s v="Lot 183616"/>
  </r>
  <r>
    <x v="0"/>
    <s v="SO0002700"/>
    <x v="2"/>
    <x v="1"/>
    <d v="2019-10-22T00:00:00"/>
    <n v="390"/>
    <x v="0"/>
    <n v="390"/>
    <x v="0"/>
    <s v="Lot 183617"/>
  </r>
  <r>
    <x v="0"/>
    <s v="SO0002701"/>
    <x v="5"/>
    <x v="2"/>
    <d v="2019-10-22T00:00:00"/>
    <n v="2437.5"/>
    <x v="0"/>
    <n v="2437.5"/>
    <x v="0"/>
    <s v="Lot 183618"/>
  </r>
  <r>
    <x v="0"/>
    <s v="SO0002701"/>
    <x v="5"/>
    <x v="2"/>
    <d v="2019-10-22T00:00:00"/>
    <n v="97.5"/>
    <x v="0"/>
    <n v="97.5"/>
    <x v="0"/>
    <s v="Lot 183631"/>
  </r>
  <r>
    <x v="0"/>
    <s v="SO0002705"/>
    <x v="5"/>
    <x v="2"/>
    <d v="2019-10-09T00:00:00"/>
    <n v="3120"/>
    <x v="0"/>
    <n v="3120"/>
    <x v="0"/>
    <s v="Lot 183630"/>
  </r>
  <r>
    <x v="0"/>
    <s v="SO0002710"/>
    <x v="2"/>
    <x v="1"/>
    <d v="2019-10-23T00:00:00"/>
    <n v="9067.5"/>
    <x v="0"/>
    <n v="9067.5"/>
    <x v="0"/>
    <s v="Lot 183933"/>
  </r>
  <r>
    <x v="0"/>
    <s v="SO0002713"/>
    <x v="2"/>
    <x v="1"/>
    <d v="2019-10-24T00:00:00"/>
    <n v="1950"/>
    <x v="0"/>
    <n v="1950"/>
    <x v="0"/>
    <s v="Lot 183936"/>
  </r>
  <r>
    <x v="0"/>
    <s v="SO0002714"/>
    <x v="9"/>
    <x v="2"/>
    <d v="2019-10-24T00:00:00"/>
    <n v="3783"/>
    <x v="0"/>
    <n v="3783"/>
    <x v="0"/>
    <s v="Lot 183937"/>
  </r>
  <r>
    <x v="0"/>
    <s v="SO0002715"/>
    <x v="5"/>
    <x v="2"/>
    <d v="2019-10-23T00:00:00"/>
    <n v="1852.5"/>
    <x v="0"/>
    <n v="1852.5"/>
    <x v="0"/>
    <s v="Lot 183954"/>
  </r>
  <r>
    <x v="0"/>
    <s v="SO0002716"/>
    <x v="5"/>
    <x v="2"/>
    <d v="2019-10-24T00:00:00"/>
    <n v="6142.5"/>
    <x v="0"/>
    <n v="6142.5"/>
    <x v="0"/>
    <s v="Lot 183955"/>
  </r>
  <r>
    <x v="0"/>
    <s v="SO0002718"/>
    <x v="8"/>
    <x v="4"/>
    <d v="2019-10-28T00:00:00"/>
    <n v="5070"/>
    <x v="0"/>
    <n v="5070"/>
    <x v="0"/>
    <s v="Lot 184277"/>
  </r>
  <r>
    <x v="0"/>
    <s v="SO0002718"/>
    <x v="6"/>
    <x v="3"/>
    <d v="2019-10-28T00:00:00"/>
    <n v="6630"/>
    <x v="0"/>
    <n v="6630"/>
    <x v="0"/>
    <s v="Lot 184278"/>
  </r>
  <r>
    <x v="0"/>
    <s v="SO0002719"/>
    <x v="2"/>
    <x v="1"/>
    <d v="2019-10-28T00:00:00"/>
    <n v="6045"/>
    <x v="0"/>
    <n v="6045"/>
    <x v="0"/>
    <s v="Lot 184609"/>
  </r>
  <r>
    <x v="0"/>
    <s v="SO0002720"/>
    <x v="2"/>
    <x v="1"/>
    <d v="2019-10-28T00:00:00"/>
    <n v="7215"/>
    <x v="0"/>
    <n v="7215"/>
    <x v="0"/>
    <s v="Lot 184610"/>
  </r>
  <r>
    <x v="0"/>
    <s v="SO0002720"/>
    <x v="1"/>
    <x v="1"/>
    <d v="2019-10-28T00:00:00"/>
    <n v="1950"/>
    <x v="0"/>
    <n v="1950"/>
    <x v="0"/>
    <s v="Lot 184611"/>
  </r>
  <r>
    <x v="0"/>
    <s v="SO0002721"/>
    <x v="2"/>
    <x v="1"/>
    <d v="2019-10-28T00:00:00"/>
    <n v="9457.5"/>
    <x v="0"/>
    <n v="9457.5"/>
    <x v="0"/>
    <s v="Lot 184612"/>
  </r>
  <r>
    <x v="0"/>
    <s v="SO0002721"/>
    <x v="1"/>
    <x v="1"/>
    <d v="2019-10-28T00:00:00"/>
    <n v="3600"/>
    <x v="0"/>
    <n v="3600"/>
    <x v="0"/>
    <s v="Lot 184613"/>
  </r>
  <r>
    <x v="0"/>
    <s v="SO0002722"/>
    <x v="5"/>
    <x v="2"/>
    <d v="2019-10-28T00:00:00"/>
    <n v="4875"/>
    <x v="0"/>
    <n v="4875"/>
    <x v="0"/>
    <s v="Lot 184632"/>
  </r>
  <r>
    <x v="0"/>
    <s v="SO0002722"/>
    <x v="10"/>
    <x v="2"/>
    <d v="2019-10-28T00:00:00"/>
    <n v="3750"/>
    <x v="0"/>
    <n v="3750"/>
    <x v="0"/>
    <s v="Lot 184633"/>
  </r>
  <r>
    <x v="0"/>
    <s v="SO0002723"/>
    <x v="2"/>
    <x v="1"/>
    <d v="2019-10-28T00:00:00"/>
    <n v="1560"/>
    <x v="0"/>
    <n v="1560"/>
    <x v="0"/>
    <s v="Lot 184634"/>
  </r>
  <r>
    <x v="0"/>
    <s v="SO0002724"/>
    <x v="2"/>
    <x v="1"/>
    <d v="2019-10-29T00:00:00"/>
    <n v="1365"/>
    <x v="0"/>
    <n v="1365"/>
    <x v="0"/>
    <s v="Lot 184803"/>
  </r>
  <r>
    <x v="0"/>
    <s v="SO0002725"/>
    <x v="2"/>
    <x v="1"/>
    <d v="2019-10-29T00:00:00"/>
    <n v="1950"/>
    <x v="0"/>
    <n v="1950"/>
    <x v="0"/>
    <s v="Lot 184816"/>
  </r>
  <r>
    <x v="0"/>
    <s v="SO0002726"/>
    <x v="2"/>
    <x v="1"/>
    <d v="2019-10-29T00:00:00"/>
    <n v="682.5"/>
    <x v="0"/>
    <n v="682.5"/>
    <x v="0"/>
    <s v="Lot 184832"/>
  </r>
  <r>
    <x v="0"/>
    <s v="SO0002735"/>
    <x v="3"/>
    <x v="1"/>
    <d v="2019-10-31T00:00:00"/>
    <n v="-388"/>
    <x v="0"/>
    <n v="-388"/>
    <x v="0"/>
    <s v="Lot 185264"/>
  </r>
  <r>
    <x v="0"/>
    <s v="SO0002737"/>
    <x v="1"/>
    <x v="1"/>
    <d v="2019-10-31T00:00:00"/>
    <n v="675"/>
    <x v="0"/>
    <n v="675"/>
    <x v="0"/>
    <s v="Lot 185484"/>
  </r>
  <r>
    <x v="0"/>
    <s v="SO0002737"/>
    <x v="2"/>
    <x v="1"/>
    <d v="2019-10-31T00:00:00"/>
    <n v="1755"/>
    <x v="0"/>
    <n v="1755"/>
    <x v="0"/>
    <s v="Lot 185485"/>
  </r>
  <r>
    <x v="0"/>
    <s v="SO0002738"/>
    <x v="2"/>
    <x v="1"/>
    <d v="2019-11-04T00:00:00"/>
    <n v="585"/>
    <x v="0"/>
    <n v="585"/>
    <x v="0"/>
    <s v="Lot 185486"/>
  </r>
  <r>
    <x v="0"/>
    <s v="SO0002739"/>
    <x v="8"/>
    <x v="4"/>
    <d v="2019-11-04T00:00:00"/>
    <n v="2925"/>
    <x v="0"/>
    <n v="2925"/>
    <x v="0"/>
    <s v="Lot 185487"/>
  </r>
  <r>
    <x v="0"/>
    <s v="SO0002740"/>
    <x v="10"/>
    <x v="2"/>
    <d v="2019-11-04T00:00:00"/>
    <n v="3750"/>
    <x v="0"/>
    <n v="3750"/>
    <x v="0"/>
    <s v="Lot 185488"/>
  </r>
  <r>
    <x v="0"/>
    <s v="SO0002740"/>
    <x v="5"/>
    <x v="2"/>
    <d v="2019-11-04T00:00:00"/>
    <n v="2145"/>
    <x v="0"/>
    <n v="2145"/>
    <x v="0"/>
    <s v="Lot 185495"/>
  </r>
  <r>
    <x v="0"/>
    <s v="SO0002741"/>
    <x v="9"/>
    <x v="2"/>
    <d v="2019-11-04T00:00:00"/>
    <n v="3298"/>
    <x v="0"/>
    <n v="3298"/>
    <x v="0"/>
    <s v="Lot 185526"/>
  </r>
  <r>
    <x v="0"/>
    <s v="SO0002741"/>
    <x v="5"/>
    <x v="2"/>
    <d v="2019-11-04T00:00:00"/>
    <n v="7215"/>
    <x v="0"/>
    <n v="7215"/>
    <x v="0"/>
    <s v="Lot 185527"/>
  </r>
  <r>
    <x v="0"/>
    <s v="SO0002742"/>
    <x v="5"/>
    <x v="2"/>
    <d v="2019-11-04T00:00:00"/>
    <n v="780"/>
    <x v="0"/>
    <n v="780"/>
    <x v="0"/>
    <s v="Lot 185528"/>
  </r>
  <r>
    <x v="0"/>
    <s v="SO0002743"/>
    <x v="9"/>
    <x v="2"/>
    <d v="2019-11-04T00:00:00"/>
    <n v="194"/>
    <x v="0"/>
    <n v="194"/>
    <x v="0"/>
    <s v="Lot 185547"/>
  </r>
  <r>
    <x v="0"/>
    <s v="SO0002743"/>
    <x v="5"/>
    <x v="2"/>
    <d v="2019-11-04T00:00:00"/>
    <n v="585"/>
    <x v="0"/>
    <n v="585"/>
    <x v="0"/>
    <s v="Lot 185548"/>
  </r>
  <r>
    <x v="0"/>
    <s v="SO0002744"/>
    <x v="3"/>
    <x v="1"/>
    <d v="2019-11-04T00:00:00"/>
    <n v="2667.5"/>
    <x v="0"/>
    <n v="2667.5"/>
    <x v="0"/>
    <s v="Lot 185567"/>
  </r>
  <r>
    <x v="0"/>
    <s v="SO0002745"/>
    <x v="2"/>
    <x v="1"/>
    <d v="2019-11-04T00:00:00"/>
    <n v="8190"/>
    <x v="0"/>
    <n v="8190"/>
    <x v="0"/>
    <s v="Lot 185568"/>
  </r>
  <r>
    <x v="0"/>
    <s v="SO0002746"/>
    <x v="2"/>
    <x v="1"/>
    <d v="2019-11-04T00:00:00"/>
    <n v="1950"/>
    <x v="0"/>
    <n v="1950"/>
    <x v="0"/>
    <s v="Lot 185569"/>
  </r>
  <r>
    <x v="0"/>
    <s v="SO0002747"/>
    <x v="2"/>
    <x v="1"/>
    <d v="2019-11-05T00:00:00"/>
    <n v="1950"/>
    <x v="0"/>
    <n v="1950"/>
    <x v="0"/>
    <s v="Lot 185751"/>
  </r>
  <r>
    <x v="0"/>
    <s v="SO0002748"/>
    <x v="5"/>
    <x v="2"/>
    <d v="2019-11-06T00:00:00"/>
    <n v="975"/>
    <x v="0"/>
    <n v="975"/>
    <x v="0"/>
    <s v="Lot 185773"/>
  </r>
  <r>
    <x v="0"/>
    <s v="SO0002748"/>
    <x v="5"/>
    <x v="2"/>
    <d v="2019-11-06T00:00:00"/>
    <n v="-292.5"/>
    <x v="0"/>
    <n v="-292.5"/>
    <x v="0"/>
    <s v="Lot 186022"/>
  </r>
  <r>
    <x v="0"/>
    <s v="SO0002749"/>
    <x v="1"/>
    <x v="1"/>
    <d v="2019-11-05T00:00:00"/>
    <n v="7950"/>
    <x v="0"/>
    <n v="7950"/>
    <x v="0"/>
    <s v="Lot 185982"/>
  </r>
  <r>
    <x v="0"/>
    <s v="SO0002749"/>
    <x v="2"/>
    <x v="1"/>
    <d v="2019-11-05T00:00:00"/>
    <n v="487.5"/>
    <x v="0"/>
    <n v="487.5"/>
    <x v="0"/>
    <s v="Lot 185983"/>
  </r>
  <r>
    <x v="0"/>
    <s v="SO0002751"/>
    <x v="2"/>
    <x v="1"/>
    <d v="2019-11-05T00:00:00"/>
    <n v="6045"/>
    <x v="0"/>
    <n v="6045"/>
    <x v="0"/>
    <s v="Lot 185985"/>
  </r>
  <r>
    <x v="0"/>
    <s v="SO0002752"/>
    <x v="2"/>
    <x v="1"/>
    <d v="2019-11-05T00:00:00"/>
    <n v="2145"/>
    <x v="0"/>
    <n v="2145"/>
    <x v="0"/>
    <s v="Lot 185986"/>
  </r>
  <r>
    <x v="0"/>
    <s v="SO0002753"/>
    <x v="2"/>
    <x v="1"/>
    <d v="2019-11-06T00:00:00"/>
    <n v="5070"/>
    <x v="0"/>
    <n v="5070"/>
    <x v="0"/>
    <s v="Lot 185987"/>
  </r>
  <r>
    <x v="0"/>
    <s v="SO0002754"/>
    <x v="2"/>
    <x v="1"/>
    <d v="2019-11-06T00:00:00"/>
    <n v="2535"/>
    <x v="0"/>
    <n v="2535"/>
    <x v="0"/>
    <s v="Lot 185988"/>
  </r>
  <r>
    <x v="0"/>
    <s v="SO0002754"/>
    <x v="3"/>
    <x v="1"/>
    <d v="2019-11-06T00:00:00"/>
    <n v="2037"/>
    <x v="0"/>
    <n v="2037"/>
    <x v="0"/>
    <s v="Lot 185989"/>
  </r>
  <r>
    <x v="0"/>
    <s v="SO0002756"/>
    <x v="2"/>
    <x v="1"/>
    <d v="2019-11-06T00:00:00"/>
    <n v="15015"/>
    <x v="0"/>
    <n v="15015"/>
    <x v="0"/>
    <s v="Lot 185991"/>
  </r>
  <r>
    <x v="0"/>
    <s v="SO0002757"/>
    <x v="1"/>
    <x v="1"/>
    <d v="2019-11-06T00:00:00"/>
    <n v="225"/>
    <x v="0"/>
    <n v="225"/>
    <x v="0"/>
    <s v="Lot 186063"/>
  </r>
  <r>
    <x v="0"/>
    <s v="SO0002757"/>
    <x v="2"/>
    <x v="1"/>
    <d v="2019-11-06T00:00:00"/>
    <n v="292.5"/>
    <x v="0"/>
    <n v="292.5"/>
    <x v="0"/>
    <s v="Lot 186064"/>
  </r>
  <r>
    <x v="0"/>
    <s v="SO0002759"/>
    <x v="3"/>
    <x v="1"/>
    <d v="2019-11-07T00:00:00"/>
    <n v="145.5"/>
    <x v="0"/>
    <n v="145.5"/>
    <x v="0"/>
    <s v="Lot 186196"/>
  </r>
  <r>
    <x v="0"/>
    <s v="SO0002760"/>
    <x v="3"/>
    <x v="1"/>
    <d v="2019-11-08T00:00:00"/>
    <n v="2085.5"/>
    <x v="0"/>
    <n v="2085.5"/>
    <x v="0"/>
    <s v="Lot 186320"/>
  </r>
  <r>
    <x v="0"/>
    <s v="SO0002760"/>
    <x v="2"/>
    <x v="1"/>
    <d v="2019-11-08T00:00:00"/>
    <n v="23010"/>
    <x v="0"/>
    <n v="23010"/>
    <x v="0"/>
    <s v="Lot 186321"/>
  </r>
  <r>
    <x v="0"/>
    <s v="SO0002762"/>
    <x v="3"/>
    <x v="1"/>
    <d v="2019-11-07T00:00:00"/>
    <n v="2425"/>
    <x v="0"/>
    <n v="2425"/>
    <x v="0"/>
    <s v="Lot 186203"/>
  </r>
  <r>
    <x v="0"/>
    <s v="SO0002762"/>
    <x v="2"/>
    <x v="1"/>
    <d v="2019-11-07T00:00:00"/>
    <n v="20865"/>
    <x v="0"/>
    <n v="20865"/>
    <x v="0"/>
    <s v="Lot 186204"/>
  </r>
  <r>
    <x v="0"/>
    <s v="SO0002763"/>
    <x v="9"/>
    <x v="2"/>
    <d v="2019-11-12T00:00:00"/>
    <n v="3492"/>
    <x v="0"/>
    <n v="3492"/>
    <x v="0"/>
    <s v="Lot 186393"/>
  </r>
  <r>
    <x v="0"/>
    <s v="SO0002764"/>
    <x v="9"/>
    <x v="2"/>
    <d v="2019-11-12T00:00:00"/>
    <n v="339.5"/>
    <x v="0"/>
    <n v="339.5"/>
    <x v="0"/>
    <s v="Lot 186432"/>
  </r>
  <r>
    <x v="0"/>
    <s v="SO0002764"/>
    <x v="5"/>
    <x v="2"/>
    <d v="2019-11-12T00:00:00"/>
    <n v="3900"/>
    <x v="0"/>
    <n v="3900"/>
    <x v="0"/>
    <s v="Lot 186433"/>
  </r>
  <r>
    <x v="0"/>
    <s v="SO0002765"/>
    <x v="3"/>
    <x v="1"/>
    <d v="2019-11-08T00:00:00"/>
    <n v="48.5"/>
    <x v="0"/>
    <n v="48.5"/>
    <x v="0"/>
    <s v="Lot 186489"/>
  </r>
  <r>
    <x v="0"/>
    <s v="SO0002766"/>
    <x v="2"/>
    <x v="1"/>
    <d v="2019-11-07T00:00:00"/>
    <n v="10920"/>
    <x v="0"/>
    <n v="10920"/>
    <x v="0"/>
    <s v="Lot 186490"/>
  </r>
  <r>
    <x v="0"/>
    <s v="SO0002767"/>
    <x v="11"/>
    <x v="3"/>
    <d v="2019-11-12T00:00:00"/>
    <n v="2037"/>
    <x v="0"/>
    <n v="2037"/>
    <x v="0"/>
    <s v="Lot 186653"/>
  </r>
  <r>
    <x v="0"/>
    <s v="SO0002768"/>
    <x v="2"/>
    <x v="1"/>
    <d v="2019-11-13T00:00:00"/>
    <n v="2340"/>
    <x v="0"/>
    <n v="2340"/>
    <x v="0"/>
    <s v="Lot 186865"/>
  </r>
  <r>
    <x v="0"/>
    <s v="SO0002769"/>
    <x v="1"/>
    <x v="1"/>
    <d v="2019-11-13T00:00:00"/>
    <n v="600"/>
    <x v="0"/>
    <n v="600"/>
    <x v="0"/>
    <s v="Lot 186866"/>
  </r>
  <r>
    <x v="0"/>
    <s v="SO0002771"/>
    <x v="2"/>
    <x v="1"/>
    <d v="2019-11-14T00:00:00"/>
    <n v="3900"/>
    <x v="0"/>
    <n v="3900"/>
    <x v="0"/>
    <s v="Lot 186909"/>
  </r>
  <r>
    <x v="0"/>
    <s v="SO0002772"/>
    <x v="5"/>
    <x v="2"/>
    <d v="2019-11-14T00:00:00"/>
    <n v="1365"/>
    <x v="0"/>
    <n v="1365"/>
    <x v="0"/>
    <s v="Lot 186947"/>
  </r>
  <r>
    <x v="0"/>
    <s v="SO0002773"/>
    <x v="5"/>
    <x v="2"/>
    <d v="2019-11-14T00:00:00"/>
    <n v="585"/>
    <x v="0"/>
    <n v="585"/>
    <x v="0"/>
    <s v="Lot 187062"/>
  </r>
  <r>
    <x v="0"/>
    <s v="SO0002774"/>
    <x v="1"/>
    <x v="1"/>
    <d v="2019-11-14T00:00:00"/>
    <n v="5175"/>
    <x v="0"/>
    <n v="5175"/>
    <x v="0"/>
    <s v="Lot 187063"/>
  </r>
  <r>
    <x v="0"/>
    <s v="SO0002775"/>
    <x v="2"/>
    <x v="1"/>
    <d v="2019-11-14T00:00:00"/>
    <n v="1950"/>
    <x v="0"/>
    <n v="1950"/>
    <x v="0"/>
    <s v="Lot 187119"/>
  </r>
  <r>
    <x v="0"/>
    <s v="SO0002776"/>
    <x v="5"/>
    <x v="2"/>
    <d v="2019-11-13T00:00:00"/>
    <n v="1170"/>
    <x v="0"/>
    <n v="1170"/>
    <x v="0"/>
    <s v="Lot 187120"/>
  </r>
  <r>
    <x v="0"/>
    <s v="SO0002777"/>
    <x v="2"/>
    <x v="1"/>
    <d v="2019-11-18T00:00:00"/>
    <n v="2535"/>
    <x v="0"/>
    <n v="2535"/>
    <x v="0"/>
    <s v="Lot 187122"/>
  </r>
  <r>
    <x v="0"/>
    <s v="SO0002777"/>
    <x v="1"/>
    <x v="1"/>
    <d v="2019-11-18T00:00:00"/>
    <n v="1950"/>
    <x v="0"/>
    <n v="1950"/>
    <x v="0"/>
    <s v="Lot 187123"/>
  </r>
  <r>
    <x v="0"/>
    <s v="SO0002777"/>
    <x v="5"/>
    <x v="2"/>
    <d v="2019-11-18T00:00:00"/>
    <n v="487.5"/>
    <x v="0"/>
    <n v="487.5"/>
    <x v="0"/>
    <s v="Lot 187124"/>
  </r>
  <r>
    <x v="0"/>
    <s v="SO0002777"/>
    <x v="10"/>
    <x v="2"/>
    <d v="2019-11-18T00:00:00"/>
    <n v="300"/>
    <x v="0"/>
    <n v="300"/>
    <x v="0"/>
    <s v="Lot 187125"/>
  </r>
  <r>
    <x v="0"/>
    <s v="SO0002778"/>
    <x v="2"/>
    <x v="1"/>
    <d v="2019-11-18T00:00:00"/>
    <n v="975"/>
    <x v="0"/>
    <n v="975"/>
    <x v="0"/>
    <s v="Lot 187595"/>
  </r>
  <r>
    <x v="0"/>
    <s v="SO0002779"/>
    <x v="2"/>
    <x v="1"/>
    <d v="2019-11-21T00:00:00"/>
    <n v="3900"/>
    <x v="0"/>
    <n v="3900"/>
    <x v="0"/>
    <s v="Lot 187601"/>
  </r>
  <r>
    <x v="0"/>
    <s v="SO0002779"/>
    <x v="5"/>
    <x v="2"/>
    <d v="2019-11-21T00:00:00"/>
    <n v="3900"/>
    <x v="0"/>
    <n v="3900"/>
    <x v="0"/>
    <s v="Lot 187602"/>
  </r>
  <r>
    <x v="0"/>
    <s v="SO0002780"/>
    <x v="5"/>
    <x v="2"/>
    <d v="2019-11-18T00:00:00"/>
    <n v="1852.5"/>
    <x v="0"/>
    <n v="1852.5"/>
    <x v="0"/>
    <s v="Lot 187603"/>
  </r>
  <r>
    <x v="0"/>
    <s v="SO0002781"/>
    <x v="9"/>
    <x v="2"/>
    <d v="2019-11-19T00:00:00"/>
    <n v="485"/>
    <x v="0"/>
    <n v="485"/>
    <x v="0"/>
    <s v="Lot 188058"/>
  </r>
  <r>
    <x v="0"/>
    <s v="SO0002782"/>
    <x v="3"/>
    <x v="1"/>
    <d v="2019-11-19T00:00:00"/>
    <n v="145.5"/>
    <x v="0"/>
    <n v="145.5"/>
    <x v="0"/>
    <s v="Lot 188059"/>
  </r>
  <r>
    <x v="0"/>
    <s v="SO0002782"/>
    <x v="2"/>
    <x v="1"/>
    <d v="2019-11-19T00:00:00"/>
    <n v="292.5"/>
    <x v="0"/>
    <n v="292.5"/>
    <x v="0"/>
    <s v="Lot 188060"/>
  </r>
  <r>
    <x v="0"/>
    <s v="SO0002783"/>
    <x v="2"/>
    <x v="1"/>
    <d v="2019-11-19T00:00:00"/>
    <n v="2340"/>
    <x v="0"/>
    <n v="2340"/>
    <x v="0"/>
    <s v="Lot 188061"/>
  </r>
  <r>
    <x v="0"/>
    <s v="SO0002783"/>
    <x v="1"/>
    <x v="1"/>
    <d v="2019-11-19T00:00:00"/>
    <n v="750"/>
    <x v="0"/>
    <n v="750"/>
    <x v="0"/>
    <s v="Lot 188062"/>
  </r>
  <r>
    <x v="0"/>
    <s v="SO0002783"/>
    <x v="21"/>
    <x v="10"/>
    <d v="2019-11-19T00:00:00"/>
    <n v="1050"/>
    <x v="0"/>
    <n v="1050"/>
    <x v="0"/>
    <s v="Lot 188063"/>
  </r>
  <r>
    <x v="0"/>
    <s v="SO0002784"/>
    <x v="5"/>
    <x v="2"/>
    <d v="2019-11-19T00:00:00"/>
    <n v="2047.5"/>
    <x v="0"/>
    <n v="2047.5"/>
    <x v="0"/>
    <s v="Lot 188064"/>
  </r>
  <r>
    <x v="0"/>
    <s v="SO0002785"/>
    <x v="5"/>
    <x v="2"/>
    <d v="2019-11-19T00:00:00"/>
    <n v="1852.5"/>
    <x v="0"/>
    <n v="1852.5"/>
    <x v="0"/>
    <s v="Lot 188065"/>
  </r>
  <r>
    <x v="0"/>
    <s v="SO0002786"/>
    <x v="1"/>
    <x v="1"/>
    <d v="2019-11-20T00:00:00"/>
    <n v="1500"/>
    <x v="0"/>
    <n v="1500"/>
    <x v="0"/>
    <s v="Lot 188066"/>
  </r>
  <r>
    <x v="0"/>
    <s v="SO0002786"/>
    <x v="21"/>
    <x v="10"/>
    <d v="2019-11-20T00:00:00"/>
    <n v="3300"/>
    <x v="0"/>
    <n v="3300"/>
    <x v="0"/>
    <s v="Lot 188067"/>
  </r>
  <r>
    <x v="0"/>
    <s v="SO0002787"/>
    <x v="5"/>
    <x v="2"/>
    <d v="2019-11-21T00:00:00"/>
    <n v="-5557.5"/>
    <x v="0"/>
    <n v="-5557.5"/>
    <x v="0"/>
    <s v="Lot 188129"/>
  </r>
  <r>
    <x v="0"/>
    <s v="SO0002788"/>
    <x v="2"/>
    <x v="1"/>
    <d v="2019-11-21T00:00:00"/>
    <n v="2437.5"/>
    <x v="0"/>
    <n v="2437.5"/>
    <x v="0"/>
    <s v="Lot 188178"/>
  </r>
  <r>
    <x v="0"/>
    <s v="SO0002790"/>
    <x v="5"/>
    <x v="2"/>
    <d v="2019-11-21T00:00:00"/>
    <n v="20475"/>
    <x v="0"/>
    <n v="20475"/>
    <x v="0"/>
    <s v="Lot 188307"/>
  </r>
  <r>
    <x v="0"/>
    <s v="SO0002792"/>
    <x v="1"/>
    <x v="1"/>
    <d v="2019-11-22T00:00:00"/>
    <n v="-5175"/>
    <x v="0"/>
    <n v="-5175"/>
    <x v="0"/>
    <s v="Lot 188556"/>
  </r>
  <r>
    <x v="0"/>
    <s v="SO0002792"/>
    <x v="1"/>
    <x v="1"/>
    <d v="2019-11-22T00:00:00"/>
    <n v="5175"/>
    <x v="0"/>
    <n v="5175"/>
    <x v="0"/>
    <s v="Lot 188557"/>
  </r>
  <r>
    <x v="0"/>
    <s v="SO0002798"/>
    <x v="3"/>
    <x v="1"/>
    <d v="2019-11-26T00:00:00"/>
    <n v="194"/>
    <x v="0"/>
    <n v="194"/>
    <x v="0"/>
    <s v="Lot 188914"/>
  </r>
  <r>
    <x v="0"/>
    <s v="SO0002798"/>
    <x v="2"/>
    <x v="1"/>
    <d v="2019-11-26T00:00:00"/>
    <n v="195"/>
    <x v="0"/>
    <n v="195"/>
    <x v="0"/>
    <s v="Lot 188915"/>
  </r>
  <r>
    <x v="0"/>
    <s v="SO0002799"/>
    <x v="2"/>
    <x v="1"/>
    <d v="2019-11-26T00:00:00"/>
    <n v="7995"/>
    <x v="0"/>
    <n v="7995"/>
    <x v="0"/>
    <s v="Lot 188916"/>
  </r>
  <r>
    <x v="0"/>
    <s v="SO0002801"/>
    <x v="5"/>
    <x v="2"/>
    <d v="2019-11-27T00:00:00"/>
    <n v="2437.5"/>
    <x v="0"/>
    <n v="2437.5"/>
    <x v="0"/>
    <s v="Lot 189116"/>
  </r>
  <r>
    <x v="0"/>
    <s v="SO0002802"/>
    <x v="5"/>
    <x v="2"/>
    <d v="2019-11-27T00:00:00"/>
    <n v="3900"/>
    <x v="0"/>
    <n v="3900"/>
    <x v="0"/>
    <s v="Lot 189129"/>
  </r>
  <r>
    <x v="0"/>
    <s v="SO0002804"/>
    <x v="3"/>
    <x v="1"/>
    <d v="2019-11-27T00:00:00"/>
    <n v="48.5"/>
    <x v="0"/>
    <n v="48.5"/>
    <x v="0"/>
    <s v="Lot 189168"/>
  </r>
  <r>
    <x v="0"/>
    <s v="SO0002805"/>
    <x v="2"/>
    <x v="1"/>
    <d v="2019-11-27T00:00:00"/>
    <n v="9750"/>
    <x v="0"/>
    <n v="9750"/>
    <x v="0"/>
    <s v="Lot 189169"/>
  </r>
  <r>
    <x v="0"/>
    <s v="SO0002806"/>
    <x v="2"/>
    <x v="1"/>
    <d v="2019-11-27T00:00:00"/>
    <n v="9750"/>
    <x v="0"/>
    <n v="9750"/>
    <x v="0"/>
    <s v="Lot 189170"/>
  </r>
  <r>
    <x v="0"/>
    <s v="SO0002806"/>
    <x v="5"/>
    <x v="2"/>
    <d v="2019-11-27T00:00:00"/>
    <n v="1950"/>
    <x v="0"/>
    <n v="1950"/>
    <x v="0"/>
    <s v="Lot 189171"/>
  </r>
  <r>
    <x v="0"/>
    <s v="SO0002807"/>
    <x v="2"/>
    <x v="1"/>
    <d v="2019-11-27T00:00:00"/>
    <n v="7800"/>
    <x v="0"/>
    <n v="7800"/>
    <x v="0"/>
    <s v="Lot 189172"/>
  </r>
  <r>
    <x v="0"/>
    <s v="SO0002808"/>
    <x v="5"/>
    <x v="2"/>
    <d v="2019-11-27T00:00:00"/>
    <n v="780"/>
    <x v="0"/>
    <n v="780"/>
    <x v="0"/>
    <s v="Lot 189173"/>
  </r>
  <r>
    <x v="0"/>
    <s v="SO0002809"/>
    <x v="2"/>
    <x v="1"/>
    <d v="2019-11-27T00:00:00"/>
    <n v="1950"/>
    <x v="0"/>
    <n v="1950"/>
    <x v="0"/>
    <s v="Lot 189174"/>
  </r>
  <r>
    <x v="0"/>
    <s v="SO0002810"/>
    <x v="2"/>
    <x v="1"/>
    <d v="2019-11-27T00:00:00"/>
    <n v="1170"/>
    <x v="0"/>
    <n v="1170"/>
    <x v="0"/>
    <s v="Lot 189175"/>
  </r>
  <r>
    <x v="0"/>
    <s v="SO0002811"/>
    <x v="5"/>
    <x v="2"/>
    <d v="2019-11-27T00:00:00"/>
    <n v="1950"/>
    <x v="0"/>
    <n v="1950"/>
    <x v="0"/>
    <s v="Lot 189218"/>
  </r>
  <r>
    <x v="0"/>
    <s v="SO0002812"/>
    <x v="2"/>
    <x v="1"/>
    <d v="2019-11-29T00:00:00"/>
    <n v="-9750"/>
    <x v="0"/>
    <n v="-9750"/>
    <x v="0"/>
    <s v="Lot 189376"/>
  </r>
  <r>
    <x v="0"/>
    <s v="SO0002812"/>
    <x v="5"/>
    <x v="2"/>
    <d v="2019-11-29T00:00:00"/>
    <n v="-1950"/>
    <x v="0"/>
    <n v="-1950"/>
    <x v="0"/>
    <s v="Lot 189377"/>
  </r>
  <r>
    <x v="0"/>
    <s v="SO0002813"/>
    <x v="3"/>
    <x v="1"/>
    <d v="2019-12-02T00:00:00"/>
    <n v="727.5"/>
    <x v="0"/>
    <n v="727.5"/>
    <x v="0"/>
    <s v="Lot 189455"/>
  </r>
  <r>
    <x v="0"/>
    <s v="SO0002814"/>
    <x v="2"/>
    <x v="1"/>
    <d v="2019-12-02T00:00:00"/>
    <n v="13650"/>
    <x v="0"/>
    <n v="13650"/>
    <x v="0"/>
    <s v="Lot 189572"/>
  </r>
  <r>
    <x v="0"/>
    <s v="SO0002814"/>
    <x v="3"/>
    <x v="1"/>
    <d v="2019-12-02T00:00:00"/>
    <n v="3880"/>
    <x v="0"/>
    <n v="3880"/>
    <x v="0"/>
    <s v="Lot 189573"/>
  </r>
  <r>
    <x v="0"/>
    <s v="SO0002815"/>
    <x v="2"/>
    <x v="1"/>
    <d v="2019-12-02T00:00:00"/>
    <n v="2827.5"/>
    <x v="0"/>
    <n v="2827.5"/>
    <x v="0"/>
    <s v="Lot 189574"/>
  </r>
  <r>
    <x v="0"/>
    <s v="SO0002817"/>
    <x v="2"/>
    <x v="1"/>
    <d v="2019-12-02T00:00:00"/>
    <n v="1950"/>
    <x v="0"/>
    <n v="1950"/>
    <x v="0"/>
    <s v="Lot 189575"/>
  </r>
  <r>
    <x v="0"/>
    <s v="SO0002818"/>
    <x v="2"/>
    <x v="1"/>
    <d v="2019-12-02T00:00:00"/>
    <n v="780"/>
    <x v="0"/>
    <n v="780"/>
    <x v="0"/>
    <s v="Lot 189576"/>
  </r>
  <r>
    <x v="0"/>
    <s v="SO0002818"/>
    <x v="1"/>
    <x v="1"/>
    <d v="2019-12-02T00:00:00"/>
    <n v="375"/>
    <x v="0"/>
    <n v="375"/>
    <x v="0"/>
    <s v="Lot 189577"/>
  </r>
  <r>
    <x v="0"/>
    <s v="SO0002818"/>
    <x v="3"/>
    <x v="1"/>
    <d v="2019-12-02T00:00:00"/>
    <n v="339.5"/>
    <x v="0"/>
    <n v="339.5"/>
    <x v="0"/>
    <s v="Lot 189578"/>
  </r>
  <r>
    <x v="0"/>
    <s v="SO0002819"/>
    <x v="12"/>
    <x v="5"/>
    <d v="2019-12-02T00:00:00"/>
    <n v="156"/>
    <x v="0"/>
    <n v="156"/>
    <x v="0"/>
    <s v="Lot 189755"/>
  </r>
  <r>
    <x v="0"/>
    <s v="SO0002820"/>
    <x v="2"/>
    <x v="1"/>
    <d v="2019-12-02T00:00:00"/>
    <n v="9750"/>
    <x v="0"/>
    <n v="9750"/>
    <x v="0"/>
    <s v="Lot 189756"/>
  </r>
  <r>
    <x v="0"/>
    <s v="SO0002820"/>
    <x v="5"/>
    <x v="2"/>
    <d v="2019-12-02T00:00:00"/>
    <n v="1950"/>
    <x v="0"/>
    <n v="1950"/>
    <x v="0"/>
    <s v="Lot 189757"/>
  </r>
  <r>
    <x v="0"/>
    <s v="SO0002821"/>
    <x v="2"/>
    <x v="1"/>
    <d v="2019-12-03T00:00:00"/>
    <n v="1462.5"/>
    <x v="0"/>
    <n v="1462.5"/>
    <x v="0"/>
    <s v="Lot 189758"/>
  </r>
  <r>
    <x v="0"/>
    <s v="SO0002822"/>
    <x v="5"/>
    <x v="2"/>
    <d v="2019-12-03T00:00:00"/>
    <n v="5557.5"/>
    <x v="0"/>
    <n v="5557.5"/>
    <x v="0"/>
    <s v="Lot 189765"/>
  </r>
  <r>
    <x v="0"/>
    <s v="SO0002823"/>
    <x v="2"/>
    <x v="1"/>
    <d v="2019-12-03T00:00:00"/>
    <n v="4777.5"/>
    <x v="0"/>
    <n v="4777.5"/>
    <x v="0"/>
    <s v="Lot 189766"/>
  </r>
  <r>
    <x v="0"/>
    <s v="SO0002825"/>
    <x v="9"/>
    <x v="2"/>
    <d v="2019-12-03T00:00:00"/>
    <n v="388"/>
    <x v="0"/>
    <n v="388"/>
    <x v="0"/>
    <s v="Lot 189992"/>
  </r>
  <r>
    <x v="0"/>
    <s v="SO0002826"/>
    <x v="0"/>
    <x v="0"/>
    <d v="2019-11-30T00:00:00"/>
    <n v="-145.5"/>
    <x v="0"/>
    <n v="-145.5"/>
    <x v="0"/>
    <s v="Lot 190175"/>
  </r>
  <r>
    <x v="0"/>
    <s v="SO0002826"/>
    <x v="4"/>
    <x v="0"/>
    <d v="2019-11-30T00:00:00"/>
    <n v="-682.5"/>
    <x v="0"/>
    <n v="-682.5"/>
    <x v="0"/>
    <s v="Lot 190176"/>
  </r>
  <r>
    <x v="0"/>
    <s v="SO0002826"/>
    <x v="0"/>
    <x v="0"/>
    <d v="2019-11-30T00:00:00"/>
    <n v="145.5"/>
    <x v="0"/>
    <n v="145.5"/>
    <x v="0"/>
    <s v="Lot 190177"/>
  </r>
  <r>
    <x v="0"/>
    <s v="SO0002826"/>
    <x v="4"/>
    <x v="0"/>
    <d v="2019-11-30T00:00:00"/>
    <n v="682.5"/>
    <x v="0"/>
    <n v="682.5"/>
    <x v="0"/>
    <s v="Lot 190178"/>
  </r>
  <r>
    <x v="0"/>
    <s v="SO0002827"/>
    <x v="3"/>
    <x v="1"/>
    <d v="2019-11-30T00:00:00"/>
    <n v="-31040"/>
    <x v="0"/>
    <n v="-31040"/>
    <x v="0"/>
    <s v="Lot 190179"/>
  </r>
  <r>
    <x v="0"/>
    <s v="SO0002827"/>
    <x v="0"/>
    <x v="0"/>
    <d v="2019-11-30T00:00:00"/>
    <n v="-3880"/>
    <x v="0"/>
    <n v="-3880"/>
    <x v="0"/>
    <s v="Lot 190180"/>
  </r>
  <r>
    <x v="0"/>
    <s v="SO0002827"/>
    <x v="3"/>
    <x v="1"/>
    <d v="2019-11-30T00:00:00"/>
    <n v="31040"/>
    <x v="0"/>
    <n v="31040"/>
    <x v="0"/>
    <s v="Lot 190181"/>
  </r>
  <r>
    <x v="0"/>
    <s v="SO0002827"/>
    <x v="0"/>
    <x v="0"/>
    <d v="2019-11-30T00:00:00"/>
    <n v="3880"/>
    <x v="0"/>
    <n v="3880"/>
    <x v="0"/>
    <s v="Lot 190182"/>
  </r>
  <r>
    <x v="0"/>
    <s v="SO0002828"/>
    <x v="1"/>
    <x v="1"/>
    <d v="2019-12-04T00:00:00"/>
    <n v="900"/>
    <x v="0"/>
    <n v="900"/>
    <x v="0"/>
    <s v="Lot 190320"/>
  </r>
  <r>
    <x v="0"/>
    <s v="SO0002828"/>
    <x v="2"/>
    <x v="1"/>
    <d v="2019-12-04T00:00:00"/>
    <n v="585"/>
    <x v="0"/>
    <n v="585"/>
    <x v="0"/>
    <s v="Lot 190321"/>
  </r>
  <r>
    <x v="0"/>
    <s v="SO0002830"/>
    <x v="2"/>
    <x v="1"/>
    <d v="2019-12-04T00:00:00"/>
    <n v="10042.5"/>
    <x v="0"/>
    <n v="10042.5"/>
    <x v="0"/>
    <s v="Lot 190324"/>
  </r>
  <r>
    <x v="0"/>
    <s v="SO0002832"/>
    <x v="2"/>
    <x v="1"/>
    <d v="2019-12-05T00:00:00"/>
    <n v="2047.5"/>
    <x v="0"/>
    <n v="2047.5"/>
    <x v="0"/>
    <s v="Lot 190326"/>
  </r>
  <r>
    <x v="0"/>
    <s v="SO0002832"/>
    <x v="2"/>
    <x v="1"/>
    <d v="2019-12-05T00:00:00"/>
    <n v="-97.5"/>
    <x v="0"/>
    <n v="-97.5"/>
    <x v="0"/>
    <s v="Lot 190327"/>
  </r>
  <r>
    <x v="0"/>
    <s v="SO0002833"/>
    <x v="2"/>
    <x v="1"/>
    <d v="2019-12-06T00:00:00"/>
    <n v="195"/>
    <x v="0"/>
    <n v="195"/>
    <x v="0"/>
    <s v="Lot 190566"/>
  </r>
  <r>
    <x v="0"/>
    <s v="SO0002834"/>
    <x v="2"/>
    <x v="1"/>
    <d v="2019-12-09T00:00:00"/>
    <n v="10042.5"/>
    <x v="0"/>
    <n v="10042.5"/>
    <x v="0"/>
    <s v="Lot 190567"/>
  </r>
  <r>
    <x v="0"/>
    <s v="SO0002835"/>
    <x v="2"/>
    <x v="1"/>
    <d v="2019-12-11T00:00:00"/>
    <n v="975"/>
    <x v="0"/>
    <n v="975"/>
    <x v="0"/>
    <s v="Lot 191019"/>
  </r>
  <r>
    <x v="0"/>
    <s v="SO0002835"/>
    <x v="21"/>
    <x v="10"/>
    <d v="2019-12-11T00:00:00"/>
    <n v="150"/>
    <x v="0"/>
    <n v="150"/>
    <x v="0"/>
    <s v="Lot 191020"/>
  </r>
  <r>
    <x v="0"/>
    <s v="SO0002835"/>
    <x v="1"/>
    <x v="1"/>
    <d v="2019-12-11T00:00:00"/>
    <n v="450"/>
    <x v="0"/>
    <n v="450"/>
    <x v="0"/>
    <s v="Lot 191021"/>
  </r>
  <r>
    <x v="0"/>
    <s v="SO0002836"/>
    <x v="5"/>
    <x v="2"/>
    <d v="2019-12-11T00:00:00"/>
    <n v="14040"/>
    <x v="0"/>
    <n v="14040"/>
    <x v="0"/>
    <s v="Lot 191086"/>
  </r>
  <r>
    <x v="0"/>
    <s v="SO0002837"/>
    <x v="2"/>
    <x v="1"/>
    <d v="2019-12-11T00:00:00"/>
    <n v="780"/>
    <x v="0"/>
    <n v="780"/>
    <x v="0"/>
    <s v="Lot 191194"/>
  </r>
  <r>
    <x v="0"/>
    <s v="SO0002838"/>
    <x v="2"/>
    <x v="1"/>
    <d v="2019-12-11T00:00:00"/>
    <n v="-780"/>
    <x v="0"/>
    <n v="-780"/>
    <x v="0"/>
    <s v="Lot 191195"/>
  </r>
  <r>
    <x v="0"/>
    <s v="SO0002839"/>
    <x v="2"/>
    <x v="1"/>
    <d v="2019-12-11T00:00:00"/>
    <n v="780"/>
    <x v="0"/>
    <n v="780"/>
    <x v="0"/>
    <s v="Lot 191196"/>
  </r>
  <r>
    <x v="0"/>
    <s v="SO0002840"/>
    <x v="5"/>
    <x v="2"/>
    <d v="2019-12-11T00:00:00"/>
    <n v="292.5"/>
    <x v="0"/>
    <n v="292.5"/>
    <x v="0"/>
    <s v="Lot 191205"/>
  </r>
  <r>
    <x v="0"/>
    <s v="SO0002842"/>
    <x v="12"/>
    <x v="5"/>
    <d v="2019-12-12T00:00:00"/>
    <n v="-156"/>
    <x v="0"/>
    <n v="-156"/>
    <x v="0"/>
    <s v="Lot 191434"/>
  </r>
  <r>
    <x v="0"/>
    <s v="SO0002843"/>
    <x v="12"/>
    <x v="5"/>
    <d v="2019-12-12T00:00:00"/>
    <n v="78"/>
    <x v="0"/>
    <n v="78"/>
    <x v="0"/>
    <s v="Lot 191435"/>
  </r>
  <r>
    <x v="0"/>
    <s v="SO0002844"/>
    <x v="2"/>
    <x v="1"/>
    <d v="2019-12-12T00:00:00"/>
    <n v="1072.5"/>
    <x v="0"/>
    <n v="1072.5"/>
    <x v="0"/>
    <s v="Lot 191436"/>
  </r>
  <r>
    <x v="0"/>
    <s v="SO0002846"/>
    <x v="5"/>
    <x v="2"/>
    <d v="2019-12-16T00:00:00"/>
    <n v="3997.5"/>
    <x v="0"/>
    <n v="3997.5"/>
    <x v="0"/>
    <s v="Lot 191672"/>
  </r>
  <r>
    <x v="0"/>
    <s v="SO0002846"/>
    <x v="8"/>
    <x v="4"/>
    <d v="2019-12-16T00:00:00"/>
    <n v="3022.5"/>
    <x v="0"/>
    <n v="3022.5"/>
    <x v="0"/>
    <s v="Lot 191673"/>
  </r>
  <r>
    <x v="0"/>
    <s v="SO0002847"/>
    <x v="5"/>
    <x v="2"/>
    <d v="2019-12-16T00:00:00"/>
    <n v="7995"/>
    <x v="0"/>
    <n v="7995"/>
    <x v="0"/>
    <s v="Lot 191674"/>
  </r>
  <r>
    <x v="0"/>
    <s v="SO0002848"/>
    <x v="5"/>
    <x v="2"/>
    <d v="2019-12-17T00:00:00"/>
    <n v="195"/>
    <x v="0"/>
    <n v="195"/>
    <x v="0"/>
    <s v="Lot 191675"/>
  </r>
  <r>
    <x v="0"/>
    <s v="SO0002848"/>
    <x v="2"/>
    <x v="1"/>
    <d v="2019-12-17T00:00:00"/>
    <n v="12675"/>
    <x v="0"/>
    <n v="12675"/>
    <x v="0"/>
    <s v="Lot 191682"/>
  </r>
  <r>
    <x v="0"/>
    <s v="SO0002851"/>
    <x v="2"/>
    <x v="1"/>
    <d v="2019-12-20T00:00:00"/>
    <n v="-780"/>
    <x v="0"/>
    <n v="-780"/>
    <x v="0"/>
    <s v="Lot 19329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95">
  <r>
    <s v="360364ApP0000663"/>
    <s v="IC-AX"/>
    <s v="362-000418"/>
    <x v="0"/>
    <s v="CAG0097200"/>
    <d v="2019-02-27T18:51:57"/>
    <x v="0"/>
    <s v="Lot 142698"/>
    <n v="7760"/>
    <s v="M²"/>
    <n v="1.73"/>
    <n v="13424.8"/>
    <s v="EUR"/>
    <x v="0"/>
    <d v="2019-03-04T00:00:00"/>
    <x v="0"/>
  </r>
  <r>
    <s v="360364ApP0000719"/>
    <s v="IC-AX"/>
    <s v="362-000418"/>
    <x v="0"/>
    <s v="CAG0097200"/>
    <d v="2019-04-24T16:05:01"/>
    <x v="1"/>
    <s v="Lot 151183"/>
    <n v="3880"/>
    <s v="M²"/>
    <n v="1.73"/>
    <n v="6712.4"/>
    <s v="EUR"/>
    <x v="0"/>
    <d v="2019-05-13T00:00:00"/>
    <x v="1"/>
  </r>
  <r>
    <s v="360364ApP0000742"/>
    <s v="IC-AX"/>
    <s v="362-000418"/>
    <x v="0"/>
    <s v="CAG0097200"/>
    <d v="2019-05-13T22:12:23"/>
    <x v="2"/>
    <s v="Lot 152557"/>
    <n v="3880"/>
    <s v="M²"/>
    <n v="1.73"/>
    <n v="6712.4"/>
    <s v="EUR"/>
    <x v="0"/>
    <d v="2019-05-13T00:00:00"/>
    <x v="1"/>
  </r>
  <r>
    <s v="360365ApP0000640"/>
    <s v="IC-AX"/>
    <s v="362-000418"/>
    <x v="1"/>
    <s v="CAG0097200"/>
    <d v="2019-06-07T18:57:19"/>
    <x v="3"/>
    <s v="Lot 157115"/>
    <n v="2134"/>
    <s v="M²"/>
    <n v="1.73"/>
    <n v="3691.82"/>
    <s v="EUR"/>
    <x v="0"/>
    <d v="2019-06-17T00:00:00"/>
    <x v="2"/>
  </r>
  <r>
    <s v="360365ApP0000645"/>
    <s v="IC-AX"/>
    <s v="362-000418"/>
    <x v="1"/>
    <s v="CAG0097200"/>
    <d v="2019-06-24T22:57:41"/>
    <x v="3"/>
    <s v="Lot 159852"/>
    <n v="2134"/>
    <s v="M²"/>
    <n v="1.73"/>
    <n v="3691.82"/>
    <s v="EUR"/>
    <x v="0"/>
    <d v="2019-06-25T00:00:00"/>
    <x v="2"/>
  </r>
  <r>
    <s v="360365ApP0000658"/>
    <s v="IC-AX"/>
    <s v="362-000418"/>
    <x v="1"/>
    <s v="CAG0097200"/>
    <d v="2019-07-24T15:01:12"/>
    <x v="4"/>
    <s v="Lot 165805"/>
    <n v="6402"/>
    <s v="M²"/>
    <n v="1.73"/>
    <n v="11075.460000000001"/>
    <s v="EUR"/>
    <x v="0"/>
    <d v="2019-08-09T00:00:00"/>
    <x v="3"/>
  </r>
  <r>
    <s v="360365ApP0000659"/>
    <s v="IC-AX"/>
    <s v="362-000418"/>
    <x v="1"/>
    <s v="CAG0097200"/>
    <d v="2019-07-24T15:01:47"/>
    <x v="4"/>
    <s v="Lot 165808"/>
    <n v="6402"/>
    <s v="M²"/>
    <n v="1.73"/>
    <n v="11075.460000000001"/>
    <s v="EUR"/>
    <x v="0"/>
    <d v="2019-08-20T00:00:00"/>
    <x v="3"/>
  </r>
  <r>
    <s v="360366ApP0000283"/>
    <s v="IC-AX"/>
    <s v="362-000418"/>
    <x v="2"/>
    <s v="CAG0097200"/>
    <d v="2019-02-18T21:15:51"/>
    <x v="0"/>
    <s v="Lot 141258"/>
    <n v="1940"/>
    <s v="M²"/>
    <n v="1.65"/>
    <n v="3201"/>
    <s v="EUR"/>
    <x v="0"/>
    <d v="2019-02-18T00:00:00"/>
    <x v="4"/>
  </r>
  <r>
    <s v="360366ApP0000322"/>
    <s v="IC-AX"/>
    <s v="362-000418"/>
    <x v="2"/>
    <s v="CAG0097200"/>
    <d v="2019-05-20T14:09:46"/>
    <x v="2"/>
    <s v="Lot 153290"/>
    <n v="3880"/>
    <s v="M²"/>
    <n v="1.73"/>
    <n v="6712.4"/>
    <s v="EUR"/>
    <x v="0"/>
    <d v="2019-05-27T00:00:00"/>
    <x v="1"/>
  </r>
  <r>
    <s v="360366ApP0000382"/>
    <s v="IC-AX"/>
    <s v="362-000418"/>
    <x v="2"/>
    <s v="CAG0097200"/>
    <d v="2019-09-17T20:44:01"/>
    <x v="5"/>
    <s v="Lot 175420"/>
    <n v="3880"/>
    <s v="M²"/>
    <n v="1.7"/>
    <n v="6596"/>
    <s v="EUR"/>
    <x v="0"/>
    <d v="2019-10-01T00:00:00"/>
    <x v="5"/>
  </r>
  <r>
    <s v="360366ApP0000392"/>
    <s v="IC-AX"/>
    <s v="362-000418"/>
    <x v="2"/>
    <s v="CAG0097200"/>
    <d v="2019-10-10T21:24:48"/>
    <x v="6"/>
    <s v="Lot 181636"/>
    <n v="7760"/>
    <s v="M²"/>
    <n v="1.7"/>
    <n v="13192"/>
    <s v="EUR"/>
    <x v="0"/>
    <d v="2019-10-14T00:00:00"/>
    <x v="5"/>
  </r>
  <r>
    <s v="360368ApP0000460"/>
    <s v="IC-AX"/>
    <s v="362-000418"/>
    <x v="3"/>
    <s v="CAG0097200"/>
    <d v="2019-03-27T23:35:42"/>
    <x v="7"/>
    <s v="Lot 146490"/>
    <n v="1940"/>
    <s v="M²"/>
    <n v="1.73"/>
    <n v="3356.2"/>
    <s v="EUR"/>
    <x v="0"/>
    <d v="2019-04-01T00:00:00"/>
    <x v="6"/>
  </r>
  <r>
    <s v="360368ApP0000536"/>
    <s v="IC-AX"/>
    <s v="362-000418"/>
    <x v="3"/>
    <s v="CAG0097200"/>
    <d v="2019-07-22T13:16:25"/>
    <x v="4"/>
    <s v="Lot 165320"/>
    <n v="1940"/>
    <s v="M²"/>
    <n v="1.73"/>
    <n v="3356.2"/>
    <s v="EUR"/>
    <x v="0"/>
    <d v="2019-09-16T00:00:00"/>
    <x v="7"/>
  </r>
  <r>
    <s v="360369ApP0000509"/>
    <s v="IC-AX"/>
    <s v="362-000418"/>
    <x v="4"/>
    <s v="CAG0097200"/>
    <d v="2019-05-10T15:32:50"/>
    <x v="2"/>
    <s v="Lot 152337"/>
    <n v="7760"/>
    <s v="M²"/>
    <n v="1.73"/>
    <n v="13424.8"/>
    <s v="EUR"/>
    <x v="0"/>
    <d v="2019-05-13T00:00:00"/>
    <x v="1"/>
  </r>
  <r>
    <s v="360369ApP0000633"/>
    <s v="IC-AX"/>
    <s v="362-000418"/>
    <x v="4"/>
    <s v="CAG0097200"/>
    <d v="2019-10-03T19:30:01"/>
    <x v="6"/>
    <s v="Lot 180253"/>
    <n v="1940"/>
    <s v="M²"/>
    <n v="1.7"/>
    <n v="3298"/>
    <s v="EUR"/>
    <x v="0"/>
    <d v="2019-10-11T00:00:00"/>
    <x v="5"/>
  </r>
  <r>
    <s v="360ApP0003755"/>
    <s v="IC-AX"/>
    <s v="362-000413"/>
    <x v="5"/>
    <s v="CAG0097200"/>
    <d v="2019-01-07T22:55:14"/>
    <x v="8"/>
    <s v="Lot 135526"/>
    <n v="4268"/>
    <s v="M²"/>
    <n v="1.65"/>
    <n v="7042.2"/>
    <s v="EUR"/>
    <x v="0"/>
    <d v="2019-01-24T00:00:00"/>
    <x v="8"/>
  </r>
  <r>
    <s v="360ApP0004113"/>
    <s v="IC-AX"/>
    <s v="362-000413"/>
    <x v="5"/>
    <s v="CAG0097200"/>
    <d v="2019-05-03T22:10:08"/>
    <x v="2"/>
    <s v="Lot 151471"/>
    <n v="5917"/>
    <s v="M²"/>
    <n v="1.73"/>
    <n v="10236.41"/>
    <s v="EUR"/>
    <x v="0"/>
    <d v="2019-05-17T00:00:00"/>
    <x v="1"/>
  </r>
  <r>
    <s v="360ApP0004330"/>
    <s v="IC-AX"/>
    <s v="362-000413"/>
    <x v="5"/>
    <s v="CAG0097200"/>
    <d v="2019-06-19T16:20:20"/>
    <x v="3"/>
    <s v="Lot 159625"/>
    <n v="4268"/>
    <s v="M²"/>
    <n v="1.73"/>
    <n v="7383.64"/>
    <s v="EUR"/>
    <x v="0"/>
    <d v="2019-07-08T00:00:00"/>
    <x v="9"/>
  </r>
  <r>
    <s v="360ApP0004539"/>
    <s v="IC-AX"/>
    <s v="362-000413"/>
    <x v="5"/>
    <s v="CAG0097200"/>
    <d v="2019-08-09T20:33:59"/>
    <x v="9"/>
    <s v="Lot 168786"/>
    <n v="533.5"/>
    <s v="M²"/>
    <n v="1.73"/>
    <n v="922.96"/>
    <s v="EUR"/>
    <x v="0"/>
    <d v="2019-09-09T00:00:00"/>
    <x v="7"/>
  </r>
  <r>
    <s v="360ApP0004561"/>
    <s v="IC-AX"/>
    <s v="362-000413"/>
    <x v="5"/>
    <s v="CAG0097200"/>
    <d v="2019-08-21T20:01:31"/>
    <x v="9"/>
    <s v="Lot 170439"/>
    <n v="4268"/>
    <s v="M²"/>
    <n v="1.73"/>
    <n v="7383.64"/>
    <s v="EUR"/>
    <x v="0"/>
    <d v="2019-09-09T00:00:00"/>
    <x v="7"/>
  </r>
  <r>
    <s v="SO0002203"/>
    <s v="Domestic"/>
    <s v="362-000778"/>
    <x v="6"/>
    <s v="CAG0097200"/>
    <d v="2019-03-04T19:44:33"/>
    <x v="7"/>
    <s v="Lot 143363"/>
    <n v="48.5"/>
    <s v="M²"/>
    <n v="17"/>
    <n v="824.5"/>
    <s v="PLN"/>
    <x v="0"/>
    <d v="2019-03-05T00:00:00"/>
    <x v="0"/>
  </r>
  <r>
    <s v="SO0002235"/>
    <s v="Domestic"/>
    <s v="362-000301"/>
    <x v="6"/>
    <s v="CAG0097200"/>
    <d v="2019-04-09T14:42:13"/>
    <x v="1"/>
    <s v="Lot 149555"/>
    <n v="776"/>
    <s v="M²"/>
    <n v="18"/>
    <n v="13968"/>
    <s v="PLN"/>
    <x v="0"/>
    <d v="2019-04-08T00:00:00"/>
    <x v="6"/>
  </r>
  <r>
    <s v="SO0002252"/>
    <s v="Domestic"/>
    <s v="362-000271"/>
    <x v="6"/>
    <s v="CAG0097200"/>
    <d v="2019-04-16T20:54:41"/>
    <x v="1"/>
    <s v="Lot 150807"/>
    <n v="1164"/>
    <s v="M²"/>
    <n v="18"/>
    <n v="20952"/>
    <s v="PLN"/>
    <x v="0"/>
    <d v="2019-04-15T00:00:00"/>
    <x v="6"/>
  </r>
  <r>
    <s v="SO0002262"/>
    <s v="Domestic"/>
    <s v="362-000139"/>
    <x v="6"/>
    <s v="CAG0097200"/>
    <d v="2019-05-07T15:37:42"/>
    <x v="2"/>
    <s v="Lot 151755"/>
    <n v="2425"/>
    <s v="M²"/>
    <n v="14"/>
    <n v="33950"/>
    <s v="PLN"/>
    <x v="0"/>
    <d v="2019-05-06T00:00:00"/>
    <x v="1"/>
  </r>
  <r>
    <s v="SO0002284"/>
    <s v="IC-AX"/>
    <s v="362-000418"/>
    <x v="5"/>
    <s v="CAG0097200"/>
    <d v="2019-05-13T20:17:35"/>
    <x v="2"/>
    <s v="Lot 152554"/>
    <n v="-3880"/>
    <s v="M²"/>
    <n v="1.73"/>
    <n v="-6712.4"/>
    <s v="EUR"/>
    <x v="0"/>
    <d v="2019-05-13T00:00:00"/>
    <x v="1"/>
  </r>
  <r>
    <s v="SO0002308"/>
    <s v="Domestic"/>
    <s v="362-000518"/>
    <x v="6"/>
    <s v="CAG0097200"/>
    <d v="2019-05-28T14:58:47"/>
    <x v="2"/>
    <s v="Lot 155034"/>
    <n v="2182.5"/>
    <s v="M²"/>
    <n v="18"/>
    <n v="39285"/>
    <s v="PLN"/>
    <x v="0"/>
    <d v="2019-05-21T00:00:00"/>
    <x v="1"/>
  </r>
  <r>
    <s v="SO0002352"/>
    <s v="IC-AX"/>
    <s v="362-000418"/>
    <x v="5"/>
    <s v="CAG0097200"/>
    <d v="2019-06-24T20:17:49"/>
    <x v="3"/>
    <s v="Lot 159848"/>
    <n v="-2134"/>
    <s v="M²"/>
    <n v="1.73"/>
    <n v="-3691.82"/>
    <s v="EUR"/>
    <x v="0"/>
    <d v="2019-06-24T00:00:00"/>
    <x v="2"/>
  </r>
  <r>
    <s v="SO0002371"/>
    <s v="Domestic"/>
    <s v="362-000496"/>
    <x v="6"/>
    <s v="CAG0097200"/>
    <d v="2019-07-08T17:01:57"/>
    <x v="4"/>
    <s v="Lot 163082"/>
    <n v="3686"/>
    <s v="M²"/>
    <n v="18"/>
    <n v="66348"/>
    <s v="PLN"/>
    <x v="0"/>
    <d v="2019-07-08T00:00:00"/>
    <x v="9"/>
  </r>
  <r>
    <s v="SO0002398"/>
    <s v="Domestic"/>
    <s v="362-000518"/>
    <x v="6"/>
    <s v="CAG0097200"/>
    <d v="2019-07-17T19:12:54"/>
    <x v="4"/>
    <s v="Lot 164895"/>
    <n v="1697.5"/>
    <s v="M²"/>
    <n v="17.5"/>
    <n v="29706.25"/>
    <s v="PLN"/>
    <x v="0"/>
    <d v="2019-07-17T00:00:00"/>
    <x v="9"/>
  </r>
  <r>
    <s v="SO0002417"/>
    <s v="Domestic"/>
    <s v="362-000518"/>
    <x v="6"/>
    <s v="CAG0097200"/>
    <d v="2019-07-22T20:20:43"/>
    <x v="4"/>
    <s v="Lot 165590"/>
    <n v="1649"/>
    <s v="M²"/>
    <n v="17.5"/>
    <n v="28857.5"/>
    <s v="PLN"/>
    <x v="0"/>
    <d v="2019-07-24T00:00:00"/>
    <x v="9"/>
  </r>
  <r>
    <s v="SO0002482"/>
    <s v="Domestic"/>
    <s v="362-000529"/>
    <x v="6"/>
    <s v="CAG0097200"/>
    <d v="2019-08-19T15:43:48"/>
    <x v="9"/>
    <s v="Lot 169771"/>
    <n v="679"/>
    <s v="M²"/>
    <n v="18"/>
    <n v="12222"/>
    <s v="PLN"/>
    <x v="0"/>
    <d v="2019-08-14T00:00:00"/>
    <x v="3"/>
  </r>
  <r>
    <s v="SO0002501"/>
    <s v="Domestic"/>
    <s v="362-000540"/>
    <x v="6"/>
    <s v="CAG0097200"/>
    <d v="2019-08-21T17:21:53"/>
    <x v="9"/>
    <s v="Lot 170425"/>
    <n v="339.5"/>
    <s v="M²"/>
    <n v="18"/>
    <n v="6111"/>
    <s v="PLN"/>
    <x v="0"/>
    <d v="2019-08-21T00:00:00"/>
    <x v="3"/>
  </r>
  <r>
    <s v="SO0002564"/>
    <s v="Domestic"/>
    <s v="362-000765"/>
    <x v="6"/>
    <s v="CAG0097200"/>
    <d v="2019-09-12T16:04:17"/>
    <x v="5"/>
    <s v="Lot 174107"/>
    <n v="48.5"/>
    <s v="M²"/>
    <n v="18.73"/>
    <n v="908.41000000000008"/>
    <s v="PLN"/>
    <x v="0"/>
    <d v="2019-09-11T00:00:00"/>
    <x v="7"/>
  </r>
  <r>
    <s v="SO0002570"/>
    <s v="Domestic"/>
    <s v="362-000643"/>
    <x v="6"/>
    <s v="CAG0097200"/>
    <d v="2019-09-13T19:30:35"/>
    <x v="5"/>
    <s v="Lot 174672"/>
    <n v="2570.5"/>
    <s v="M²"/>
    <n v="17.5"/>
    <n v="44983.75"/>
    <s v="PLN"/>
    <x v="0"/>
    <d v="2019-09-13T00:00:00"/>
    <x v="7"/>
  </r>
  <r>
    <s v="SO0002594"/>
    <s v="Domestic"/>
    <s v="362-000529"/>
    <x v="6"/>
    <s v="CAG0097200"/>
    <d v="2019-09-23T16:38:56"/>
    <x v="5"/>
    <s v="Lot 176272"/>
    <n v="5383.5"/>
    <s v="M²"/>
    <n v="17.5"/>
    <n v="94211.25"/>
    <s v="PLN"/>
    <x v="0"/>
    <d v="2019-09-23T00:00:00"/>
    <x v="7"/>
  </r>
  <r>
    <s v="SO0002665"/>
    <s v="Domestic"/>
    <s v="362-000659"/>
    <x v="6"/>
    <s v="CAG0097200"/>
    <d v="2019-10-15T13:43:52"/>
    <x v="6"/>
    <s v="Lot 182060"/>
    <n v="97"/>
    <s v="M²"/>
    <n v="18"/>
    <n v="1746"/>
    <s v="PLN"/>
    <x v="0"/>
    <d v="2019-10-14T00:00:00"/>
    <x v="5"/>
  </r>
  <r>
    <s v="SO0002691"/>
    <s v="Domestic"/>
    <s v="362-000687"/>
    <x v="6"/>
    <s v="CAG0097200"/>
    <d v="2019-10-21T20:23:39"/>
    <x v="6"/>
    <s v="Lot 183360"/>
    <n v="2473.5"/>
    <s v="M²"/>
    <n v="18"/>
    <n v="44523"/>
    <s v="PLN"/>
    <x v="0"/>
    <d v="2019-10-21T00:00:00"/>
    <x v="5"/>
  </r>
  <r>
    <s v="SO0002714"/>
    <s v="Domestic"/>
    <s v="362-000490"/>
    <x v="6"/>
    <s v="CAG0097200"/>
    <d v="2019-10-24T16:55:43"/>
    <x v="6"/>
    <s v="Lot 183937"/>
    <n v="3783"/>
    <s v="M²"/>
    <n v="17"/>
    <n v="64311"/>
    <s v="PLN"/>
    <x v="0"/>
    <d v="2019-10-24T00:00:00"/>
    <x v="5"/>
  </r>
  <r>
    <s v="SO0002741"/>
    <s v="Domestic"/>
    <s v="362-000738"/>
    <x v="6"/>
    <s v="CAG0097200"/>
    <d v="2019-11-04T19:05:35"/>
    <x v="10"/>
    <s v="Lot 185526"/>
    <n v="3298"/>
    <s v="M²"/>
    <n v="14.5"/>
    <n v="47821"/>
    <s v="PLN"/>
    <x v="0"/>
    <d v="2019-11-04T00:00:00"/>
    <x v="10"/>
  </r>
  <r>
    <s v="SO0002743"/>
    <s v="Domestic"/>
    <s v="362-000545"/>
    <x v="6"/>
    <s v="CAG0097200"/>
    <d v="2019-11-04T19:13:55"/>
    <x v="10"/>
    <s v="Lot 185547"/>
    <n v="194"/>
    <s v="M²"/>
    <n v="18"/>
    <n v="3492"/>
    <s v="PLN"/>
    <x v="0"/>
    <d v="2019-11-04T00:00:00"/>
    <x v="10"/>
  </r>
  <r>
    <s v="SO0002763"/>
    <s v="Domestic"/>
    <s v="362-000490"/>
    <x v="6"/>
    <s v="CAG0097200"/>
    <d v="2019-11-12T16:28:26"/>
    <x v="10"/>
    <s v="Lot 186393"/>
    <n v="3492"/>
    <s v="M²"/>
    <n v="17"/>
    <n v="59364"/>
    <s v="PLN"/>
    <x v="0"/>
    <d v="2019-11-12T00:00:00"/>
    <x v="10"/>
  </r>
  <r>
    <s v="SO0002764"/>
    <s v="Domestic"/>
    <s v="362-000765"/>
    <x v="6"/>
    <s v="CAG0097200"/>
    <d v="2019-11-12T16:33:59"/>
    <x v="10"/>
    <s v="Lot 186432"/>
    <n v="339.5"/>
    <s v="M²"/>
    <n v="16"/>
    <n v="5432"/>
    <s v="PLN"/>
    <x v="0"/>
    <d v="2019-11-12T00:00:00"/>
    <x v="10"/>
  </r>
  <r>
    <s v="SO0002781"/>
    <s v="Domestic"/>
    <s v="362-000503"/>
    <x v="6"/>
    <s v="CAG0097200"/>
    <d v="2019-11-21T14:41:57"/>
    <x v="10"/>
    <s v="Lot 188058"/>
    <n v="485"/>
    <s v="M²"/>
    <n v="18.8"/>
    <n v="9118"/>
    <s v="PLN"/>
    <x v="0"/>
    <d v="2019-11-19T00:00:00"/>
    <x v="10"/>
  </r>
  <r>
    <s v="SO0002825"/>
    <s v="Domestic"/>
    <s v="362-000139"/>
    <x v="6"/>
    <s v="CAG0097200"/>
    <d v="2019-12-04T15:24:27"/>
    <x v="11"/>
    <s v="Lot 189992"/>
    <n v="388"/>
    <s v="M²"/>
    <n v="19"/>
    <n v="7372"/>
    <s v="PLN"/>
    <x v="0"/>
    <d v="2019-12-03T00:00:00"/>
    <x v="11"/>
  </r>
  <r>
    <s v="360363ApP0000590"/>
    <s v="IC-AX"/>
    <s v="362-000412"/>
    <x v="7"/>
    <s v="CAG0097200200"/>
    <d v="2019-04-10T16:06:56"/>
    <x v="1"/>
    <s v="Lot 149943"/>
    <n v="533.5"/>
    <s v="M²"/>
    <n v="2.92"/>
    <n v="1557.82"/>
    <s v="EUR"/>
    <x v="0"/>
    <d v="2019-04-05T00:00:00"/>
    <x v="6"/>
  </r>
  <r>
    <s v="360363ApP0000649"/>
    <s v="IC-AX"/>
    <s v="362-000412"/>
    <x v="7"/>
    <s v="CAG0097200200"/>
    <d v="2019-07-01T16:09:59"/>
    <x v="4"/>
    <s v="Lot 161764"/>
    <n v="339.5"/>
    <s v="M²"/>
    <n v="2.92"/>
    <n v="991.33999999999992"/>
    <s v="EUR"/>
    <x v="0"/>
    <d v="2019-07-01T00:00:00"/>
    <x v="9"/>
  </r>
  <r>
    <s v="360363ApP0000752"/>
    <s v="IC-AX"/>
    <s v="362-000412"/>
    <x v="7"/>
    <s v="CAG0097200200"/>
    <d v="2019-10-29T16:38:44"/>
    <x v="6"/>
    <s v="Lot 184829"/>
    <n v="145.5"/>
    <s v="M²"/>
    <n v="2.92"/>
    <n v="424.86"/>
    <s v="EUR"/>
    <x v="0"/>
    <d v="2019-10-30T00:00:00"/>
    <x v="5"/>
  </r>
  <r>
    <s v="360364ApP0000657"/>
    <s v="IC-AX"/>
    <s v="362-000418"/>
    <x v="0"/>
    <s v="CAG0097200200"/>
    <d v="2019-02-12T18:04:13"/>
    <x v="0"/>
    <s v="Lot 139863"/>
    <n v="5820"/>
    <s v="M²"/>
    <n v="3.1"/>
    <n v="18042"/>
    <s v="EUR"/>
    <x v="0"/>
    <d v="2019-02-15T00:00:00"/>
    <x v="4"/>
  </r>
  <r>
    <s v="360364ApP0000785"/>
    <s v="IC-AX"/>
    <s v="362-000418"/>
    <x v="0"/>
    <s v="CAG0097200200"/>
    <d v="2019-07-18T17:43:19"/>
    <x v="4"/>
    <s v="Lot 165086"/>
    <n v="3880"/>
    <s v="M²"/>
    <n v="2.92"/>
    <n v="11329.6"/>
    <s v="EUR"/>
    <x v="0"/>
    <d v="2019-08-05T00:00:00"/>
    <x v="3"/>
  </r>
  <r>
    <s v="360366ApP0000322"/>
    <s v="IC-AX"/>
    <s v="362-000418"/>
    <x v="2"/>
    <s v="CAG0097200200"/>
    <d v="2019-05-20T14:08:39"/>
    <x v="2"/>
    <s v="Lot 153289"/>
    <n v="2037"/>
    <s v="M²"/>
    <n v="2.92"/>
    <n v="5948.04"/>
    <s v="EUR"/>
    <x v="0"/>
    <d v="2019-05-27T00:00:00"/>
    <x v="1"/>
  </r>
  <r>
    <s v="360366ApP0000392"/>
    <s v="IC-AX"/>
    <s v="362-000418"/>
    <x v="2"/>
    <s v="CAG0097200200"/>
    <d v="2019-10-10T21:24:48"/>
    <x v="6"/>
    <s v="Lot 181637"/>
    <n v="1940"/>
    <s v="M²"/>
    <n v="2.92"/>
    <n v="5664.8"/>
    <s v="EUR"/>
    <x v="0"/>
    <d v="2019-10-14T00:00:00"/>
    <x v="5"/>
  </r>
  <r>
    <s v="360369ApP0000511"/>
    <s v="IC-AX"/>
    <s v="362-000418"/>
    <x v="8"/>
    <s v="CAG0097200200"/>
    <d v="2019-05-10T20:50:45"/>
    <x v="2"/>
    <s v="Lot 152345"/>
    <n v="3880"/>
    <s v="M²"/>
    <n v="2.92"/>
    <n v="11329.6"/>
    <s v="EUR"/>
    <x v="0"/>
    <d v="2019-05-15T00:00:00"/>
    <x v="1"/>
  </r>
  <r>
    <s v="360369ApP0000633"/>
    <s v="IC-AX"/>
    <s v="362-000418"/>
    <x v="4"/>
    <s v="CAG0097200200"/>
    <d v="2019-10-03T19:30:03"/>
    <x v="6"/>
    <s v="Lot 180256"/>
    <n v="1940"/>
    <s v="M²"/>
    <n v="2.92"/>
    <n v="5664.8"/>
    <s v="EUR"/>
    <x v="0"/>
    <d v="2019-10-11T00:00:00"/>
    <x v="5"/>
  </r>
  <r>
    <s v="360SO0007705"/>
    <s v="IC-AX"/>
    <s v="362-000413"/>
    <x v="9"/>
    <s v="CAG0097200200"/>
    <d v="2019-02-11T23:18:24"/>
    <x v="0"/>
    <s v="Lot 139746"/>
    <n v="533.5"/>
    <s v="M²"/>
    <n v="3.1"/>
    <n v="1653.85"/>
    <s v="EUR"/>
    <x v="0"/>
    <d v="2019-02-13T00:00:00"/>
    <x v="4"/>
  </r>
  <r>
    <s v="SO0002826"/>
    <s v="IC-AX"/>
    <s v="362-000412"/>
    <x v="5"/>
    <s v="CAG0097200200"/>
    <d v="2019-12-04T17:11:01"/>
    <x v="11"/>
    <s v="Lot 190175"/>
    <n v="-145.5"/>
    <s v="M²"/>
    <n v="0"/>
    <n v="-424.86"/>
    <s v="EUR"/>
    <x v="0"/>
    <d v="2019-11-30T00:00:00"/>
    <x v="10"/>
  </r>
  <r>
    <s v="SO0002826"/>
    <s v="IC-AX"/>
    <s v="362-000412"/>
    <x v="5"/>
    <s v="CAG0097200200"/>
    <d v="2019-12-04T17:12:48"/>
    <x v="11"/>
    <s v="Lot 190177"/>
    <n v="145.5"/>
    <s v="M²"/>
    <n v="0"/>
    <n v="424.86"/>
    <s v="EUR"/>
    <x v="0"/>
    <d v="2019-11-30T00:00:00"/>
    <x v="10"/>
  </r>
  <r>
    <s v="SO0002827"/>
    <s v="IC-AX"/>
    <s v="362-000418"/>
    <x v="5"/>
    <s v="CAG0097200200"/>
    <d v="2019-12-04T17:23:25"/>
    <x v="11"/>
    <s v="Lot 190180"/>
    <n v="-3880"/>
    <s v="M²"/>
    <n v="2.92"/>
    <n v="-11329.6"/>
    <s v="EUR"/>
    <x v="0"/>
    <d v="2019-11-30T00:00:00"/>
    <x v="10"/>
  </r>
  <r>
    <s v="SO0002827"/>
    <s v="IC-AX"/>
    <s v="362-000418"/>
    <x v="5"/>
    <s v="CAG0097200200"/>
    <d v="2019-12-04T17:24:21"/>
    <x v="11"/>
    <s v="Lot 190182"/>
    <n v="3880"/>
    <s v="M²"/>
    <n v="2.92"/>
    <n v="11329.6"/>
    <s v="EUR"/>
    <x v="0"/>
    <d v="2019-11-30T00:00:00"/>
    <x v="10"/>
  </r>
  <r>
    <s v="360364ApP0000747"/>
    <s v="IC-AX"/>
    <s v="362-000418"/>
    <x v="0"/>
    <s v="CAG0097200GV"/>
    <d v="2019-05-23T17:47:42"/>
    <x v="2"/>
    <s v="Lot 154532"/>
    <n v="3880"/>
    <s v="M²"/>
    <n v="1.7"/>
    <n v="6596"/>
    <s v="EUR"/>
    <x v="0"/>
    <d v="2019-06-03T00:00:00"/>
    <x v="2"/>
  </r>
  <r>
    <s v="360364ApP0000831"/>
    <s v="IC-AX"/>
    <s v="362-000418"/>
    <x v="0"/>
    <s v="CAG0097200GV"/>
    <d v="2019-09-23T20:06:12"/>
    <x v="5"/>
    <s v="Lot 176588"/>
    <n v="1940"/>
    <s v="M²"/>
    <n v="1.67"/>
    <n v="3239.8"/>
    <s v="EUR"/>
    <x v="0"/>
    <d v="2019-10-07T00:00:00"/>
    <x v="5"/>
  </r>
  <r>
    <s v="360364ApP0000663"/>
    <s v="IC-AX"/>
    <s v="362-000418"/>
    <x v="0"/>
    <s v="CAG0150200"/>
    <d v="2019-02-27T18:51:58"/>
    <x v="0"/>
    <s v="Lot 142699"/>
    <n v="4500"/>
    <s v="M²"/>
    <n v="1.7399999999999998"/>
    <n v="7830"/>
    <s v="EUR"/>
    <x v="0"/>
    <d v="2019-03-04T00:00:00"/>
    <x v="0"/>
  </r>
  <r>
    <s v="360364ApP0000719"/>
    <s v="IC-AX"/>
    <s v="362-000418"/>
    <x v="0"/>
    <s v="CAG0150200"/>
    <d v="2019-04-24T16:05:02"/>
    <x v="1"/>
    <s v="Lot 151184"/>
    <n v="6000"/>
    <s v="M²"/>
    <n v="1.7399999999999998"/>
    <n v="10440"/>
    <s v="EUR"/>
    <x v="0"/>
    <d v="2019-05-13T00:00:00"/>
    <x v="1"/>
  </r>
  <r>
    <s v="360364ApP0000742"/>
    <s v="IC-AX"/>
    <s v="362-000418"/>
    <x v="0"/>
    <s v="CAG0150200"/>
    <d v="2019-05-13T22:12:24"/>
    <x v="2"/>
    <s v="Lot 152558"/>
    <n v="6000"/>
    <s v="M²"/>
    <n v="1.7399999999999998"/>
    <n v="10440"/>
    <s v="EUR"/>
    <x v="0"/>
    <d v="2019-05-13T00:00:00"/>
    <x v="1"/>
  </r>
  <r>
    <s v="360364ApP0000768"/>
    <s v="IC-AX"/>
    <s v="362-000418"/>
    <x v="0"/>
    <s v="CAG0150200"/>
    <d v="2019-06-25T21:10:42"/>
    <x v="3"/>
    <s v="Lot 160236"/>
    <n v="6000"/>
    <s v="M²"/>
    <n v="1.7399999999999998"/>
    <n v="10440"/>
    <s v="EUR"/>
    <x v="0"/>
    <d v="2019-07-01T00:00:00"/>
    <x v="9"/>
  </r>
  <r>
    <s v="360364ApP0000822"/>
    <s v="IC-AX"/>
    <s v="362-000418"/>
    <x v="0"/>
    <s v="CAG0150200"/>
    <d v="2019-09-18T15:45:01"/>
    <x v="5"/>
    <s v="Lot 175576"/>
    <n v="7500"/>
    <s v="M²"/>
    <n v="1.73"/>
    <n v="12975"/>
    <s v="EUR"/>
    <x v="0"/>
    <d v="2019-10-07T00:00:00"/>
    <x v="5"/>
  </r>
  <r>
    <s v="360368ApP0000460"/>
    <s v="IC-AX"/>
    <s v="362-000418"/>
    <x v="3"/>
    <s v="CAG0150200"/>
    <d v="2019-03-27T23:35:42"/>
    <x v="7"/>
    <s v="Lot 146489"/>
    <n v="3000"/>
    <s v="M²"/>
    <n v="1.7399999999999998"/>
    <n v="5220"/>
    <s v="EUR"/>
    <x v="0"/>
    <d v="2019-04-01T00:00:00"/>
    <x v="6"/>
  </r>
  <r>
    <s v="360369ApP0000633"/>
    <s v="IC-AX"/>
    <s v="362-000418"/>
    <x v="4"/>
    <s v="CAG0150200"/>
    <d v="2019-10-03T19:30:02"/>
    <x v="6"/>
    <s v="Lot 180254"/>
    <n v="1500"/>
    <s v="M²"/>
    <n v="1.73"/>
    <n v="2595"/>
    <s v="EUR"/>
    <x v="0"/>
    <d v="2019-10-11T00:00:00"/>
    <x v="5"/>
  </r>
  <r>
    <s v="360ApP0004032"/>
    <s v="IC-AX"/>
    <s v="362-000413"/>
    <x v="5"/>
    <s v="CAG0150200"/>
    <d v="2019-05-21T21:24:41"/>
    <x v="2"/>
    <s v="Lot 153802"/>
    <n v="4500"/>
    <s v="M²"/>
    <n v="1.7399999999999998"/>
    <n v="7830"/>
    <s v="EUR"/>
    <x v="0"/>
    <d v="2019-05-22T00:00:00"/>
    <x v="1"/>
  </r>
  <r>
    <s v="360ApP0004539"/>
    <s v="IC-AX"/>
    <s v="362-000413"/>
    <x v="5"/>
    <s v="CAG0150200"/>
    <d v="2019-08-09T20:34:12"/>
    <x v="9"/>
    <s v="Lot 168787"/>
    <n v="9000"/>
    <s v="M²"/>
    <n v="1.7399999999999998"/>
    <n v="15660"/>
    <s v="EUR"/>
    <x v="0"/>
    <d v="2019-09-09T00:00:00"/>
    <x v="7"/>
  </r>
  <r>
    <s v="SO0002203"/>
    <s v="Domestic"/>
    <s v="362-000778"/>
    <x v="6"/>
    <s v="CAG0150200"/>
    <d v="2019-03-04T19:44:49"/>
    <x v="7"/>
    <s v="Lot 143364"/>
    <n v="825"/>
    <s v="M²"/>
    <n v="17"/>
    <n v="14025"/>
    <s v="PLN"/>
    <x v="0"/>
    <d v="2019-03-05T00:00:00"/>
    <x v="0"/>
  </r>
  <r>
    <s v="SO0002204"/>
    <s v="Domestic"/>
    <s v="362-000543"/>
    <x v="6"/>
    <s v="CAG0150200"/>
    <d v="2019-03-06T18:09:26"/>
    <x v="7"/>
    <s v="Lot 143859"/>
    <n v="6825"/>
    <s v="M²"/>
    <n v="16"/>
    <n v="109200"/>
    <s v="PLN"/>
    <x v="0"/>
    <d v="2019-03-06T00:00:00"/>
    <x v="0"/>
  </r>
  <r>
    <s v="SO0002230"/>
    <s v="Domestic"/>
    <s v="362-000566"/>
    <x v="6"/>
    <s v="CAG0150200"/>
    <d v="2019-04-02T14:16:30"/>
    <x v="1"/>
    <s v="Lot 148366"/>
    <n v="15000"/>
    <s v="M²"/>
    <n v="14.5"/>
    <n v="217500"/>
    <s v="PLN"/>
    <x v="0"/>
    <d v="2019-04-01T00:00:00"/>
    <x v="6"/>
  </r>
  <r>
    <s v="SO0002232"/>
    <s v="Domestic"/>
    <s v="362-000566"/>
    <x v="6"/>
    <s v="CAG0150200"/>
    <d v="2019-04-05T16:29:53"/>
    <x v="1"/>
    <s v="Lot 148528"/>
    <n v="5025"/>
    <s v="M²"/>
    <n v="14.5"/>
    <n v="72862.5"/>
    <s v="PLN"/>
    <x v="0"/>
    <d v="2019-04-04T00:00:00"/>
    <x v="6"/>
  </r>
  <r>
    <s v="SO0002244"/>
    <s v="Domestic"/>
    <s v="362-000047"/>
    <x v="6"/>
    <s v="CAG0150200"/>
    <d v="2019-04-12T20:28:02"/>
    <x v="1"/>
    <s v="Lot 150410"/>
    <n v="1125"/>
    <s v="M²"/>
    <n v="18"/>
    <n v="20250"/>
    <s v="PLN"/>
    <x v="0"/>
    <d v="2019-04-11T00:00:00"/>
    <x v="6"/>
  </r>
  <r>
    <s v="SO0002254"/>
    <s v="Domestic"/>
    <s v="362-000496"/>
    <x v="6"/>
    <s v="CAG0150200"/>
    <d v="2019-04-18T14:28:04"/>
    <x v="1"/>
    <s v="Lot 150991"/>
    <n v="3000"/>
    <s v="M²"/>
    <n v="18"/>
    <n v="54000"/>
    <s v="PLN"/>
    <x v="0"/>
    <d v="2019-04-17T00:00:00"/>
    <x v="6"/>
  </r>
  <r>
    <s v="SO0002284"/>
    <s v="IC-AX"/>
    <s v="362-000418"/>
    <x v="5"/>
    <s v="CAG0150200"/>
    <d v="2019-05-13T20:17:36"/>
    <x v="2"/>
    <s v="Lot 152555"/>
    <n v="-6000"/>
    <s v="M²"/>
    <n v="1.7399999999999998"/>
    <n v="-10440"/>
    <s v="EUR"/>
    <x v="0"/>
    <d v="2019-05-13T00:00:00"/>
    <x v="1"/>
  </r>
  <r>
    <s v="SO0002323"/>
    <s v="Domestic"/>
    <s v="362-000717"/>
    <x v="6"/>
    <s v="CAG0150200"/>
    <d v="2019-06-05T17:50:18"/>
    <x v="3"/>
    <s v="Lot 156539"/>
    <n v="1050"/>
    <s v="M²"/>
    <n v="18"/>
    <n v="18900"/>
    <s v="PLN"/>
    <x v="0"/>
    <d v="2019-06-05T00:00:00"/>
    <x v="2"/>
  </r>
  <r>
    <s v="SO0002398"/>
    <s v="Domestic"/>
    <s v="362-000518"/>
    <x v="6"/>
    <s v="CAG0150200"/>
    <d v="2019-07-17T19:13:10"/>
    <x v="4"/>
    <s v="Lot 164896"/>
    <n v="3975"/>
    <s v="M²"/>
    <n v="17.5"/>
    <n v="69562.5"/>
    <s v="PLN"/>
    <x v="0"/>
    <d v="2019-07-17T00:00:00"/>
    <x v="9"/>
  </r>
  <r>
    <s v="SO0002399"/>
    <s v="Domestic"/>
    <s v="362-000518"/>
    <x v="6"/>
    <s v="CAG0150200"/>
    <d v="2019-07-17T19:17:47"/>
    <x v="4"/>
    <s v="Lot 164898"/>
    <n v="4050"/>
    <s v="M²"/>
    <n v="17.5"/>
    <n v="70875"/>
    <s v="PLN"/>
    <x v="0"/>
    <d v="2019-07-17T00:00:00"/>
    <x v="9"/>
  </r>
  <r>
    <s v="SO0002412"/>
    <s v="Domestic"/>
    <s v="362-000510"/>
    <x v="6"/>
    <s v="CAG0150200"/>
    <d v="2019-07-22T17:58:42"/>
    <x v="4"/>
    <s v="Lot 165582"/>
    <n v="6000"/>
    <s v="M²"/>
    <n v="15.5"/>
    <n v="93000"/>
    <s v="PLN"/>
    <x v="0"/>
    <d v="2019-07-24T00:00:00"/>
    <x v="9"/>
  </r>
  <r>
    <s v="SO0002417"/>
    <s v="Domestic"/>
    <s v="362-000518"/>
    <x v="6"/>
    <s v="CAG0150200"/>
    <d v="2019-07-22T20:21:30"/>
    <x v="4"/>
    <s v="Lot 165591"/>
    <n v="3975"/>
    <s v="M²"/>
    <n v="17.5"/>
    <n v="69562.5"/>
    <s v="PLN"/>
    <x v="0"/>
    <d v="2019-07-24T00:00:00"/>
    <x v="9"/>
  </r>
  <r>
    <s v="SO0002422"/>
    <s v="Domestic"/>
    <s v="362-000518"/>
    <x v="6"/>
    <s v="CAG0150200"/>
    <d v="2019-07-25T17:44:50"/>
    <x v="4"/>
    <s v="Lot 166338"/>
    <n v="-2700"/>
    <s v="M²"/>
    <n v="17.5"/>
    <n v="-47250"/>
    <s v="PLN"/>
    <x v="0"/>
    <d v="2019-07-25T00:00:00"/>
    <x v="9"/>
  </r>
  <r>
    <s v="SO0002439"/>
    <s v="Domestic"/>
    <s v="362-000717"/>
    <x v="6"/>
    <s v="CAG0150200"/>
    <d v="2019-08-01T16:14:30"/>
    <x v="9"/>
    <s v="Lot 167309"/>
    <n v="600"/>
    <s v="M²"/>
    <n v="18"/>
    <n v="10800"/>
    <s v="PLN"/>
    <x v="0"/>
    <d v="2019-08-01T00:00:00"/>
    <x v="3"/>
  </r>
  <r>
    <s v="SO0002440"/>
    <s v="Domestic"/>
    <s v="362-000543"/>
    <x v="6"/>
    <s v="CAG0150200"/>
    <d v="2019-08-01T16:17:40"/>
    <x v="9"/>
    <s v="Lot 167335"/>
    <n v="2700"/>
    <s v="M²"/>
    <n v="18"/>
    <n v="48600"/>
    <s v="PLN"/>
    <x v="0"/>
    <d v="2019-08-01T00:00:00"/>
    <x v="3"/>
  </r>
  <r>
    <s v="SO0002447"/>
    <s v="Domestic"/>
    <s v="362-000813"/>
    <x v="6"/>
    <s v="CAG0150200"/>
    <d v="2019-08-02T15:46:51"/>
    <x v="9"/>
    <s v="Lot 167481"/>
    <n v="3450"/>
    <s v="M²"/>
    <n v="16"/>
    <n v="55200"/>
    <s v="PLN"/>
    <x v="0"/>
    <d v="2019-08-01T00:00:00"/>
    <x v="3"/>
  </r>
  <r>
    <s v="SO0002492"/>
    <s v="Domestic"/>
    <s v="362-000815"/>
    <x v="6"/>
    <s v="CAG0150200"/>
    <d v="2019-08-19T16:37:59"/>
    <x v="9"/>
    <s v="Lot 169840"/>
    <n v="300"/>
    <s v="M²"/>
    <n v="18"/>
    <n v="5400"/>
    <s v="PLN"/>
    <x v="0"/>
    <d v="2019-08-12T00:00:00"/>
    <x v="3"/>
  </r>
  <r>
    <s v="SO0002515"/>
    <s v="Domestic"/>
    <s v="362-000503"/>
    <x v="6"/>
    <s v="CAG0150200"/>
    <d v="2019-08-26T15:14:09"/>
    <x v="9"/>
    <s v="Lot 170907"/>
    <n v="300"/>
    <s v="M²"/>
    <n v="18"/>
    <n v="5400"/>
    <s v="PLN"/>
    <x v="0"/>
    <d v="2019-08-26T00:00:00"/>
    <x v="3"/>
  </r>
  <r>
    <s v="SO0002561"/>
    <s v="Domestic"/>
    <s v="362-000510"/>
    <x v="6"/>
    <s v="CAG0150200"/>
    <d v="2019-09-11T20:23:01"/>
    <x v="5"/>
    <s v="Lot 173945"/>
    <n v="5025"/>
    <s v="M²"/>
    <n v="15.5"/>
    <n v="77887.5"/>
    <s v="PLN"/>
    <x v="0"/>
    <d v="2019-09-11T00:00:00"/>
    <x v="7"/>
  </r>
  <r>
    <s v="SO0002603"/>
    <s v="Domestic"/>
    <s v="362-000558"/>
    <x v="6"/>
    <s v="CAG0150200"/>
    <d v="2019-09-25T16:59:00"/>
    <x v="5"/>
    <s v="Lot 177019"/>
    <n v="375"/>
    <s v="M²"/>
    <n v="18"/>
    <n v="6750"/>
    <s v="PLN"/>
    <x v="0"/>
    <d v="2019-09-25T00:00:00"/>
    <x v="7"/>
  </r>
  <r>
    <s v="SO0002620"/>
    <s v="Domestic"/>
    <s v="362-000831"/>
    <x v="6"/>
    <s v="CAG0150200"/>
    <d v="2019-10-02T18:24:31"/>
    <x v="6"/>
    <s v="Lot 179851"/>
    <n v="4575"/>
    <s v="M²"/>
    <n v="17.5"/>
    <n v="80062.5"/>
    <s v="PLN"/>
    <x v="0"/>
    <d v="2019-10-02T00:00:00"/>
    <x v="5"/>
  </r>
  <r>
    <s v="SO0002631"/>
    <s v="Domestic"/>
    <s v="362-000503"/>
    <x v="6"/>
    <s v="CAG0150200"/>
    <d v="2019-10-02T21:00:03"/>
    <x v="6"/>
    <s v="Lot 179886"/>
    <n v="1500"/>
    <s v="M²"/>
    <n v="18"/>
    <n v="27000"/>
    <s v="PLN"/>
    <x v="0"/>
    <d v="2019-10-01T00:00:00"/>
    <x v="5"/>
  </r>
  <r>
    <s v="SO0002665"/>
    <s v="Domestic"/>
    <s v="362-000659"/>
    <x v="6"/>
    <s v="CAG0150200"/>
    <d v="2019-10-15T13:44:09"/>
    <x v="6"/>
    <s v="Lot 182061"/>
    <n v="4650"/>
    <s v="M²"/>
    <n v="18"/>
    <n v="83700"/>
    <s v="PLN"/>
    <x v="0"/>
    <d v="2019-10-14T00:00:00"/>
    <x v="5"/>
  </r>
  <r>
    <s v="SO0002722"/>
    <s v="Domestic"/>
    <s v="362-000139"/>
    <x v="6"/>
    <s v="CAG0150200"/>
    <d v="2019-10-28T20:25:09"/>
    <x v="6"/>
    <s v="Lot 184633"/>
    <n v="3750"/>
    <s v="M²"/>
    <n v="18"/>
    <n v="67500"/>
    <s v="PLN"/>
    <x v="0"/>
    <d v="2019-10-28T00:00:00"/>
    <x v="5"/>
  </r>
  <r>
    <s v="SO0002740"/>
    <s v="Domestic"/>
    <s v="362-000687"/>
    <x v="6"/>
    <s v="CAG0150200"/>
    <d v="2019-11-04T18:42:29"/>
    <x v="10"/>
    <s v="Lot 185488"/>
    <n v="3750"/>
    <s v="M²"/>
    <n v="18"/>
    <n v="67500"/>
    <s v="PLN"/>
    <x v="0"/>
    <d v="2019-11-04T00:00:00"/>
    <x v="10"/>
  </r>
  <r>
    <s v="SO0002777"/>
    <s v="Domestic"/>
    <s v="362-000744"/>
    <x v="6"/>
    <s v="CAG0150200"/>
    <d v="2019-11-18T15:56:36"/>
    <x v="10"/>
    <s v="Lot 187125"/>
    <n v="300"/>
    <s v="M²"/>
    <n v="18"/>
    <n v="5400"/>
    <s v="PLN"/>
    <x v="0"/>
    <d v="2019-11-18T00:00:00"/>
    <x v="10"/>
  </r>
  <r>
    <s v="360364ApP0000747"/>
    <s v="IC-AX"/>
    <s v="362-000418"/>
    <x v="0"/>
    <s v="CAG0150200GV"/>
    <d v="2019-05-23T17:47:42"/>
    <x v="2"/>
    <s v="Lot 154533"/>
    <n v="4500"/>
    <s v="M²"/>
    <n v="1.73"/>
    <n v="7785"/>
    <s v="EUR"/>
    <x v="0"/>
    <d v="2019-06-03T00:00:00"/>
    <x v="2"/>
  </r>
  <r>
    <s v="360364ApP0000822"/>
    <s v="IC-AX"/>
    <s v="362-000418"/>
    <x v="0"/>
    <s v="CAG0150200GV"/>
    <d v="2019-09-18T15:45:03"/>
    <x v="5"/>
    <s v="Lot 175577"/>
    <n v="4500"/>
    <s v="M²"/>
    <n v="1.7"/>
    <n v="7650"/>
    <s v="EUR"/>
    <x v="0"/>
    <d v="2019-10-07T00:00:00"/>
    <x v="5"/>
  </r>
  <r>
    <s v="360364ApP0000831"/>
    <s v="IC-AX"/>
    <s v="362-000418"/>
    <x v="0"/>
    <s v="CAG0150200GV"/>
    <d v="2019-09-23T20:06:13"/>
    <x v="5"/>
    <s v="Lot 176589"/>
    <n v="1500"/>
    <s v="M²"/>
    <n v="1.7"/>
    <n v="2550"/>
    <s v="EUR"/>
    <x v="0"/>
    <d v="2019-10-07T00:00:00"/>
    <x v="5"/>
  </r>
  <r>
    <s v="360364ApP0000855"/>
    <s v="IC-AX"/>
    <s v="362-000418"/>
    <x v="0"/>
    <s v="CAG0150200GV"/>
    <d v="2019-10-24T17:51:39"/>
    <x v="6"/>
    <s v="Lot 183938"/>
    <n v="7500"/>
    <s v="M²"/>
    <n v="1.7"/>
    <n v="12750"/>
    <s v="EUR"/>
    <x v="0"/>
    <d v="2019-10-28T00:00:00"/>
    <x v="5"/>
  </r>
  <r>
    <s v="360364ApP0000649"/>
    <s v="IC-AX"/>
    <s v="362-000418"/>
    <x v="0"/>
    <s v="CAG0195200"/>
    <d v="2019-01-28T17:29:34"/>
    <x v="8"/>
    <s v="Lot 137668"/>
    <n v="13650"/>
    <s v="M²"/>
    <n v="1.7"/>
    <n v="23205"/>
    <s v="EUR"/>
    <x v="0"/>
    <d v="2019-01-28T00:00:00"/>
    <x v="8"/>
  </r>
  <r>
    <s v="360364ApP0000699"/>
    <s v="IC-AX"/>
    <s v="362-000418"/>
    <x v="0"/>
    <s v="CAG0195200"/>
    <d v="2019-03-29T20:00:54"/>
    <x v="7"/>
    <s v="Lot 148340"/>
    <n v="13650"/>
    <s v="M²"/>
    <n v="1.73"/>
    <n v="23614.5"/>
    <s v="EUR"/>
    <x v="0"/>
    <d v="2019-04-08T00:00:00"/>
    <x v="6"/>
  </r>
  <r>
    <s v="360364ApP0000719"/>
    <s v="IC-AX"/>
    <s v="362-000418"/>
    <x v="0"/>
    <s v="CAG0195200"/>
    <d v="2019-04-24T16:05:02"/>
    <x v="1"/>
    <s v="Lot 151185"/>
    <n v="13650"/>
    <s v="M²"/>
    <n v="1.73"/>
    <n v="23614.5"/>
    <s v="EUR"/>
    <x v="0"/>
    <d v="2019-05-13T00:00:00"/>
    <x v="1"/>
  </r>
  <r>
    <s v="360364ApP0000733"/>
    <s v="IC-AX"/>
    <s v="362-000418"/>
    <x v="0"/>
    <s v="CAG0195200"/>
    <d v="2019-05-03T21:23:17"/>
    <x v="2"/>
    <s v="Lot 151467"/>
    <n v="25350"/>
    <s v="M²"/>
    <n v="1.73"/>
    <n v="43855.5"/>
    <s v="EUR"/>
    <x v="0"/>
    <d v="2019-05-07T00:00:00"/>
    <x v="1"/>
  </r>
  <r>
    <s v="360364ApP0000742"/>
    <s v="IC-AX"/>
    <s v="362-000418"/>
    <x v="0"/>
    <s v="CAG0195200"/>
    <d v="2019-05-13T22:12:25"/>
    <x v="2"/>
    <s v="Lot 152559"/>
    <n v="13650"/>
    <s v="M²"/>
    <n v="1.73"/>
    <n v="23614.5"/>
    <s v="EUR"/>
    <x v="0"/>
    <d v="2019-05-13T00:00:00"/>
    <x v="1"/>
  </r>
  <r>
    <s v="360364ApP0000796"/>
    <s v="IC-AX"/>
    <s v="362-000418"/>
    <x v="0"/>
    <s v="CAG0195200"/>
    <d v="2019-07-26T17:31:37"/>
    <x v="4"/>
    <s v="Lot 166498"/>
    <n v="9750"/>
    <s v="M²"/>
    <n v="1.73"/>
    <n v="16867.5"/>
    <s v="EUR"/>
    <x v="0"/>
    <d v="2019-08-05T00:00:00"/>
    <x v="3"/>
  </r>
  <r>
    <s v="360364ApP0000799"/>
    <s v="IC-AX"/>
    <s v="362-000418"/>
    <x v="0"/>
    <s v="CAG0195200"/>
    <d v="2019-08-05T16:59:05"/>
    <x v="9"/>
    <s v="Lot 167824"/>
    <n v="25350"/>
    <s v="M²"/>
    <n v="1.73"/>
    <n v="43855.5"/>
    <s v="EUR"/>
    <x v="0"/>
    <d v="2019-09-02T00:00:00"/>
    <x v="7"/>
  </r>
  <r>
    <s v="360364ApP0000822"/>
    <s v="IC-AX"/>
    <s v="362-000418"/>
    <x v="0"/>
    <s v="CAG0195200"/>
    <d v="2019-09-18T15:45:03"/>
    <x v="5"/>
    <s v="Lot 175578"/>
    <n v="9750"/>
    <s v="M²"/>
    <n v="1.7100000000000002"/>
    <n v="16672.5"/>
    <s v="EUR"/>
    <x v="0"/>
    <d v="2019-10-07T00:00:00"/>
    <x v="5"/>
  </r>
  <r>
    <s v="360365ApP0000658"/>
    <s v="IC-AX"/>
    <s v="362-000418"/>
    <x v="1"/>
    <s v="CAG0195200"/>
    <d v="2019-07-24T15:01:11"/>
    <x v="4"/>
    <s v="Lot 165804"/>
    <n v="21450"/>
    <s v="M²"/>
    <n v="1.73"/>
    <n v="37108.5"/>
    <s v="EUR"/>
    <x v="0"/>
    <d v="2019-08-09T00:00:00"/>
    <x v="3"/>
  </r>
  <r>
    <s v="360365ApP0000659"/>
    <s v="IC-AX"/>
    <s v="362-000418"/>
    <x v="1"/>
    <s v="CAG0195200"/>
    <d v="2019-07-24T15:01:46"/>
    <x v="4"/>
    <s v="Lot 165807"/>
    <n v="21450"/>
    <s v="M²"/>
    <n v="1.73"/>
    <n v="37108.5"/>
    <s v="EUR"/>
    <x v="0"/>
    <d v="2019-08-20T00:00:00"/>
    <x v="3"/>
  </r>
  <r>
    <s v="360366ApP0000283"/>
    <s v="IC-AX"/>
    <s v="362-000418"/>
    <x v="2"/>
    <s v="CAG0195200"/>
    <d v="2019-02-18T21:15:52"/>
    <x v="0"/>
    <s v="Lot 141259"/>
    <n v="1950"/>
    <s v="M²"/>
    <n v="1.7"/>
    <n v="3315"/>
    <s v="EUR"/>
    <x v="0"/>
    <d v="2019-02-18T00:00:00"/>
    <x v="4"/>
  </r>
  <r>
    <s v="360366ApP0000322"/>
    <s v="IC-AX"/>
    <s v="362-000418"/>
    <x v="2"/>
    <s v="CAG0195200"/>
    <d v="2019-05-20T14:09:47"/>
    <x v="2"/>
    <s v="Lot 153291"/>
    <n v="3900"/>
    <s v="M²"/>
    <n v="1.73"/>
    <n v="6747"/>
    <s v="EUR"/>
    <x v="0"/>
    <d v="2019-05-27T00:00:00"/>
    <x v="1"/>
  </r>
  <r>
    <s v="360366ApP0000382"/>
    <s v="IC-AX"/>
    <s v="362-000418"/>
    <x v="2"/>
    <s v="CAG0195200"/>
    <d v="2019-09-17T20:44:01"/>
    <x v="5"/>
    <s v="Lot 175421"/>
    <n v="3900"/>
    <s v="M²"/>
    <n v="1.7100000000000002"/>
    <n v="6669"/>
    <s v="EUR"/>
    <x v="0"/>
    <d v="2019-10-01T00:00:00"/>
    <x v="5"/>
  </r>
  <r>
    <s v="360368ApP0000460"/>
    <s v="IC-AX"/>
    <s v="362-000418"/>
    <x v="3"/>
    <s v="CAG0195200"/>
    <d v="2019-03-27T23:35:41"/>
    <x v="7"/>
    <s v="Lot 146488"/>
    <n v="5850"/>
    <s v="M²"/>
    <n v="1.73"/>
    <n v="10120.5"/>
    <s v="EUR"/>
    <x v="0"/>
    <d v="2019-04-01T00:00:00"/>
    <x v="6"/>
  </r>
  <r>
    <s v="360368ApP0000536"/>
    <s v="IC-AX"/>
    <s v="362-000418"/>
    <x v="3"/>
    <s v="CAG0195200"/>
    <d v="2019-07-22T13:16:25"/>
    <x v="4"/>
    <s v="Lot 165321"/>
    <n v="7800"/>
    <s v="M²"/>
    <n v="1.73"/>
    <n v="13494"/>
    <s v="EUR"/>
    <x v="0"/>
    <d v="2019-09-16T00:00:00"/>
    <x v="7"/>
  </r>
  <r>
    <s v="360369ApP0000633"/>
    <s v="IC-AX"/>
    <s v="362-000418"/>
    <x v="4"/>
    <s v="CAG0195200"/>
    <d v="2019-10-03T19:30:02"/>
    <x v="6"/>
    <s v="Lot 180255"/>
    <n v="5850"/>
    <s v="M²"/>
    <n v="1.7100000000000002"/>
    <n v="10003.5"/>
    <s v="EUR"/>
    <x v="0"/>
    <d v="2019-10-11T00:00:00"/>
    <x v="5"/>
  </r>
  <r>
    <s v="360371ApP0000598"/>
    <s v="IC-AX"/>
    <s v="362-000418"/>
    <x v="10"/>
    <s v="CAG0195200"/>
    <d v="2019-03-15T22:56:45"/>
    <x v="7"/>
    <s v="Lot 145279"/>
    <n v="1170"/>
    <s v="M²"/>
    <n v="1.73"/>
    <n v="2024.1"/>
    <s v="EUR"/>
    <x v="0"/>
    <d v="2019-03-18T00:00:00"/>
    <x v="0"/>
  </r>
  <r>
    <s v="360371ApP0000613"/>
    <s v="IC-AX"/>
    <s v="362-000418"/>
    <x v="10"/>
    <s v="CAG0195200"/>
    <d v="2019-04-02T18:43:00"/>
    <x v="1"/>
    <s v="Lot 148371"/>
    <n v="6145"/>
    <s v="M²"/>
    <n v="1.73"/>
    <n v="10630.85"/>
    <s v="EUR"/>
    <x v="0"/>
    <d v="2019-04-08T00:00:00"/>
    <x v="6"/>
  </r>
  <r>
    <s v="360371ApP0000727"/>
    <s v="IC-AX"/>
    <s v="362-000418"/>
    <x v="10"/>
    <s v="CAG0195200"/>
    <d v="2019-07-29T20:38:43"/>
    <x v="4"/>
    <s v="Lot 166700"/>
    <n v="4095"/>
    <s v="M²"/>
    <n v="1.73"/>
    <n v="7084.35"/>
    <s v="EUR"/>
    <x v="0"/>
    <d v="2019-08-21T00:00:00"/>
    <x v="3"/>
  </r>
  <r>
    <s v="360ApP0003761"/>
    <s v="IC-AX"/>
    <s v="362-000413"/>
    <x v="11"/>
    <s v="CAG0195200"/>
    <d v="2019-01-09T17:10:02"/>
    <x v="8"/>
    <s v="Lot 135636"/>
    <n v="7020"/>
    <s v="M²"/>
    <n v="1.7"/>
    <n v="11934"/>
    <s v="EUR"/>
    <x v="0"/>
    <d v="2019-01-14T00:00:00"/>
    <x v="8"/>
  </r>
  <r>
    <s v="360ApP0003956"/>
    <s v="IC-AX"/>
    <s v="362-000413"/>
    <x v="5"/>
    <s v="CAG0195200"/>
    <d v="2019-03-25T17:45:19"/>
    <x v="7"/>
    <s v="Lot 146085"/>
    <n v="5850"/>
    <s v="M²"/>
    <n v="1.73"/>
    <n v="10120.5"/>
    <s v="EUR"/>
    <x v="0"/>
    <d v="2019-04-01T00:00:00"/>
    <x v="6"/>
  </r>
  <r>
    <s v="360ApP0004235"/>
    <s v="IC-AX"/>
    <s v="362-000413"/>
    <x v="5"/>
    <s v="CAG0195200"/>
    <d v="2019-05-28T22:55:10"/>
    <x v="2"/>
    <s v="Lot 155297"/>
    <n v="11700"/>
    <s v="M²"/>
    <n v="1.73"/>
    <n v="20241"/>
    <s v="EUR"/>
    <x v="0"/>
    <d v="2019-06-03T00:00:00"/>
    <x v="2"/>
  </r>
  <r>
    <s v="360ApP0004330"/>
    <s v="IC-AX"/>
    <s v="362-000413"/>
    <x v="5"/>
    <s v="CAG0195200"/>
    <d v="2019-06-19T16:20:43"/>
    <x v="3"/>
    <s v="Lot 159626"/>
    <n v="5850"/>
    <s v="M²"/>
    <n v="1.73"/>
    <n v="10120.5"/>
    <s v="EUR"/>
    <x v="0"/>
    <d v="2019-07-08T00:00:00"/>
    <x v="9"/>
  </r>
  <r>
    <s v="360ApP0004434"/>
    <s v="IC-AX"/>
    <s v="362-000413"/>
    <x v="5"/>
    <s v="CAG0195200"/>
    <d v="2019-07-23T17:07:42"/>
    <x v="4"/>
    <s v="Lot 165802"/>
    <n v="3900"/>
    <s v="M²"/>
    <n v="1.73"/>
    <n v="6747"/>
    <s v="EUR"/>
    <x v="0"/>
    <d v="2019-08-08T00:00:00"/>
    <x v="3"/>
  </r>
  <r>
    <s v="360ApP0004561"/>
    <s v="IC-AX"/>
    <s v="362-000413"/>
    <x v="5"/>
    <s v="CAG0195200"/>
    <d v="2019-08-21T20:01:40"/>
    <x v="9"/>
    <s v="Lot 170440"/>
    <n v="9750"/>
    <s v="M²"/>
    <n v="1.73"/>
    <n v="16867.5"/>
    <s v="EUR"/>
    <x v="0"/>
    <d v="2019-09-09T00:00:00"/>
    <x v="7"/>
  </r>
  <r>
    <s v="360ApP0004940"/>
    <s v="IC-AX"/>
    <s v="362-000413"/>
    <x v="5"/>
    <s v="CAG0195200"/>
    <d v="2019-12-09T21:00:20"/>
    <x v="11"/>
    <s v="Lot 190783"/>
    <n v="9750"/>
    <s v="M²"/>
    <n v="1.7100000000000002"/>
    <n v="16672.5"/>
    <s v="EUR"/>
    <x v="0"/>
    <d v="2020-01-17T00:00:00"/>
    <x v="12"/>
  </r>
  <r>
    <s v="360SO0007705"/>
    <s v="IC-AX"/>
    <s v="362-000413"/>
    <x v="9"/>
    <s v="CAG0195200"/>
    <d v="2019-02-11T23:18:26"/>
    <x v="0"/>
    <s v="Lot 139747"/>
    <n v="3900"/>
    <s v="M²"/>
    <n v="1.7"/>
    <n v="6630"/>
    <s v="EUR"/>
    <x v="0"/>
    <d v="2019-02-13T00:00:00"/>
    <x v="4"/>
  </r>
  <r>
    <s v="SO0002170"/>
    <s v="Domestic"/>
    <s v="362-000762"/>
    <x v="6"/>
    <s v="CAG0195200"/>
    <d v="2019-01-14T15:47:34"/>
    <x v="8"/>
    <s v="Lot 135811"/>
    <n v="1365"/>
    <s v="M²"/>
    <n v="18"/>
    <n v="24570"/>
    <s v="PLN"/>
    <x v="0"/>
    <d v="2019-01-10T00:00:00"/>
    <x v="8"/>
  </r>
  <r>
    <s v="SO0002195"/>
    <s v="Domestic"/>
    <s v="362-000301"/>
    <x v="6"/>
    <s v="CAG0195200"/>
    <d v="2019-02-21T17:29:58"/>
    <x v="0"/>
    <s v="Lot 141797"/>
    <n v="390"/>
    <s v="M²"/>
    <n v="19"/>
    <n v="7410"/>
    <s v="PLN"/>
    <x v="0"/>
    <d v="2019-02-21T00:00:00"/>
    <x v="4"/>
  </r>
  <r>
    <s v="SO0002198"/>
    <s v="Domestic"/>
    <s v="362-000139"/>
    <x v="6"/>
    <s v="CAG0195200"/>
    <d v="2019-02-22T20:28:35"/>
    <x v="0"/>
    <s v="Lot 142075"/>
    <n v="292.5"/>
    <s v="M²"/>
    <n v="19.34"/>
    <n v="5656.95"/>
    <s v="PLN"/>
    <x v="0"/>
    <d v="2019-02-22T00:00:00"/>
    <x v="4"/>
  </r>
  <r>
    <s v="SO0002199"/>
    <s v="Domestic"/>
    <s v="362-000568"/>
    <x v="6"/>
    <s v="CAG0195200"/>
    <d v="2019-02-25T16:10:23"/>
    <x v="0"/>
    <s v="Lot 142076"/>
    <n v="1170"/>
    <s v="M²"/>
    <n v="18"/>
    <n v="21060"/>
    <s v="PLN"/>
    <x v="0"/>
    <d v="2019-02-25T00:00:00"/>
    <x v="4"/>
  </r>
  <r>
    <s v="SO0002203"/>
    <s v="Domestic"/>
    <s v="362-000778"/>
    <x v="6"/>
    <s v="CAG0195200"/>
    <d v="2019-03-04T19:45:04"/>
    <x v="7"/>
    <s v="Lot 143365"/>
    <n v="3900"/>
    <s v="M²"/>
    <n v="17"/>
    <n v="66300"/>
    <s v="PLN"/>
    <x v="0"/>
    <d v="2019-03-05T00:00:00"/>
    <x v="0"/>
  </r>
  <r>
    <s v="SO0002213"/>
    <s v="Domestic"/>
    <s v="362-000518"/>
    <x v="6"/>
    <s v="CAG0195200"/>
    <d v="2019-03-18T20:01:52"/>
    <x v="7"/>
    <s v="Lot 145474"/>
    <n v="10042.5"/>
    <s v="M²"/>
    <n v="16"/>
    <n v="160680"/>
    <s v="PLN"/>
    <x v="0"/>
    <d v="2019-03-18T00:00:00"/>
    <x v="0"/>
  </r>
  <r>
    <s v="SO0002214"/>
    <s v="Domestic"/>
    <s v="362-000139"/>
    <x v="6"/>
    <s v="CAG0195200"/>
    <d v="2019-03-18T20:51:43"/>
    <x v="7"/>
    <s v="Lot 145475"/>
    <n v="22425"/>
    <s v="M²"/>
    <n v="14"/>
    <n v="313950"/>
    <s v="PLN"/>
    <x v="0"/>
    <d v="2019-03-19T00:00:00"/>
    <x v="0"/>
  </r>
  <r>
    <s v="SO0002217"/>
    <s v="Domestic"/>
    <s v="362-000543"/>
    <x v="6"/>
    <s v="CAG0195200"/>
    <d v="2019-03-25T15:54:24"/>
    <x v="7"/>
    <s v="Lot 146082"/>
    <n v="2535"/>
    <s v="M²"/>
    <n v="16"/>
    <n v="40560"/>
    <s v="PLN"/>
    <x v="0"/>
    <d v="2019-03-25T00:00:00"/>
    <x v="0"/>
  </r>
  <r>
    <s v="SO0002226"/>
    <s v="Domestic"/>
    <s v="362-000529"/>
    <x v="6"/>
    <s v="CAG0195200"/>
    <d v="2019-03-29T18:50:01"/>
    <x v="7"/>
    <s v="Lot 147571"/>
    <n v="2925"/>
    <s v="M²"/>
    <n v="17.5"/>
    <n v="51187.5"/>
    <s v="PLN"/>
    <x v="0"/>
    <d v="2019-03-29T00:00:00"/>
    <x v="0"/>
  </r>
  <r>
    <s v="SO0002227"/>
    <s v="Domestic"/>
    <s v="362-000047"/>
    <x v="6"/>
    <s v="CAG0195200"/>
    <d v="2019-04-01T18:54:40"/>
    <x v="1"/>
    <s v="Lot 148362"/>
    <n v="4095"/>
    <s v="M²"/>
    <n v="17"/>
    <n v="69615"/>
    <s v="PLN"/>
    <x v="0"/>
    <d v="2019-04-01T00:00:00"/>
    <x v="6"/>
  </r>
  <r>
    <s v="SO0002235"/>
    <s v="Domestic"/>
    <s v="362-000301"/>
    <x v="6"/>
    <s v="CAG0195200"/>
    <d v="2019-04-09T14:42:27"/>
    <x v="1"/>
    <s v="Lot 149556"/>
    <n v="3120"/>
    <s v="M²"/>
    <n v="18"/>
    <n v="56160"/>
    <s v="PLN"/>
    <x v="0"/>
    <d v="2019-04-08T00:00:00"/>
    <x v="6"/>
  </r>
  <r>
    <s v="SO0002236"/>
    <s v="Domestic"/>
    <s v="362-000595"/>
    <x v="6"/>
    <s v="CAG0195200"/>
    <d v="2019-04-09T14:45:38"/>
    <x v="1"/>
    <s v="Lot 149557"/>
    <n v="585"/>
    <s v="M²"/>
    <n v="18.329999999999998"/>
    <n v="10723.05"/>
    <s v="PLN"/>
    <x v="0"/>
    <d v="2019-04-08T00:00:00"/>
    <x v="6"/>
  </r>
  <r>
    <s v="SO0002241"/>
    <s v="Domestic"/>
    <s v="362-000500"/>
    <x v="6"/>
    <s v="CAG0195200"/>
    <d v="2019-04-12T13:57:10"/>
    <x v="1"/>
    <s v="Lot 150207"/>
    <n v="487.5"/>
    <s v="M²"/>
    <n v="19.3"/>
    <n v="9408.75"/>
    <s v="PLN"/>
    <x v="0"/>
    <d v="2019-04-12T00:00:00"/>
    <x v="6"/>
  </r>
  <r>
    <s v="SO0002249"/>
    <s v="Domestic"/>
    <s v="362-000668"/>
    <x v="6"/>
    <s v="CAG0195200"/>
    <d v="2019-04-16T20:32:28"/>
    <x v="1"/>
    <s v="Lot 150803"/>
    <n v="50700"/>
    <s v="M²"/>
    <n v="16.2"/>
    <n v="821340"/>
    <s v="PLN"/>
    <x v="0"/>
    <d v="2019-04-16T00:00:00"/>
    <x v="6"/>
  </r>
  <r>
    <s v="SO0002252"/>
    <s v="Domestic"/>
    <s v="362-000271"/>
    <x v="6"/>
    <s v="CAG0195200"/>
    <d v="2019-04-16T20:56:48"/>
    <x v="1"/>
    <s v="Lot 150808"/>
    <n v="2340"/>
    <s v="M²"/>
    <n v="18"/>
    <n v="42120"/>
    <s v="PLN"/>
    <x v="0"/>
    <d v="2019-04-15T00:00:00"/>
    <x v="6"/>
  </r>
  <r>
    <s v="SO0002254"/>
    <s v="Domestic"/>
    <s v="362-000496"/>
    <x v="6"/>
    <s v="CAG0195200"/>
    <d v="2019-04-18T14:19:01"/>
    <x v="1"/>
    <s v="Lot 150990"/>
    <n v="1267.5"/>
    <s v="M²"/>
    <n v="18"/>
    <n v="22815"/>
    <s v="PLN"/>
    <x v="0"/>
    <d v="2019-04-17T00:00:00"/>
    <x v="6"/>
  </r>
  <r>
    <s v="SO0002257"/>
    <s v="Domestic"/>
    <s v="362-000485"/>
    <x v="6"/>
    <s v="CAG0195200"/>
    <d v="2019-05-06T14:19:50"/>
    <x v="2"/>
    <s v="Lot 151512"/>
    <n v="1950"/>
    <s v="M²"/>
    <n v="6"/>
    <n v="11700"/>
    <s v="PLN"/>
    <x v="0"/>
    <d v="2019-05-06T00:00:00"/>
    <x v="1"/>
  </r>
  <r>
    <s v="SO0002258"/>
    <s v="Domestic"/>
    <s v="362-000643"/>
    <x v="6"/>
    <s v="CAG0195200"/>
    <d v="2019-05-06T15:02:35"/>
    <x v="2"/>
    <s v="Lot 151514"/>
    <n v="292.5"/>
    <s v="M²"/>
    <n v="18"/>
    <n v="5265"/>
    <s v="PLN"/>
    <x v="0"/>
    <d v="2019-05-06T00:00:00"/>
    <x v="1"/>
  </r>
  <r>
    <s v="SO0002262"/>
    <s v="Domestic"/>
    <s v="362-000139"/>
    <x v="6"/>
    <s v="CAG0195200"/>
    <d v="2019-05-07T15:38:00"/>
    <x v="2"/>
    <s v="Lot 151756"/>
    <n v="19500"/>
    <s v="M²"/>
    <n v="14"/>
    <n v="273000"/>
    <s v="PLN"/>
    <x v="0"/>
    <d v="2019-05-06T00:00:00"/>
    <x v="1"/>
  </r>
  <r>
    <s v="SO0002265"/>
    <s v="Domestic"/>
    <s v="362-000485"/>
    <x v="6"/>
    <s v="CAG0195200"/>
    <d v="2019-05-07T20:04:46"/>
    <x v="2"/>
    <s v="Lot 151801"/>
    <n v="-1950"/>
    <s v="M²"/>
    <n v="6"/>
    <n v="-11700"/>
    <s v="PLN"/>
    <x v="0"/>
    <d v="2019-05-06T00:00:00"/>
    <x v="1"/>
  </r>
  <r>
    <s v="SO0002266"/>
    <s v="Domestic"/>
    <s v="362-000485"/>
    <x v="6"/>
    <s v="CAG0195200"/>
    <d v="2019-05-07T20:24:50"/>
    <x v="2"/>
    <s v="Lot 151803"/>
    <n v="1950"/>
    <s v="M²"/>
    <n v="18"/>
    <n v="35100"/>
    <s v="PLN"/>
    <x v="0"/>
    <d v="2019-05-06T00:00:00"/>
    <x v="1"/>
  </r>
  <r>
    <s v="SO0002268"/>
    <s v="Domestic"/>
    <s v="362-000785"/>
    <x v="6"/>
    <s v="CAG0195200"/>
    <d v="2019-05-08T15:20:06"/>
    <x v="2"/>
    <s v="Lot 151947"/>
    <n v="682.5"/>
    <s v="M²"/>
    <n v="18.579999999999998"/>
    <n v="12680.85"/>
    <s v="PLN"/>
    <x v="0"/>
    <d v="2019-05-06T00:00:00"/>
    <x v="1"/>
  </r>
  <r>
    <s v="SO0002269"/>
    <s v="Domestic"/>
    <s v="362-000503"/>
    <x v="6"/>
    <s v="CAG0195200"/>
    <d v="2019-05-08T15:44:09"/>
    <x v="2"/>
    <s v="Lot 151948"/>
    <n v="2535"/>
    <s v="M²"/>
    <n v="18"/>
    <n v="45630"/>
    <s v="PLN"/>
    <x v="0"/>
    <d v="2019-05-08T00:00:00"/>
    <x v="1"/>
  </r>
  <r>
    <s v="SO0002270"/>
    <s v="Domestic"/>
    <s v="362-000518"/>
    <x v="6"/>
    <s v="CAG0195200"/>
    <d v="2019-05-08T15:46:10"/>
    <x v="2"/>
    <s v="Lot 151949"/>
    <n v="10042.5"/>
    <s v="M²"/>
    <n v="16"/>
    <n v="160680"/>
    <s v="PLN"/>
    <x v="0"/>
    <d v="2019-05-08T00:00:00"/>
    <x v="1"/>
  </r>
  <r>
    <s v="SO0002271"/>
    <s v="Domestic"/>
    <s v="362-000139"/>
    <x v="6"/>
    <s v="CAG0195200"/>
    <d v="2019-05-08T15:47:42"/>
    <x v="2"/>
    <s v="Lot 151950"/>
    <n v="2535"/>
    <s v="M²"/>
    <n v="16"/>
    <n v="40560"/>
    <s v="PLN"/>
    <x v="0"/>
    <d v="2019-05-08T00:00:00"/>
    <x v="1"/>
  </r>
  <r>
    <s v="SO0002273"/>
    <s v="Domestic"/>
    <s v="362-000619"/>
    <x v="6"/>
    <s v="CAG0195200"/>
    <d v="2019-05-08T19:29:10"/>
    <x v="2"/>
    <s v="Lot 151952"/>
    <n v="97.5"/>
    <s v="M²"/>
    <n v="18"/>
    <n v="1755"/>
    <s v="PLN"/>
    <x v="0"/>
    <d v="2019-05-08T00:00:00"/>
    <x v="1"/>
  </r>
  <r>
    <s v="SO0002276"/>
    <s v="Domestic"/>
    <s v="362-000485"/>
    <x v="6"/>
    <s v="CAG0195200"/>
    <d v="2019-05-10T14:02:22"/>
    <x v="2"/>
    <s v="Lot 152150"/>
    <n v="1950"/>
    <s v="M²"/>
    <n v="18"/>
    <n v="35100"/>
    <s v="PLN"/>
    <x v="0"/>
    <d v="2019-05-10T00:00:00"/>
    <x v="1"/>
  </r>
  <r>
    <s v="SO0002284"/>
    <s v="IC-AX"/>
    <s v="362-000418"/>
    <x v="5"/>
    <s v="CAG0195200"/>
    <d v="2019-05-13T20:17:37"/>
    <x v="2"/>
    <s v="Lot 152556"/>
    <n v="-13650"/>
    <s v="M²"/>
    <n v="1.73"/>
    <n v="-23614.5"/>
    <s v="EUR"/>
    <x v="0"/>
    <d v="2019-05-13T00:00:00"/>
    <x v="1"/>
  </r>
  <r>
    <s v="SO0002296"/>
    <s v="Domestic"/>
    <s v="362-000583"/>
    <x v="6"/>
    <s v="CAG0195200"/>
    <d v="2019-05-20T15:36:57"/>
    <x v="2"/>
    <s v="Lot 153446"/>
    <n v="975"/>
    <s v="M²"/>
    <n v="18"/>
    <n v="17550"/>
    <s v="PLN"/>
    <x v="0"/>
    <d v="2019-05-17T00:00:00"/>
    <x v="1"/>
  </r>
  <r>
    <s v="SO0002299"/>
    <s v="Domestic"/>
    <s v="362-000139"/>
    <x v="6"/>
    <s v="CAG0195200"/>
    <d v="2019-05-23T15:05:36"/>
    <x v="2"/>
    <s v="Lot 154197"/>
    <n v="5167.5"/>
    <s v="M²"/>
    <n v="16"/>
    <n v="82680"/>
    <s v="PLN"/>
    <x v="0"/>
    <d v="2019-05-23T00:00:00"/>
    <x v="1"/>
  </r>
  <r>
    <s v="SO0002306"/>
    <s v="Domestic"/>
    <s v="362-000047"/>
    <x v="6"/>
    <s v="CAG0195200"/>
    <d v="2019-05-28T14:38:45"/>
    <x v="2"/>
    <s v="Lot 155032"/>
    <n v="-4095"/>
    <s v="M²"/>
    <n v="17"/>
    <n v="-69615"/>
    <s v="PLN"/>
    <x v="0"/>
    <d v="2019-05-28T00:00:00"/>
    <x v="1"/>
  </r>
  <r>
    <s v="SO0002307"/>
    <s v="Domestic"/>
    <s v="362-000047"/>
    <x v="6"/>
    <s v="CAG0195200"/>
    <d v="2019-05-28T14:47:01"/>
    <x v="2"/>
    <s v="Lot 155033"/>
    <n v="4095"/>
    <s v="M²"/>
    <n v="17"/>
    <n v="69615"/>
    <s v="PLN"/>
    <x v="0"/>
    <d v="2019-05-28T00:00:00"/>
    <x v="1"/>
  </r>
  <r>
    <s v="SO0002308"/>
    <s v="Domestic"/>
    <s v="362-000518"/>
    <x v="6"/>
    <s v="CAG0195200"/>
    <d v="2019-05-28T14:59:00"/>
    <x v="2"/>
    <s v="Lot 155035"/>
    <n v="4875"/>
    <s v="M²"/>
    <n v="18"/>
    <n v="87750"/>
    <s v="PLN"/>
    <x v="0"/>
    <d v="2019-05-21T00:00:00"/>
    <x v="1"/>
  </r>
  <r>
    <s v="SO0002316"/>
    <s v="Domestic"/>
    <s v="362-000529"/>
    <x v="6"/>
    <s v="CAG0195200"/>
    <d v="2019-06-04T16:04:48"/>
    <x v="3"/>
    <s v="Lot 155676"/>
    <n v="1365"/>
    <s v="M²"/>
    <n v="18"/>
    <n v="24570"/>
    <s v="PLN"/>
    <x v="0"/>
    <d v="2019-06-03T00:00:00"/>
    <x v="2"/>
  </r>
  <r>
    <s v="SO0002320"/>
    <s v="Domestic"/>
    <s v="362-000543"/>
    <x v="6"/>
    <s v="CAG0195200"/>
    <d v="2019-06-05T15:03:50"/>
    <x v="3"/>
    <s v="Lot 156335"/>
    <n v="3217.5"/>
    <s v="M²"/>
    <n v="18"/>
    <n v="57915"/>
    <s v="PLN"/>
    <x v="0"/>
    <d v="2019-06-05T00:00:00"/>
    <x v="2"/>
  </r>
  <r>
    <s v="SO0002323"/>
    <s v="Domestic"/>
    <s v="362-000717"/>
    <x v="6"/>
    <s v="CAG0195200"/>
    <d v="2019-06-05T17:50:33"/>
    <x v="3"/>
    <s v="Lot 156540"/>
    <n v="487.5"/>
    <s v="M²"/>
    <n v="18"/>
    <n v="8775"/>
    <s v="PLN"/>
    <x v="0"/>
    <d v="2019-06-05T00:00:00"/>
    <x v="2"/>
  </r>
  <r>
    <s v="SO0002327"/>
    <s v="Domestic"/>
    <s v="362-000483"/>
    <x v="6"/>
    <s v="CAG0195200"/>
    <d v="2019-06-07T19:14:56"/>
    <x v="3"/>
    <s v="Lot 157117"/>
    <n v="585"/>
    <s v="M²"/>
    <n v="18.670000000000002"/>
    <n v="10921.95"/>
    <s v="PLN"/>
    <x v="0"/>
    <d v="2019-06-06T00:00:00"/>
    <x v="2"/>
  </r>
  <r>
    <s v="SO0002335"/>
    <s v="Domestic"/>
    <s v="362-000301"/>
    <x v="6"/>
    <s v="CAG0195200"/>
    <d v="2019-06-12T15:31:02"/>
    <x v="3"/>
    <s v="Lot 157536"/>
    <n v="975"/>
    <s v="M²"/>
    <n v="18"/>
    <n v="17550"/>
    <s v="PLN"/>
    <x v="0"/>
    <d v="2019-06-12T00:00:00"/>
    <x v="2"/>
  </r>
  <r>
    <s v="SO0002338"/>
    <s v="Domestic"/>
    <s v="362-000796"/>
    <x v="6"/>
    <s v="CAG0195200"/>
    <d v="2019-06-12T18:42:44"/>
    <x v="3"/>
    <s v="Lot 157738"/>
    <n v="13260"/>
    <s v="M²"/>
    <n v="18"/>
    <n v="238680"/>
    <s v="PLN"/>
    <x v="0"/>
    <d v="2019-06-11T00:00:00"/>
    <x v="2"/>
  </r>
  <r>
    <s v="SO0002344"/>
    <s v="Domestic"/>
    <s v="362-000518"/>
    <x v="6"/>
    <s v="CAG0195200"/>
    <d v="2019-06-14T18:04:29"/>
    <x v="3"/>
    <s v="Lot 158667"/>
    <n v="2535"/>
    <s v="M²"/>
    <n v="17.5"/>
    <n v="44362.5"/>
    <s v="PLN"/>
    <x v="0"/>
    <d v="2019-06-14T00:00:00"/>
    <x v="2"/>
  </r>
  <r>
    <s v="SO0002346"/>
    <s v="Domestic"/>
    <s v="362-000594"/>
    <x v="6"/>
    <s v="CAG0195200"/>
    <d v="2019-06-18T17:05:06"/>
    <x v="3"/>
    <s v="Lot 159422"/>
    <n v="97.5"/>
    <s v="M²"/>
    <n v="20"/>
    <n v="1950"/>
    <s v="PLN"/>
    <x v="0"/>
    <d v="2019-06-18T00:00:00"/>
    <x v="2"/>
  </r>
  <r>
    <s v="SO0002354"/>
    <s v="Domestic"/>
    <s v="362-000483"/>
    <x v="6"/>
    <s v="CAG0195200"/>
    <d v="2019-06-25T13:44:18"/>
    <x v="3"/>
    <s v="Lot 159855"/>
    <n v="585"/>
    <s v="M²"/>
    <n v="18.670000000000002"/>
    <n v="10921.95"/>
    <s v="PLN"/>
    <x v="0"/>
    <d v="2019-06-24T00:00:00"/>
    <x v="2"/>
  </r>
  <r>
    <s v="SO0002359"/>
    <s v="Domestic"/>
    <s v="362-000518"/>
    <x v="6"/>
    <s v="CAG0195200"/>
    <d v="2019-07-02T14:48:56"/>
    <x v="4"/>
    <s v="Lot 161768"/>
    <n v="3607.5"/>
    <s v="M²"/>
    <n v="17.5"/>
    <n v="63131.25"/>
    <s v="PLN"/>
    <x v="0"/>
    <d v="2019-07-01T00:00:00"/>
    <x v="9"/>
  </r>
  <r>
    <s v="SO0002363"/>
    <s v="Domestic"/>
    <s v="362-000139"/>
    <x v="6"/>
    <s v="CAG0195200"/>
    <d v="2019-07-02T19:58:34"/>
    <x v="4"/>
    <s v="Lot 162261"/>
    <n v="22425"/>
    <s v="M²"/>
    <n v="14"/>
    <n v="313950"/>
    <s v="PLN"/>
    <x v="0"/>
    <d v="2019-07-02T00:00:00"/>
    <x v="9"/>
  </r>
  <r>
    <s v="SO0002364"/>
    <s v="Domestic"/>
    <s v="362-000543"/>
    <x v="6"/>
    <s v="CAG0195200"/>
    <d v="2019-07-03T15:42:23"/>
    <x v="4"/>
    <s v="Lot 162462"/>
    <n v="11992.5"/>
    <s v="M²"/>
    <n v="18"/>
    <n v="215865"/>
    <s v="PLN"/>
    <x v="0"/>
    <d v="2019-07-02T00:00:00"/>
    <x v="9"/>
  </r>
  <r>
    <s v="SO0002369"/>
    <s v="Domestic"/>
    <s v="362-000139"/>
    <x v="6"/>
    <s v="CAG0195200"/>
    <d v="2019-07-08T14:09:27"/>
    <x v="4"/>
    <s v="Lot 162860"/>
    <n v="97.5"/>
    <s v="M²"/>
    <n v="22"/>
    <n v="2145"/>
    <s v="PLN"/>
    <x v="0"/>
    <d v="2019-07-05T00:00:00"/>
    <x v="9"/>
  </r>
  <r>
    <s v="SO0002383"/>
    <s v="Domestic"/>
    <s v="362-000301"/>
    <x v="6"/>
    <s v="CAG0195200"/>
    <d v="2019-07-10T15:32:28"/>
    <x v="4"/>
    <s v="Lot 163863"/>
    <n v="3900"/>
    <s v="M²"/>
    <n v="17.5"/>
    <n v="68250"/>
    <s v="PLN"/>
    <x v="0"/>
    <d v="2019-07-10T00:00:00"/>
    <x v="9"/>
  </r>
  <r>
    <s v="SO0002384"/>
    <s v="Domestic"/>
    <s v="362-000629"/>
    <x v="6"/>
    <s v="CAG0195200"/>
    <d v="2019-07-11T15:26:43"/>
    <x v="4"/>
    <s v="Lot 163983"/>
    <n v="873"/>
    <s v="M²"/>
    <n v="16.5"/>
    <n v="14404.5"/>
    <s v="PLN"/>
    <x v="0"/>
    <d v="2019-07-10T00:00:00"/>
    <x v="9"/>
  </r>
  <r>
    <s v="SO0002397"/>
    <s v="Domestic"/>
    <s v="362-000301"/>
    <x v="6"/>
    <s v="CAG0195200"/>
    <d v="2019-07-16T16:52:03"/>
    <x v="4"/>
    <s v="Lot 164723"/>
    <n v="975"/>
    <s v="M²"/>
    <n v="17.5"/>
    <n v="17062.5"/>
    <s v="PLN"/>
    <x v="0"/>
    <d v="2019-07-16T00:00:00"/>
    <x v="9"/>
  </r>
  <r>
    <s v="SO0002398"/>
    <s v="Domestic"/>
    <s v="362-000518"/>
    <x v="6"/>
    <s v="CAG0195200"/>
    <d v="2019-07-17T19:14:07"/>
    <x v="4"/>
    <s v="Lot 164897"/>
    <n v="6922.5"/>
    <s v="M²"/>
    <n v="17.5"/>
    <n v="121143.75"/>
    <s v="PLN"/>
    <x v="0"/>
    <d v="2019-07-17T00:00:00"/>
    <x v="9"/>
  </r>
  <r>
    <s v="SO0002401"/>
    <s v="Domestic"/>
    <s v="362-000808"/>
    <x v="6"/>
    <s v="CAG0195200"/>
    <d v="2019-07-22T13:57:56"/>
    <x v="4"/>
    <s v="Lot 165324"/>
    <n v="97.5"/>
    <s v="M²"/>
    <n v="22"/>
    <n v="2145"/>
    <s v="PLN"/>
    <x v="0"/>
    <d v="2019-07-18T00:00:00"/>
    <x v="9"/>
  </r>
  <r>
    <s v="SO0002412"/>
    <s v="Domestic"/>
    <s v="362-000510"/>
    <x v="6"/>
    <s v="CAG0195200"/>
    <d v="2019-07-22T17:58:55"/>
    <x v="4"/>
    <s v="Lot 165583"/>
    <n v="6045"/>
    <s v="M²"/>
    <n v="15.5"/>
    <n v="93697.5"/>
    <s v="PLN"/>
    <x v="0"/>
    <d v="2019-07-24T00:00:00"/>
    <x v="9"/>
  </r>
  <r>
    <s v="SO0002416"/>
    <s v="Domestic"/>
    <s v="362-000485"/>
    <x v="6"/>
    <s v="CAG0195200"/>
    <d v="2019-07-22T20:07:46"/>
    <x v="4"/>
    <s v="Lot 165588"/>
    <n v="7800"/>
    <s v="M²"/>
    <n v="18"/>
    <n v="140400"/>
    <s v="PLN"/>
    <x v="0"/>
    <d v="2019-07-24T00:00:00"/>
    <x v="9"/>
  </r>
  <r>
    <s v="SO0002417"/>
    <s v="Domestic"/>
    <s v="362-000518"/>
    <x v="6"/>
    <s v="CAG0195200"/>
    <d v="2019-07-22T20:22:53"/>
    <x v="4"/>
    <s v="Lot 165592"/>
    <n v="6922.5"/>
    <s v="M²"/>
    <n v="17.5"/>
    <n v="121143.75"/>
    <s v="PLN"/>
    <x v="0"/>
    <d v="2019-07-24T00:00:00"/>
    <x v="9"/>
  </r>
  <r>
    <s v="SO0002421"/>
    <s v="Domestic"/>
    <s v="362-000139"/>
    <x v="6"/>
    <s v="CAG0195200"/>
    <d v="2019-07-25T16:10:32"/>
    <x v="4"/>
    <s v="Lot 166300"/>
    <n v="4972.5"/>
    <s v="M²"/>
    <n v="18"/>
    <n v="89505"/>
    <s v="PLN"/>
    <x v="0"/>
    <d v="2019-07-25T00:00:00"/>
    <x v="9"/>
  </r>
  <r>
    <s v="SO0002424"/>
    <s v="Domestic"/>
    <s v="362-000485"/>
    <x v="6"/>
    <s v="CAG0195200"/>
    <d v="2019-07-26T13:39:32"/>
    <x v="4"/>
    <s v="Lot 166343"/>
    <n v="-7800"/>
    <s v="M²"/>
    <n v="18"/>
    <n v="-140400"/>
    <s v="PLN"/>
    <x v="0"/>
    <d v="2019-07-26T00:00:00"/>
    <x v="9"/>
  </r>
  <r>
    <s v="SO0002425"/>
    <s v="Domestic"/>
    <s v="362-000472"/>
    <x v="6"/>
    <s v="CAG0195200"/>
    <d v="2019-07-26T14:24:12"/>
    <x v="4"/>
    <s v="Lot 166347"/>
    <n v="1560"/>
    <s v="M²"/>
    <n v="18"/>
    <n v="28080"/>
    <s v="PLN"/>
    <x v="0"/>
    <d v="2019-07-25T00:00:00"/>
    <x v="9"/>
  </r>
  <r>
    <s v="SO0002426"/>
    <s v="Domestic"/>
    <s v="362-000490"/>
    <x v="6"/>
    <s v="CAG0195200"/>
    <d v="2019-07-26T17:56:59"/>
    <x v="4"/>
    <s v="Lot 166500"/>
    <n v="2632.5"/>
    <s v="M²"/>
    <n v="17"/>
    <n v="44752.5"/>
    <s v="PLN"/>
    <x v="0"/>
    <d v="2019-07-26T00:00:00"/>
    <x v="9"/>
  </r>
  <r>
    <s v="SO0002428"/>
    <s v="Domestic"/>
    <s v="362-000301"/>
    <x v="6"/>
    <s v="CAG0195200"/>
    <d v="2019-07-29T13:56:34"/>
    <x v="4"/>
    <s v="Lot 166505"/>
    <n v="3900"/>
    <s v="M²"/>
    <n v="17.5"/>
    <n v="68250"/>
    <s v="PLN"/>
    <x v="0"/>
    <d v="2019-07-29T00:00:00"/>
    <x v="9"/>
  </r>
  <r>
    <s v="SO0002436"/>
    <s v="Domestic"/>
    <s v="362-000539"/>
    <x v="6"/>
    <s v="CAG0195200"/>
    <d v="2019-08-01T15:48:56"/>
    <x v="9"/>
    <s v="Lot 167181"/>
    <n v="2535"/>
    <s v="M²"/>
    <n v="18"/>
    <n v="45630"/>
    <s v="PLN"/>
    <x v="0"/>
    <d v="2019-08-01T00:00:00"/>
    <x v="3"/>
  </r>
  <r>
    <s v="SO0002438"/>
    <s v="Domestic"/>
    <s v="362-000709"/>
    <x v="6"/>
    <s v="CAG0195200"/>
    <d v="2019-08-01T16:11:21"/>
    <x v="9"/>
    <s v="Lot 167286"/>
    <n v="1170"/>
    <s v="M²"/>
    <n v="18"/>
    <n v="21060"/>
    <s v="PLN"/>
    <x v="0"/>
    <d v="2019-08-01T00:00:00"/>
    <x v="3"/>
  </r>
  <r>
    <s v="SO0002439"/>
    <s v="Domestic"/>
    <s v="362-000717"/>
    <x v="6"/>
    <s v="CAG0195200"/>
    <d v="2019-08-01T16:13:36"/>
    <x v="9"/>
    <s v="Lot 167301"/>
    <n v="1462.5"/>
    <s v="M²"/>
    <n v="18"/>
    <n v="26325"/>
    <s v="PLN"/>
    <x v="0"/>
    <d v="2019-08-01T00:00:00"/>
    <x v="3"/>
  </r>
  <r>
    <s v="SO0002440"/>
    <s v="Domestic"/>
    <s v="362-000543"/>
    <x v="6"/>
    <s v="CAG0195200"/>
    <d v="2019-08-01T16:17:55"/>
    <x v="9"/>
    <s v="Lot 167336"/>
    <n v="10432.5"/>
    <s v="M²"/>
    <n v="18"/>
    <n v="187785"/>
    <s v="PLN"/>
    <x v="0"/>
    <d v="2019-08-01T00:00:00"/>
    <x v="3"/>
  </r>
  <r>
    <s v="SO0002444"/>
    <s v="Domestic"/>
    <s v="362-000139"/>
    <x v="6"/>
    <s v="CAG0195200"/>
    <d v="2019-08-01T20:15:00"/>
    <x v="9"/>
    <s v="Lot 167356"/>
    <n v="15795"/>
    <s v="M²"/>
    <n v="17"/>
    <n v="268515"/>
    <s v="PLN"/>
    <x v="0"/>
    <d v="2019-08-01T00:00:00"/>
    <x v="3"/>
  </r>
  <r>
    <s v="SO0002447"/>
    <s v="Domestic"/>
    <s v="362-000813"/>
    <x v="6"/>
    <s v="CAG0195200"/>
    <d v="2019-08-02T15:47:47"/>
    <x v="9"/>
    <s v="Lot 167482"/>
    <n v="3315"/>
    <s v="M²"/>
    <n v="16"/>
    <n v="53040"/>
    <s v="PLN"/>
    <x v="0"/>
    <d v="2019-08-01T00:00:00"/>
    <x v="3"/>
  </r>
  <r>
    <s v="SO0002451"/>
    <s v="Domestic"/>
    <s v="362-000709"/>
    <x v="6"/>
    <s v="CAG0195200"/>
    <d v="2019-08-05T18:46:59"/>
    <x v="9"/>
    <s v="Lot 167918"/>
    <n v="-1170"/>
    <s v="M²"/>
    <n v="18"/>
    <n v="-21060"/>
    <s v="PLN"/>
    <x v="0"/>
    <d v="2019-08-05T00:00:00"/>
    <x v="3"/>
  </r>
  <r>
    <s v="SO0002451"/>
    <s v="Domestic"/>
    <s v="362-000709"/>
    <x v="6"/>
    <s v="CAG0195200"/>
    <d v="2019-08-05T18:47:18"/>
    <x v="9"/>
    <s v="Lot 167919"/>
    <n v="1170"/>
    <s v="M²"/>
    <n v="17.5"/>
    <n v="20475"/>
    <s v="PLN"/>
    <x v="0"/>
    <d v="2019-08-05T00:00:00"/>
    <x v="3"/>
  </r>
  <r>
    <s v="SO0002459"/>
    <s v="Domestic"/>
    <s v="362-000485"/>
    <x v="6"/>
    <s v="CAG0195200"/>
    <d v="2019-08-07T13:51:56"/>
    <x v="9"/>
    <s v="Lot 168161"/>
    <n v="7800"/>
    <s v="M²"/>
    <n v="18"/>
    <n v="140400"/>
    <s v="PLN"/>
    <x v="0"/>
    <d v="2019-08-07T00:00:00"/>
    <x v="3"/>
  </r>
  <r>
    <s v="SO0002461"/>
    <s v="Domestic"/>
    <s v="362-000508"/>
    <x v="6"/>
    <s v="CAG0195200"/>
    <d v="2019-08-07T17:32:54"/>
    <x v="9"/>
    <s v="Lot 168338"/>
    <n v="780"/>
    <s v="M²"/>
    <n v="7"/>
    <n v="5460"/>
    <s v="PLN"/>
    <x v="0"/>
    <d v="2019-08-07T00:00:00"/>
    <x v="3"/>
  </r>
  <r>
    <s v="SO0002465"/>
    <s v="Domestic"/>
    <s v="362-000139"/>
    <x v="6"/>
    <s v="CAG0195200"/>
    <d v="2019-08-08T19:40:30"/>
    <x v="9"/>
    <s v="Lot 168496"/>
    <n v="27300"/>
    <s v="M²"/>
    <n v="14"/>
    <n v="382200"/>
    <s v="PLN"/>
    <x v="0"/>
    <d v="2019-08-08T00:00:00"/>
    <x v="3"/>
  </r>
  <r>
    <s v="SO0002469"/>
    <s v="Domestic"/>
    <s v="362-000737"/>
    <x v="6"/>
    <s v="CAG0195200"/>
    <d v="2019-08-09T17:24:16"/>
    <x v="9"/>
    <s v="Lot 168781"/>
    <n v="97.5"/>
    <s v="M²"/>
    <n v="18"/>
    <n v="1755"/>
    <s v="PLN"/>
    <x v="0"/>
    <d v="2019-08-09T00:00:00"/>
    <x v="3"/>
  </r>
  <r>
    <s v="SO0002482"/>
    <s v="Domestic"/>
    <s v="362-000529"/>
    <x v="6"/>
    <s v="CAG0195200"/>
    <d v="2019-08-19T15:44:41"/>
    <x v="9"/>
    <s v="Lot 169772"/>
    <n v="2340"/>
    <s v="M²"/>
    <n v="18"/>
    <n v="42120"/>
    <s v="PLN"/>
    <x v="0"/>
    <d v="2019-08-14T00:00:00"/>
    <x v="3"/>
  </r>
  <r>
    <s v="SO0002484"/>
    <s v="Domestic"/>
    <s v="362-000543"/>
    <x v="6"/>
    <s v="CAG0195200"/>
    <d v="2019-08-19T15:50:51"/>
    <x v="9"/>
    <s v="Lot 169774"/>
    <n v="1657.5"/>
    <s v="M²"/>
    <n v="18"/>
    <n v="29835"/>
    <s v="PLN"/>
    <x v="0"/>
    <d v="2019-08-14T00:00:00"/>
    <x v="3"/>
  </r>
  <r>
    <s v="SO0002486"/>
    <s v="Domestic"/>
    <s v="362-000665"/>
    <x v="6"/>
    <s v="CAG0195200"/>
    <d v="2019-08-19T16:07:23"/>
    <x v="9"/>
    <s v="Lot 169831"/>
    <n v="97.5"/>
    <s v="M²"/>
    <n v="18.399999999999999"/>
    <n v="1794"/>
    <s v="PLN"/>
    <x v="0"/>
    <d v="2019-08-14T00:00:00"/>
    <x v="3"/>
  </r>
  <r>
    <s v="SO0002492"/>
    <s v="Domestic"/>
    <s v="362-000815"/>
    <x v="6"/>
    <s v="CAG0195200"/>
    <d v="2019-08-19T16:38:16"/>
    <x v="9"/>
    <s v="Lot 169841"/>
    <n v="1170"/>
    <s v="M²"/>
    <n v="18"/>
    <n v="21060"/>
    <s v="PLN"/>
    <x v="0"/>
    <d v="2019-08-12T00:00:00"/>
    <x v="3"/>
  </r>
  <r>
    <s v="SO0002493"/>
    <s v="Domestic"/>
    <s v="362-000539"/>
    <x v="6"/>
    <s v="CAG0195200"/>
    <d v="2019-08-19T16:44:25"/>
    <x v="9"/>
    <s v="Lot 169842"/>
    <n v="3022.5"/>
    <s v="M²"/>
    <n v="18"/>
    <n v="54405"/>
    <s v="PLN"/>
    <x v="0"/>
    <d v="2019-08-13T00:00:00"/>
    <x v="3"/>
  </r>
  <r>
    <s v="SO0002497"/>
    <s v="Domestic"/>
    <s v="362-000698"/>
    <x v="6"/>
    <s v="CAG0195200"/>
    <d v="2019-08-20T14:30:59"/>
    <x v="9"/>
    <s v="Lot 170070"/>
    <n v="5362.5"/>
    <s v="M²"/>
    <n v="16"/>
    <n v="85800"/>
    <s v="PLN"/>
    <x v="0"/>
    <d v="2019-08-20T00:00:00"/>
    <x v="3"/>
  </r>
  <r>
    <s v="SO0002500"/>
    <s v="Domestic"/>
    <s v="362-000139"/>
    <x v="6"/>
    <s v="CAG0195200"/>
    <d v="2019-08-21T17:19:39"/>
    <x v="9"/>
    <s v="Lot 170424"/>
    <n v="6922.5"/>
    <s v="M²"/>
    <n v="16"/>
    <n v="110760"/>
    <s v="PLN"/>
    <x v="0"/>
    <d v="2019-08-21T00:00:00"/>
    <x v="3"/>
  </r>
  <r>
    <s v="SO0002511"/>
    <s v="Domestic"/>
    <s v="362-000383"/>
    <x v="6"/>
    <s v="CAG0195200"/>
    <d v="2019-08-23T14:36:30"/>
    <x v="9"/>
    <s v="Lot 170705"/>
    <n v="1462.5"/>
    <s v="M²"/>
    <n v="18"/>
    <n v="26325"/>
    <s v="PLN"/>
    <x v="0"/>
    <d v="2019-08-22T00:00:00"/>
    <x v="3"/>
  </r>
  <r>
    <s v="SO0002512"/>
    <s v="Domestic"/>
    <s v="362-000569"/>
    <x v="6"/>
    <s v="CAG0195200"/>
    <d v="2019-08-23T15:10:59"/>
    <x v="9"/>
    <s v="Lot 170805"/>
    <n v="4095"/>
    <s v="M²"/>
    <n v="18"/>
    <n v="73710"/>
    <s v="PLN"/>
    <x v="0"/>
    <d v="2019-08-23T00:00:00"/>
    <x v="3"/>
  </r>
  <r>
    <s v="SO0002514"/>
    <s v="Domestic"/>
    <s v="362-000721"/>
    <x v="6"/>
    <s v="CAG0195200"/>
    <d v="2019-08-26T15:06:55"/>
    <x v="9"/>
    <s v="Lot 170905"/>
    <n v="4485"/>
    <s v="M²"/>
    <n v="18"/>
    <n v="80730"/>
    <s v="PLN"/>
    <x v="0"/>
    <d v="2019-08-26T00:00:00"/>
    <x v="3"/>
  </r>
  <r>
    <s v="SO0002515"/>
    <s v="Domestic"/>
    <s v="362-000503"/>
    <x v="6"/>
    <s v="CAG0195200"/>
    <d v="2019-08-26T15:14:25"/>
    <x v="9"/>
    <s v="Lot 170908"/>
    <n v="1072.5"/>
    <s v="M²"/>
    <n v="18"/>
    <n v="19305"/>
    <s v="PLN"/>
    <x v="0"/>
    <d v="2019-08-26T00:00:00"/>
    <x v="3"/>
  </r>
  <r>
    <s v="SO0002524"/>
    <s v="Domestic"/>
    <s v="362-000822"/>
    <x v="6"/>
    <s v="CAG0195200"/>
    <d v="2019-08-26T16:43:59"/>
    <x v="9"/>
    <s v="Lot 170925"/>
    <n v="1170"/>
    <s v="M²"/>
    <n v="16"/>
    <n v="18720"/>
    <s v="PLN"/>
    <x v="0"/>
    <d v="2019-08-22T00:00:00"/>
    <x v="3"/>
  </r>
  <r>
    <s v="SO0002526"/>
    <s v="Domestic"/>
    <s v="362-000650"/>
    <x v="6"/>
    <s v="CAG0195200"/>
    <d v="2019-08-26T19:01:14"/>
    <x v="9"/>
    <s v="Lot 170927"/>
    <n v="15015"/>
    <s v="M²"/>
    <n v="16"/>
    <n v="240240"/>
    <s v="PLN"/>
    <x v="0"/>
    <d v="2019-08-26T00:00:00"/>
    <x v="3"/>
  </r>
  <r>
    <s v="SO0002528"/>
    <s v="Domestic"/>
    <s v="362-000664"/>
    <x v="6"/>
    <s v="CAG0195200"/>
    <d v="2019-08-27T17:00:29"/>
    <x v="9"/>
    <s v="Lot 171221"/>
    <n v="292.5"/>
    <s v="M²"/>
    <n v="19.34"/>
    <n v="5656.95"/>
    <s v="PLN"/>
    <x v="0"/>
    <d v="2019-08-27T00:00:00"/>
    <x v="3"/>
  </r>
  <r>
    <s v="SO0002532"/>
    <s v="Domestic"/>
    <s v="362-000139"/>
    <x v="6"/>
    <s v="CAG0195200"/>
    <d v="2019-08-28T15:55:52"/>
    <x v="9"/>
    <s v="Lot 171754"/>
    <n v="1950"/>
    <s v="M²"/>
    <n v="16"/>
    <n v="31200"/>
    <s v="PLN"/>
    <x v="0"/>
    <d v="2019-08-28T00:00:00"/>
    <x v="3"/>
  </r>
  <r>
    <s v="SO0002534"/>
    <s v="Domestic"/>
    <s v="362-000643"/>
    <x v="6"/>
    <s v="CAG0195200"/>
    <d v="2019-09-02T16:15:38"/>
    <x v="5"/>
    <s v="Lot 172076"/>
    <n v="3900"/>
    <s v="M²"/>
    <n v="17.5"/>
    <n v="68250"/>
    <s v="PLN"/>
    <x v="0"/>
    <d v="2019-09-02T00:00:00"/>
    <x v="7"/>
  </r>
  <r>
    <s v="SO0002536"/>
    <s v="Domestic"/>
    <s v="362-000668"/>
    <x v="6"/>
    <s v="CAG0195200"/>
    <d v="2019-09-02T16:28:33"/>
    <x v="5"/>
    <s v="Lot 172080"/>
    <n v="25350"/>
    <s v="M²"/>
    <n v="16.2"/>
    <n v="410670"/>
    <s v="PLN"/>
    <x v="0"/>
    <d v="2019-09-02T00:00:00"/>
    <x v="7"/>
  </r>
  <r>
    <s v="SO0002537"/>
    <s v="Domestic"/>
    <s v="362-000556"/>
    <x v="6"/>
    <s v="CAG0195200"/>
    <d v="2019-09-02T16:37:40"/>
    <x v="5"/>
    <s v="Lot 172081"/>
    <n v="4387.5"/>
    <s v="M²"/>
    <n v="18"/>
    <n v="78975"/>
    <s v="PLN"/>
    <x v="0"/>
    <d v="2019-09-02T00:00:00"/>
    <x v="7"/>
  </r>
  <r>
    <s v="SO0002545"/>
    <s v="Domestic"/>
    <s v="362-000665"/>
    <x v="6"/>
    <s v="CAG0195200"/>
    <d v="2019-09-03T17:13:22"/>
    <x v="5"/>
    <s v="Lot 172598"/>
    <n v="-97.5"/>
    <s v="M²"/>
    <n v="18.399999999999999"/>
    <n v="-1794"/>
    <s v="PLN"/>
    <x v="0"/>
    <d v="2019-08-30T00:00:00"/>
    <x v="3"/>
  </r>
  <r>
    <s v="SO0002545"/>
    <s v="Domestic"/>
    <s v="362-000665"/>
    <x v="6"/>
    <s v="CAG0195200"/>
    <d v="2019-09-03T17:13:22"/>
    <x v="5"/>
    <s v="Lot 172599"/>
    <n v="97.5"/>
    <s v="M²"/>
    <n v="18"/>
    <n v="1755"/>
    <s v="PLN"/>
    <x v="0"/>
    <d v="2019-08-30T00:00:00"/>
    <x v="3"/>
  </r>
  <r>
    <s v="SO0002549"/>
    <s v="Domestic"/>
    <s v="362-000643"/>
    <x v="6"/>
    <s v="CAG0195200"/>
    <d v="2019-09-10T13:50:55"/>
    <x v="5"/>
    <s v="Lot 173679"/>
    <n v="16575"/>
    <s v="M²"/>
    <n v="17.5"/>
    <n v="290062.5"/>
    <s v="PLN"/>
    <x v="0"/>
    <d v="2019-09-05T00:00:00"/>
    <x v="7"/>
  </r>
  <r>
    <s v="SO0002550"/>
    <s v="Domestic"/>
    <s v="362-000826"/>
    <x v="6"/>
    <s v="CAG0195200"/>
    <d v="2019-09-10T14:10:25"/>
    <x v="5"/>
    <s v="Lot 173680"/>
    <n v="4777.5"/>
    <s v="M²"/>
    <n v="16"/>
    <n v="76440"/>
    <s v="PLN"/>
    <x v="0"/>
    <d v="2019-09-09T00:00:00"/>
    <x v="7"/>
  </r>
  <r>
    <s v="SO0002552"/>
    <s v="Domestic"/>
    <s v="362-000643"/>
    <x v="6"/>
    <s v="CAG0195200"/>
    <d v="2019-09-10T14:18:02"/>
    <x v="5"/>
    <s v="Lot 173683"/>
    <n v="1560"/>
    <s v="M²"/>
    <n v="17.5"/>
    <n v="27300"/>
    <s v="PLN"/>
    <x v="0"/>
    <d v="2019-09-09T00:00:00"/>
    <x v="7"/>
  </r>
  <r>
    <s v="SO0002553"/>
    <s v="Domestic"/>
    <s v="362-000383"/>
    <x v="6"/>
    <s v="CAG0195200"/>
    <d v="2019-09-10T14:25:30"/>
    <x v="5"/>
    <s v="Lot 173684"/>
    <n v="2827.5"/>
    <s v="M²"/>
    <n v="18"/>
    <n v="50895"/>
    <s v="PLN"/>
    <x v="0"/>
    <d v="2019-09-09T00:00:00"/>
    <x v="7"/>
  </r>
  <r>
    <s v="SO0002556"/>
    <s v="Domestic"/>
    <s v="362-000518"/>
    <x v="6"/>
    <s v="CAG0195200"/>
    <d v="2019-09-11T19:45:49"/>
    <x v="5"/>
    <s v="Lot 173937"/>
    <n v="1267.5"/>
    <s v="M²"/>
    <n v="17.5"/>
    <n v="22181.25"/>
    <s v="PLN"/>
    <x v="0"/>
    <d v="2019-09-09T00:00:00"/>
    <x v="7"/>
  </r>
  <r>
    <s v="SO0002565"/>
    <s v="Domestic"/>
    <s v="362-000508"/>
    <x v="6"/>
    <s v="CAG0195200"/>
    <d v="2019-09-12T16:10:24"/>
    <x v="5"/>
    <s v="Lot 174168"/>
    <n v="7507.5"/>
    <s v="M²"/>
    <n v="16.8"/>
    <n v="126126"/>
    <s v="PLN"/>
    <x v="0"/>
    <d v="2019-09-11T00:00:00"/>
    <x v="7"/>
  </r>
  <r>
    <s v="SO0002570"/>
    <s v="Domestic"/>
    <s v="362-000643"/>
    <x v="6"/>
    <s v="CAG0195200"/>
    <d v="2019-09-13T19:30:58"/>
    <x v="5"/>
    <s v="Lot 174673"/>
    <n v="5167.5"/>
    <s v="M²"/>
    <n v="17.5"/>
    <n v="90431.25"/>
    <s v="PLN"/>
    <x v="0"/>
    <d v="2019-09-13T00:00:00"/>
    <x v="7"/>
  </r>
  <r>
    <s v="SO0002572"/>
    <s v="Domestic"/>
    <s v="362-000568"/>
    <x v="6"/>
    <s v="CAG0195200"/>
    <d v="2019-09-16T15:14:56"/>
    <x v="5"/>
    <s v="Lot 174748"/>
    <n v="4777.5"/>
    <s v="M²"/>
    <n v="18"/>
    <n v="85995"/>
    <s v="PLN"/>
    <x v="0"/>
    <d v="2019-09-16T00:00:00"/>
    <x v="7"/>
  </r>
  <r>
    <s v="SO0002575"/>
    <s v="Domestic"/>
    <s v="362-000668"/>
    <x v="6"/>
    <s v="CAG0195200"/>
    <d v="2019-09-16T15:50:33"/>
    <x v="5"/>
    <s v="Lot 174770"/>
    <n v="7800"/>
    <s v="M²"/>
    <n v="16.2"/>
    <n v="126360"/>
    <s v="PLN"/>
    <x v="0"/>
    <d v="2019-09-16T00:00:00"/>
    <x v="7"/>
  </r>
  <r>
    <s v="SO0002579"/>
    <s v="Domestic"/>
    <s v="362-000643"/>
    <x v="6"/>
    <s v="CAG0195200"/>
    <d v="2019-09-17T18:02:53"/>
    <x v="5"/>
    <s v="Lot 175378"/>
    <n v="11407.5"/>
    <s v="M²"/>
    <n v="17.5"/>
    <n v="199631.25"/>
    <s v="PLN"/>
    <x v="0"/>
    <d v="2019-09-17T00:00:00"/>
    <x v="7"/>
  </r>
  <r>
    <s v="SO0002581"/>
    <s v="Domestic"/>
    <s v="362-000539"/>
    <x v="6"/>
    <s v="CAG0195200"/>
    <d v="2019-09-17T18:09:20"/>
    <x v="5"/>
    <s v="Lot 175380"/>
    <n v="5655"/>
    <s v="M²"/>
    <n v="18"/>
    <n v="101790"/>
    <s v="PLN"/>
    <x v="0"/>
    <d v="2019-09-17T00:00:00"/>
    <x v="7"/>
  </r>
  <r>
    <s v="SO0002582"/>
    <s v="Domestic"/>
    <s v="362-000139"/>
    <x v="6"/>
    <s v="CAG0195200"/>
    <d v="2019-09-17T18:13:19"/>
    <x v="5"/>
    <s v="Lot 175387"/>
    <n v="7800"/>
    <s v="M²"/>
    <n v="16"/>
    <n v="124800"/>
    <s v="PLN"/>
    <x v="0"/>
    <d v="2019-09-17T00:00:00"/>
    <x v="7"/>
  </r>
  <r>
    <s v="SO0002582"/>
    <s v="Domestic"/>
    <s v="362-000139"/>
    <x v="6"/>
    <s v="CAG0195200"/>
    <d v="2019-09-18T14:26:03"/>
    <x v="5"/>
    <s v="Lot 175423"/>
    <n v="195"/>
    <s v="M²"/>
    <n v="16"/>
    <n v="3120"/>
    <s v="PLN"/>
    <x v="0"/>
    <d v="2019-09-17T00:00:00"/>
    <x v="7"/>
  </r>
  <r>
    <s v="SO0002588"/>
    <s v="Domestic"/>
    <s v="362-000485"/>
    <x v="6"/>
    <s v="CAG0195200"/>
    <d v="2019-09-20T14:39:19"/>
    <x v="5"/>
    <s v="Lot 175642"/>
    <n v="7800"/>
    <s v="M²"/>
    <n v="18"/>
    <n v="140400"/>
    <s v="PLN"/>
    <x v="0"/>
    <d v="2019-09-19T00:00:00"/>
    <x v="7"/>
  </r>
  <r>
    <s v="SO0002593"/>
    <s v="Domestic"/>
    <s v="362-000271"/>
    <x v="6"/>
    <s v="CAG0195200"/>
    <d v="2019-09-20T16:38:02"/>
    <x v="5"/>
    <s v="Lot 175795"/>
    <n v="3120"/>
    <s v="M²"/>
    <n v="18"/>
    <n v="56160"/>
    <s v="PLN"/>
    <x v="0"/>
    <d v="2019-09-20T00:00:00"/>
    <x v="7"/>
  </r>
  <r>
    <s v="SO0002594"/>
    <s v="Domestic"/>
    <s v="362-000529"/>
    <x v="6"/>
    <s v="CAG0195200"/>
    <d v="2019-09-23T16:39:48"/>
    <x v="5"/>
    <s v="Lot 176273"/>
    <n v="10822.5"/>
    <s v="M²"/>
    <n v="17.5"/>
    <n v="189393.75"/>
    <s v="PLN"/>
    <x v="0"/>
    <d v="2019-09-23T00:00:00"/>
    <x v="7"/>
  </r>
  <r>
    <s v="SO0002600"/>
    <s v="Domestic"/>
    <s v="362-000595"/>
    <x v="6"/>
    <s v="CAG0195200"/>
    <d v="2019-09-25T16:19:19"/>
    <x v="5"/>
    <s v="Lot 177015"/>
    <n v="1560"/>
    <s v="M²"/>
    <n v="18"/>
    <n v="28080"/>
    <s v="PLN"/>
    <x v="0"/>
    <d v="2019-09-25T00:00:00"/>
    <x v="7"/>
  </r>
  <r>
    <s v="SO0002601"/>
    <s v="Domestic"/>
    <s v="362-000139"/>
    <x v="6"/>
    <s v="CAG0195200"/>
    <d v="2019-09-25T16:23:09"/>
    <x v="5"/>
    <s v="Lot 177016"/>
    <n v="4290"/>
    <s v="M²"/>
    <n v="18"/>
    <n v="77220"/>
    <s v="PLN"/>
    <x v="0"/>
    <d v="2019-09-25T00:00:00"/>
    <x v="7"/>
  </r>
  <r>
    <s v="SO0002602"/>
    <s v="Domestic"/>
    <s v="362-000830"/>
    <x v="6"/>
    <s v="CAG0195200"/>
    <d v="2019-09-25T16:56:36"/>
    <x v="5"/>
    <s v="Lot 177017"/>
    <n v="6045"/>
    <s v="M²"/>
    <n v="16"/>
    <n v="96720"/>
    <s v="PLN"/>
    <x v="0"/>
    <d v="2019-09-25T00:00:00"/>
    <x v="7"/>
  </r>
  <r>
    <s v="SO0002603"/>
    <s v="Domestic"/>
    <s v="362-000558"/>
    <x v="6"/>
    <s v="CAG0195200"/>
    <d v="2019-09-25T16:58:38"/>
    <x v="5"/>
    <s v="Lot 177018"/>
    <n v="877.5"/>
    <s v="M²"/>
    <n v="18"/>
    <n v="15795"/>
    <s v="PLN"/>
    <x v="0"/>
    <d v="2019-09-25T00:00:00"/>
    <x v="7"/>
  </r>
  <r>
    <s v="SO0002616"/>
    <s v="Domestic"/>
    <s v="362-000485"/>
    <x v="6"/>
    <s v="CAG0195200"/>
    <d v="2019-09-27T13:45:27"/>
    <x v="5"/>
    <s v="Lot 177285"/>
    <n v="-7800"/>
    <s v="M²"/>
    <n v="18"/>
    <n v="-140400"/>
    <s v="PLN"/>
    <x v="0"/>
    <d v="2019-09-27T00:00:00"/>
    <x v="7"/>
  </r>
  <r>
    <s v="SO0002616"/>
    <s v="Domestic"/>
    <s v="362-000485"/>
    <x v="6"/>
    <s v="CAG0195200"/>
    <d v="2019-09-27T13:45:27"/>
    <x v="5"/>
    <s v="Lot 177286"/>
    <n v="3900"/>
    <s v="M²"/>
    <n v="18"/>
    <n v="70200"/>
    <s v="PLN"/>
    <x v="0"/>
    <d v="2019-09-27T00:00:00"/>
    <x v="7"/>
  </r>
  <r>
    <s v="SO0002620"/>
    <s v="Domestic"/>
    <s v="362-000831"/>
    <x v="6"/>
    <s v="CAG0195200"/>
    <d v="2019-10-02T18:25:01"/>
    <x v="6"/>
    <s v="Lot 179852"/>
    <n v="1950"/>
    <s v="M²"/>
    <n v="17.5"/>
    <n v="34125"/>
    <s v="PLN"/>
    <x v="0"/>
    <d v="2019-10-02T00:00:00"/>
    <x v="5"/>
  </r>
  <r>
    <s v="SO0002625"/>
    <s v="Domestic"/>
    <s v="362-000529"/>
    <x v="6"/>
    <s v="CAG0195200"/>
    <d v="2019-10-02T20:38:01"/>
    <x v="6"/>
    <s v="Lot 179878"/>
    <n v="17355"/>
    <s v="M²"/>
    <n v="17"/>
    <n v="295035"/>
    <s v="PLN"/>
    <x v="0"/>
    <d v="2019-10-01T00:00:00"/>
    <x v="5"/>
  </r>
  <r>
    <s v="SO0002627"/>
    <s v="Domestic"/>
    <s v="362-000490"/>
    <x v="6"/>
    <s v="CAG0195200"/>
    <d v="2019-10-02T20:46:50"/>
    <x v="6"/>
    <s v="Lot 179881"/>
    <n v="4192.5"/>
    <s v="M²"/>
    <n v="17"/>
    <n v="71272.5"/>
    <s v="PLN"/>
    <x v="0"/>
    <d v="2019-10-01T00:00:00"/>
    <x v="5"/>
  </r>
  <r>
    <s v="SO0002628"/>
    <s v="Domestic"/>
    <s v="362-000518"/>
    <x v="6"/>
    <s v="CAG0195200"/>
    <d v="2019-10-02T20:51:11"/>
    <x v="6"/>
    <s v="Lot 179882"/>
    <n v="9457.5"/>
    <s v="M²"/>
    <n v="17.5"/>
    <n v="165506.25"/>
    <s v="PLN"/>
    <x v="0"/>
    <d v="2019-10-01T00:00:00"/>
    <x v="5"/>
  </r>
  <r>
    <s v="SO0002631"/>
    <s v="Domestic"/>
    <s v="362-000503"/>
    <x v="6"/>
    <s v="CAG0195200"/>
    <d v="2019-10-02T20:59:46"/>
    <x v="6"/>
    <s v="Lot 179885"/>
    <n v="1950"/>
    <s v="M²"/>
    <n v="18"/>
    <n v="35100"/>
    <s v="PLN"/>
    <x v="0"/>
    <d v="2019-10-01T00:00:00"/>
    <x v="5"/>
  </r>
  <r>
    <s v="SO0002632"/>
    <s v="Domestic"/>
    <s v="362-000480"/>
    <x v="6"/>
    <s v="CAG0195200"/>
    <d v="2019-10-03T13:42:52"/>
    <x v="6"/>
    <s v="Lot 179889"/>
    <n v="4387.5"/>
    <s v="M²"/>
    <n v="16.5"/>
    <n v="72393.75"/>
    <s v="PLN"/>
    <x v="0"/>
    <d v="2019-10-01T00:00:00"/>
    <x v="5"/>
  </r>
  <r>
    <s v="SO0002636"/>
    <s v="Domestic"/>
    <s v="362-000524"/>
    <x v="6"/>
    <s v="CAG0195200"/>
    <d v="2019-10-03T14:24:51"/>
    <x v="6"/>
    <s v="Lot 179894"/>
    <n v="4485"/>
    <s v="M²"/>
    <n v="18"/>
    <n v="80730"/>
    <s v="PLN"/>
    <x v="0"/>
    <d v="2019-10-02T00:00:00"/>
    <x v="5"/>
  </r>
  <r>
    <s v="SO0002640"/>
    <s v="Domestic"/>
    <s v="362-000139"/>
    <x v="6"/>
    <s v="CAG0195200"/>
    <d v="2019-10-03T16:02:46"/>
    <x v="6"/>
    <s v="Lot 180251"/>
    <n v="3705"/>
    <s v="M²"/>
    <n v="17"/>
    <n v="62985"/>
    <s v="PLN"/>
    <x v="0"/>
    <d v="2019-10-03T00:00:00"/>
    <x v="5"/>
  </r>
  <r>
    <s v="SO0002650"/>
    <s v="Domestic"/>
    <s v="362-000568"/>
    <x v="6"/>
    <s v="CAG0195200"/>
    <d v="2019-10-07T15:15:43"/>
    <x v="6"/>
    <s v="Lot 180733"/>
    <n v="390"/>
    <s v="M²"/>
    <n v="19"/>
    <n v="7410"/>
    <s v="PLN"/>
    <x v="0"/>
    <d v="2019-10-07T00:00:00"/>
    <x v="5"/>
  </r>
  <r>
    <s v="SO0002651"/>
    <s v="Domestic"/>
    <s v="362-000832"/>
    <x v="6"/>
    <s v="CAG0195200"/>
    <d v="2019-10-07T15:49:36"/>
    <x v="6"/>
    <s v="Lot 180794"/>
    <n v="975"/>
    <s v="M²"/>
    <n v="16.399999999999999"/>
    <n v="15990"/>
    <s v="PLN"/>
    <x v="0"/>
    <d v="2019-10-04T00:00:00"/>
    <x v="5"/>
  </r>
  <r>
    <s v="SO0002657"/>
    <s v="Domestic"/>
    <s v="362-000139"/>
    <x v="6"/>
    <s v="CAG0195200"/>
    <d v="2019-10-08T15:44:55"/>
    <x v="6"/>
    <s v="Lot 181026"/>
    <n v="3022.5"/>
    <s v="M²"/>
    <n v="16"/>
    <n v="48360"/>
    <s v="PLN"/>
    <x v="0"/>
    <d v="2019-10-08T00:00:00"/>
    <x v="5"/>
  </r>
  <r>
    <s v="SO0002660"/>
    <s v="Domestic"/>
    <s v="362-000139"/>
    <x v="6"/>
    <s v="CAG0195200"/>
    <d v="2019-10-10T14:34:05"/>
    <x v="6"/>
    <s v="Lot 181371"/>
    <n v="195"/>
    <s v="M²"/>
    <n v="18"/>
    <n v="3510"/>
    <s v="PLN"/>
    <x v="0"/>
    <d v="2019-10-10T00:00:00"/>
    <x v="5"/>
  </r>
  <r>
    <s v="SO0002665"/>
    <s v="Domestic"/>
    <s v="362-000659"/>
    <x v="6"/>
    <s v="CAG0195200"/>
    <d v="2019-10-15T13:44:26"/>
    <x v="6"/>
    <s v="Lot 182062"/>
    <n v="18135"/>
    <s v="M²"/>
    <n v="18"/>
    <n v="326430"/>
    <s v="PLN"/>
    <x v="0"/>
    <d v="2019-10-14T00:00:00"/>
    <x v="5"/>
  </r>
  <r>
    <s v="SO0002668"/>
    <s v="Domestic"/>
    <s v="362-000485"/>
    <x v="6"/>
    <s v="CAG0195200"/>
    <d v="2019-10-15T15:09:20"/>
    <x v="6"/>
    <s v="Lot 182316"/>
    <n v="5850"/>
    <s v="M²"/>
    <n v="18"/>
    <n v="105300"/>
    <s v="PLN"/>
    <x v="0"/>
    <d v="2019-10-15T00:00:00"/>
    <x v="5"/>
  </r>
  <r>
    <s v="SO0002672"/>
    <s v="Domestic"/>
    <s v="362-000139"/>
    <x v="6"/>
    <s v="CAG0195200"/>
    <d v="2019-10-15T19:45:26"/>
    <x v="6"/>
    <s v="Lot 182432"/>
    <n v="11992.5"/>
    <s v="M²"/>
    <n v="16"/>
    <n v="191880"/>
    <s v="PLN"/>
    <x v="0"/>
    <d v="2019-10-16T00:00:00"/>
    <x v="5"/>
  </r>
  <r>
    <s v="SO0002682"/>
    <s v="Domestic"/>
    <s v="362-000762"/>
    <x v="6"/>
    <s v="CAG0195200"/>
    <d v="2019-10-21T19:47:05"/>
    <x v="6"/>
    <s v="Lot 183351"/>
    <n v="2242.5"/>
    <s v="M²"/>
    <n v="18"/>
    <n v="40365"/>
    <s v="PLN"/>
    <x v="0"/>
    <d v="2019-10-18T00:00:00"/>
    <x v="5"/>
  </r>
  <r>
    <s v="SO0002685"/>
    <s v="Domestic"/>
    <s v="362-000139"/>
    <x v="6"/>
    <s v="CAG0195200"/>
    <d v="2019-10-21T20:00:16"/>
    <x v="6"/>
    <s v="Lot 183354"/>
    <n v="1755"/>
    <s v="M²"/>
    <n v="16"/>
    <n v="28080"/>
    <s v="PLN"/>
    <x v="0"/>
    <d v="2019-10-21T00:00:00"/>
    <x v="5"/>
  </r>
  <r>
    <s v="SO0002686"/>
    <s v="Domestic"/>
    <s v="362-000490"/>
    <x v="6"/>
    <s v="CAG0195200"/>
    <d v="2019-10-21T20:04:18"/>
    <x v="6"/>
    <s v="Lot 183355"/>
    <n v="487.5"/>
    <s v="M²"/>
    <n v="17.8"/>
    <n v="8677.5"/>
    <s v="PLN"/>
    <x v="0"/>
    <d v="2019-10-21T00:00:00"/>
    <x v="5"/>
  </r>
  <r>
    <s v="SO0002691"/>
    <s v="Domestic"/>
    <s v="362-000687"/>
    <x v="6"/>
    <s v="CAG0195200"/>
    <d v="2019-10-21T20:24:49"/>
    <x v="6"/>
    <s v="Lot 183361"/>
    <n v="24375"/>
    <s v="M²"/>
    <n v="18"/>
    <n v="438750"/>
    <s v="PLN"/>
    <x v="0"/>
    <d v="2019-10-21T00:00:00"/>
    <x v="5"/>
  </r>
  <r>
    <s v="SO0002692"/>
    <s v="Domestic"/>
    <s v="362-000672"/>
    <x v="6"/>
    <s v="CAG0195200"/>
    <d v="2019-10-22T14:08:00"/>
    <x v="6"/>
    <s v="Lot 183362"/>
    <n v="5557.5"/>
    <s v="M²"/>
    <n v="18"/>
    <n v="100035"/>
    <s v="PLN"/>
    <x v="0"/>
    <d v="2019-10-22T00:00:00"/>
    <x v="5"/>
  </r>
  <r>
    <s v="SO0002701"/>
    <s v="Domestic"/>
    <s v="362-000543"/>
    <x v="6"/>
    <s v="CAG0195200"/>
    <d v="2019-10-22T16:58:28"/>
    <x v="6"/>
    <s v="Lot 183618"/>
    <n v="2437.5"/>
    <s v="M²"/>
    <n v="18"/>
    <n v="43875"/>
    <s v="PLN"/>
    <x v="0"/>
    <d v="2019-10-22T00:00:00"/>
    <x v="5"/>
  </r>
  <r>
    <s v="SO0002701"/>
    <s v="Domestic"/>
    <s v="362-000543"/>
    <x v="6"/>
    <s v="CAG0195200"/>
    <d v="2019-10-22T18:42:17"/>
    <x v="6"/>
    <s v="Lot 183631"/>
    <n v="97.5"/>
    <s v="M²"/>
    <n v="18"/>
    <n v="1755"/>
    <s v="PLN"/>
    <x v="0"/>
    <d v="2019-10-22T00:00:00"/>
    <x v="5"/>
  </r>
  <r>
    <s v="SO0002705"/>
    <s v="Domestic"/>
    <s v="362-000836"/>
    <x v="6"/>
    <s v="CAG0195200"/>
    <d v="2019-10-22T18:15:59"/>
    <x v="6"/>
    <s v="Lot 183630"/>
    <n v="3120"/>
    <s v="M²"/>
    <n v="17"/>
    <n v="53040"/>
    <s v="PLN"/>
    <x v="0"/>
    <d v="2019-10-09T00:00:00"/>
    <x v="5"/>
  </r>
  <r>
    <s v="SO0002715"/>
    <s v="Domestic"/>
    <s v="362-000139"/>
    <x v="6"/>
    <s v="CAG0195200"/>
    <d v="2019-10-25T13:44:46"/>
    <x v="6"/>
    <s v="Lot 183954"/>
    <n v="1852.5"/>
    <s v="M²"/>
    <n v="14"/>
    <n v="25935"/>
    <s v="PLN"/>
    <x v="0"/>
    <d v="2019-10-23T00:00:00"/>
    <x v="5"/>
  </r>
  <r>
    <s v="SO0002716"/>
    <s v="Domestic"/>
    <s v="362-000271"/>
    <x v="6"/>
    <s v="CAG0195200"/>
    <d v="2019-10-25T13:57:10"/>
    <x v="6"/>
    <s v="Lot 183955"/>
    <n v="6142.5"/>
    <s v="M²"/>
    <n v="18"/>
    <n v="110565"/>
    <s v="PLN"/>
    <x v="0"/>
    <d v="2019-10-24T00:00:00"/>
    <x v="5"/>
  </r>
  <r>
    <s v="SO0002722"/>
    <s v="Domestic"/>
    <s v="362-000139"/>
    <x v="6"/>
    <s v="CAG0195200"/>
    <d v="2019-10-28T20:24:42"/>
    <x v="6"/>
    <s v="Lot 184632"/>
    <n v="4875"/>
    <s v="M²"/>
    <n v="18"/>
    <n v="87750"/>
    <s v="PLN"/>
    <x v="0"/>
    <d v="2019-10-28T00:00:00"/>
    <x v="5"/>
  </r>
  <r>
    <s v="SO0002740"/>
    <s v="Domestic"/>
    <s v="362-000687"/>
    <x v="6"/>
    <s v="CAG0195200"/>
    <d v="2019-11-04T18:42:41"/>
    <x v="10"/>
    <s v="Lot 185495"/>
    <n v="2145"/>
    <s v="M²"/>
    <n v="18"/>
    <n v="38610"/>
    <s v="PLN"/>
    <x v="0"/>
    <d v="2019-11-04T00:00:00"/>
    <x v="10"/>
  </r>
  <r>
    <s v="SO0002741"/>
    <s v="Domestic"/>
    <s v="362-000738"/>
    <x v="6"/>
    <s v="CAG0195200"/>
    <d v="2019-11-04T19:06:17"/>
    <x v="10"/>
    <s v="Lot 185527"/>
    <n v="7215"/>
    <s v="M²"/>
    <n v="14.5"/>
    <n v="104617.5"/>
    <s v="PLN"/>
    <x v="0"/>
    <d v="2019-11-04T00:00:00"/>
    <x v="10"/>
  </r>
  <r>
    <s v="SO0002742"/>
    <s v="Domestic"/>
    <s v="362-000545"/>
    <x v="6"/>
    <s v="CAG0195200"/>
    <d v="2019-11-04T19:11:01"/>
    <x v="10"/>
    <s v="Lot 185528"/>
    <n v="780"/>
    <s v="M²"/>
    <n v="18"/>
    <n v="14040"/>
    <s v="PLN"/>
    <x v="0"/>
    <d v="2019-11-04T00:00:00"/>
    <x v="10"/>
  </r>
  <r>
    <s v="SO0002743"/>
    <s v="Domestic"/>
    <s v="362-000545"/>
    <x v="6"/>
    <s v="CAG0195200"/>
    <d v="2019-11-04T19:15:09"/>
    <x v="10"/>
    <s v="Lot 185548"/>
    <n v="585"/>
    <s v="M²"/>
    <n v="18"/>
    <n v="10530"/>
    <s v="PLN"/>
    <x v="0"/>
    <d v="2019-11-04T00:00:00"/>
    <x v="10"/>
  </r>
  <r>
    <s v="SO0002748"/>
    <s v="Domestic"/>
    <s v="362-000762"/>
    <x v="6"/>
    <s v="CAG0195200"/>
    <d v="2019-11-06T14:47:30"/>
    <x v="10"/>
    <s v="Lot 185773"/>
    <n v="975"/>
    <s v="M²"/>
    <n v="18"/>
    <n v="17550"/>
    <s v="PLN"/>
    <x v="0"/>
    <d v="2019-11-06T00:00:00"/>
    <x v="10"/>
  </r>
  <r>
    <s v="SO0002748"/>
    <s v="Domestic"/>
    <s v="362-000762"/>
    <x v="6"/>
    <s v="CAG0195200"/>
    <d v="2019-11-06T18:12:02"/>
    <x v="10"/>
    <s v="Lot 186022"/>
    <n v="-292.5"/>
    <s v="M²"/>
    <n v="18"/>
    <n v="-5265"/>
    <s v="PLN"/>
    <x v="0"/>
    <d v="2019-11-06T00:00:00"/>
    <x v="10"/>
  </r>
  <r>
    <s v="SO0002764"/>
    <s v="Domestic"/>
    <s v="362-000765"/>
    <x v="6"/>
    <s v="CAG0195200"/>
    <d v="2019-11-12T16:34:14"/>
    <x v="10"/>
    <s v="Lot 186433"/>
    <n v="3900"/>
    <s v="M²"/>
    <n v="16"/>
    <n v="62400"/>
    <s v="PLN"/>
    <x v="0"/>
    <d v="2019-11-12T00:00:00"/>
    <x v="10"/>
  </r>
  <r>
    <s v="SO0002772"/>
    <s v="Domestic"/>
    <s v="362-000545"/>
    <x v="6"/>
    <s v="CAG0195200"/>
    <d v="2019-11-14T15:54:38"/>
    <x v="10"/>
    <s v="Lot 186947"/>
    <n v="1365"/>
    <s v="M²"/>
    <n v="18"/>
    <n v="24570"/>
    <s v="PLN"/>
    <x v="0"/>
    <d v="2019-11-14T00:00:00"/>
    <x v="10"/>
  </r>
  <r>
    <s v="SO0002773"/>
    <s v="Domestic"/>
    <s v="362-000573"/>
    <x v="6"/>
    <s v="CAG0195200"/>
    <d v="2019-11-14T17:00:16"/>
    <x v="10"/>
    <s v="Lot 187062"/>
    <n v="585"/>
    <s v="M²"/>
    <n v="0.66"/>
    <n v="386.1"/>
    <s v="PLN"/>
    <x v="0"/>
    <d v="2019-11-14T00:00:00"/>
    <x v="10"/>
  </r>
  <r>
    <s v="SO0002776"/>
    <s v="Domestic"/>
    <s v="362-000518"/>
    <x v="6"/>
    <s v="CAG0195200"/>
    <d v="2019-11-14T18:16:06"/>
    <x v="10"/>
    <s v="Lot 187120"/>
    <n v="1170"/>
    <s v="M²"/>
    <n v="17.5"/>
    <n v="20475"/>
    <s v="PLN"/>
    <x v="0"/>
    <d v="2019-11-13T00:00:00"/>
    <x v="10"/>
  </r>
  <r>
    <s v="SO0002777"/>
    <s v="Domestic"/>
    <s v="362-000744"/>
    <x v="6"/>
    <s v="CAG0195200"/>
    <d v="2019-11-18T15:56:23"/>
    <x v="10"/>
    <s v="Lot 187124"/>
    <n v="487.5"/>
    <s v="M²"/>
    <n v="18"/>
    <n v="8775"/>
    <s v="PLN"/>
    <x v="0"/>
    <d v="2019-11-18T00:00:00"/>
    <x v="10"/>
  </r>
  <r>
    <s v="SO0002779"/>
    <s v="Domestic"/>
    <s v="362-000485"/>
    <x v="6"/>
    <s v="CAG0195200"/>
    <d v="2019-11-18T20:19:20"/>
    <x v="10"/>
    <s v="Lot 187602"/>
    <n v="3900"/>
    <s v="M²"/>
    <n v="18"/>
    <n v="70200"/>
    <s v="PLN"/>
    <x v="0"/>
    <d v="2019-11-21T00:00:00"/>
    <x v="10"/>
  </r>
  <r>
    <s v="SO0002780"/>
    <s v="Domestic"/>
    <s v="362-000518"/>
    <x v="6"/>
    <s v="CAG0195200"/>
    <d v="2019-11-18T20:43:52"/>
    <x v="10"/>
    <s v="Lot 187603"/>
    <n v="1852.5"/>
    <s v="M²"/>
    <n v="17.5"/>
    <n v="32418.75"/>
    <s v="PLN"/>
    <x v="0"/>
    <d v="2019-11-18T00:00:00"/>
    <x v="10"/>
  </r>
  <r>
    <s v="SO0002784"/>
    <s v="Domestic"/>
    <s v="362-000543"/>
    <x v="6"/>
    <s v="CAG0195200"/>
    <d v="2019-11-21T14:57:55"/>
    <x v="10"/>
    <s v="Lot 188064"/>
    <n v="2047.5"/>
    <s v="M²"/>
    <n v="18"/>
    <n v="36855"/>
    <s v="PLN"/>
    <x v="0"/>
    <d v="2019-11-19T00:00:00"/>
    <x v="10"/>
  </r>
  <r>
    <s v="SO0002785"/>
    <s v="Domestic"/>
    <s v="362-000543"/>
    <x v="6"/>
    <s v="CAG0195200"/>
    <d v="2019-11-21T15:00:19"/>
    <x v="10"/>
    <s v="Lot 188065"/>
    <n v="1852.5"/>
    <s v="M²"/>
    <n v="18"/>
    <n v="33345"/>
    <s v="PLN"/>
    <x v="0"/>
    <d v="2019-11-19T00:00:00"/>
    <x v="10"/>
  </r>
  <r>
    <s v="SO0002787"/>
    <s v="Domestic"/>
    <s v="362-000672"/>
    <x v="6"/>
    <s v="CAG0195200"/>
    <d v="2019-11-21T15:51:46"/>
    <x v="10"/>
    <s v="Lot 188129"/>
    <n v="-5557.5"/>
    <s v="M²"/>
    <n v="18"/>
    <n v="-100035"/>
    <s v="PLN"/>
    <x v="0"/>
    <d v="2019-11-21T00:00:00"/>
    <x v="10"/>
  </r>
  <r>
    <s v="SO0002790"/>
    <s v="Domestic"/>
    <s v="362-000698"/>
    <x v="6"/>
    <s v="CAG0195200"/>
    <d v="2019-11-22T15:08:48"/>
    <x v="10"/>
    <s v="Lot 188307"/>
    <n v="20475"/>
    <s v="M²"/>
    <n v="15"/>
    <n v="307125"/>
    <s v="PLN"/>
    <x v="0"/>
    <d v="2019-11-21T00:00:00"/>
    <x v="10"/>
  </r>
  <r>
    <s v="SO0002801"/>
    <s v="Domestic"/>
    <s v="362-000139"/>
    <x v="6"/>
    <s v="CAG0195200"/>
    <d v="2019-11-27T16:33:09"/>
    <x v="10"/>
    <s v="Lot 189116"/>
    <n v="2437.5"/>
    <s v="M²"/>
    <n v="18"/>
    <n v="43875"/>
    <s v="PLN"/>
    <x v="0"/>
    <d v="2019-11-27T00:00:00"/>
    <x v="10"/>
  </r>
  <r>
    <s v="SO0002802"/>
    <s v="Domestic"/>
    <s v="362-000490"/>
    <x v="6"/>
    <s v="CAG0195200"/>
    <d v="2019-11-27T16:47:40"/>
    <x v="10"/>
    <s v="Lot 189129"/>
    <n v="3900"/>
    <s v="M²"/>
    <n v="17"/>
    <n v="66300"/>
    <s v="PLN"/>
    <x v="0"/>
    <d v="2019-11-27T00:00:00"/>
    <x v="10"/>
  </r>
  <r>
    <s v="SO0002806"/>
    <s v="Domestic"/>
    <s v="362-000485"/>
    <x v="6"/>
    <s v="CAG0195200"/>
    <d v="2019-11-27T19:29:36"/>
    <x v="10"/>
    <s v="Lot 189171"/>
    <n v="1950"/>
    <s v="M²"/>
    <n v="18"/>
    <n v="35100"/>
    <s v="PLN"/>
    <x v="0"/>
    <d v="2019-11-27T00:00:00"/>
    <x v="10"/>
  </r>
  <r>
    <s v="SO0002808"/>
    <s v="Domestic"/>
    <s v="362-000843"/>
    <x v="6"/>
    <s v="CAG0195200"/>
    <d v="2019-11-27T19:45:22"/>
    <x v="10"/>
    <s v="Lot 189173"/>
    <n v="780"/>
    <s v="M²"/>
    <n v="18.5"/>
    <n v="14430"/>
    <s v="PLN"/>
    <x v="0"/>
    <d v="2019-11-27T00:00:00"/>
    <x v="10"/>
  </r>
  <r>
    <s v="SO0002811"/>
    <s v="Domestic"/>
    <s v="362-000383"/>
    <x v="6"/>
    <s v="CAG0195200"/>
    <d v="2019-11-27T21:23:58"/>
    <x v="10"/>
    <s v="Lot 189218"/>
    <n v="1950"/>
    <s v="M²"/>
    <n v="18"/>
    <n v="35100"/>
    <s v="PLN"/>
    <x v="0"/>
    <d v="2019-11-27T00:00:00"/>
    <x v="10"/>
  </r>
  <r>
    <s v="SO0002812"/>
    <s v="Domestic"/>
    <s v="362-000485"/>
    <x v="6"/>
    <s v="CAG0195200"/>
    <d v="2019-11-29T15:47:32"/>
    <x v="10"/>
    <s v="Lot 189377"/>
    <n v="-1950"/>
    <s v="M²"/>
    <n v="18"/>
    <n v="-35100"/>
    <s v="PLN"/>
    <x v="0"/>
    <d v="2019-11-29T00:00:00"/>
    <x v="10"/>
  </r>
  <r>
    <s v="SO0002820"/>
    <s v="Domestic"/>
    <s v="362-000485"/>
    <x v="6"/>
    <s v="CAG0195200"/>
    <d v="2019-12-03T16:09:26"/>
    <x v="11"/>
    <s v="Lot 189757"/>
    <n v="1950"/>
    <s v="M²"/>
    <n v="18"/>
    <n v="35100"/>
    <s v="PLN"/>
    <x v="0"/>
    <d v="2019-12-02T00:00:00"/>
    <x v="11"/>
  </r>
  <r>
    <s v="SO0002822"/>
    <s v="Domestic"/>
    <s v="362-000524"/>
    <x v="6"/>
    <s v="CAG0195200"/>
    <d v="2019-12-03T16:19:23"/>
    <x v="11"/>
    <s v="Lot 189765"/>
    <n v="5557.5"/>
    <s v="M²"/>
    <n v="18"/>
    <n v="100035"/>
    <s v="PLN"/>
    <x v="0"/>
    <d v="2019-12-03T00:00:00"/>
    <x v="11"/>
  </r>
  <r>
    <s v="SO0002836"/>
    <s v="Domestic"/>
    <s v="362-000540"/>
    <x v="6"/>
    <s v="CAG0195200"/>
    <d v="2019-12-11T16:11:46"/>
    <x v="11"/>
    <s v="Lot 191086"/>
    <n v="14040"/>
    <s v="M²"/>
    <n v="17"/>
    <n v="238680"/>
    <s v="PLN"/>
    <x v="0"/>
    <d v="2019-12-11T00:00:00"/>
    <x v="11"/>
  </r>
  <r>
    <s v="SO0002840"/>
    <s v="Domestic"/>
    <s v="362-000846"/>
    <x v="6"/>
    <s v="CAG0195200"/>
    <d v="2019-12-12T15:38:28"/>
    <x v="11"/>
    <s v="Lot 191205"/>
    <n v="292.5"/>
    <s v="M²"/>
    <n v="18"/>
    <n v="5265"/>
    <s v="PLN"/>
    <x v="0"/>
    <d v="2019-12-11T00:00:00"/>
    <x v="11"/>
  </r>
  <r>
    <s v="SO0002846"/>
    <s v="Domestic"/>
    <s v="362-000492"/>
    <x v="6"/>
    <s v="CAG0195200"/>
    <d v="2019-12-16T15:38:03"/>
    <x v="11"/>
    <s v="Lot 191672"/>
    <n v="3997.5"/>
    <s v="M²"/>
    <n v="16"/>
    <n v="63960"/>
    <s v="PLN"/>
    <x v="0"/>
    <d v="2019-12-16T00:00:00"/>
    <x v="11"/>
  </r>
  <r>
    <s v="SO0002847"/>
    <s v="Domestic"/>
    <s v="362-000518"/>
    <x v="6"/>
    <s v="CAG0195200"/>
    <d v="2019-12-16T15:48:50"/>
    <x v="11"/>
    <s v="Lot 191674"/>
    <n v="7995"/>
    <s v="M²"/>
    <n v="19.89"/>
    <n v="159020.54999999999"/>
    <s v="PLN"/>
    <x v="0"/>
    <d v="2019-12-16T00:00:00"/>
    <x v="11"/>
  </r>
  <r>
    <s v="SO0002848"/>
    <s v="Domestic"/>
    <s v="362-000485"/>
    <x v="6"/>
    <s v="CAG0195200"/>
    <d v="2019-12-16T15:53:45"/>
    <x v="11"/>
    <s v="Lot 191675"/>
    <n v="195"/>
    <s v="M²"/>
    <n v="18"/>
    <n v="3510"/>
    <s v="PLN"/>
    <x v="0"/>
    <d v="2019-12-17T00:00:00"/>
    <x v="11"/>
  </r>
  <r>
    <s v="360364ApP0000657"/>
    <s v="IC-AX"/>
    <s v="362-000418"/>
    <x v="0"/>
    <s v="CAG0195200GV"/>
    <d v="2019-02-12T18:04:16"/>
    <x v="0"/>
    <s v="Lot 139865"/>
    <n v="3900"/>
    <s v="M²"/>
    <n v="1.64"/>
    <n v="6396"/>
    <s v="EUR"/>
    <x v="0"/>
    <d v="2019-02-15T00:00:00"/>
    <x v="4"/>
  </r>
  <r>
    <s v="360364ApP0000754"/>
    <s v="IC-AX"/>
    <s v="362-000418"/>
    <x v="0"/>
    <s v="CAG0195200GV"/>
    <d v="2019-06-04T17:04:07"/>
    <x v="3"/>
    <s v="Lot 155751"/>
    <n v="25350"/>
    <s v="M²"/>
    <n v="1.7"/>
    <n v="43095"/>
    <s v="EUR"/>
    <x v="0"/>
    <d v="2019-07-01T00:00:00"/>
    <x v="9"/>
  </r>
  <r>
    <s v="360364ApP0000824"/>
    <s v="IC-AX"/>
    <s v="362-000418"/>
    <x v="0"/>
    <s v="CAG0195200GV"/>
    <d v="2019-09-18T15:46:08"/>
    <x v="5"/>
    <s v="Lot 175580"/>
    <n v="9750"/>
    <s v="M²"/>
    <n v="1.67"/>
    <n v="16282.5"/>
    <s v="EUR"/>
    <x v="0"/>
    <d v="2019-10-07T00:00:00"/>
    <x v="5"/>
  </r>
  <r>
    <s v="360364ApP0000831"/>
    <s v="IC-AX"/>
    <s v="362-000418"/>
    <x v="0"/>
    <s v="CAG0195200GV"/>
    <d v="2019-09-23T20:06:11"/>
    <x v="5"/>
    <s v="Lot 176587"/>
    <n v="1950"/>
    <s v="M²"/>
    <n v="1.67"/>
    <n v="3256.5"/>
    <s v="EUR"/>
    <x v="0"/>
    <d v="2019-10-07T00:00:00"/>
    <x v="5"/>
  </r>
  <r>
    <s v="SO0002245"/>
    <s v="Domestic"/>
    <s v="362-000492"/>
    <x v="6"/>
    <s v="CAG0195200GV"/>
    <d v="2019-04-15T14:53:40"/>
    <x v="1"/>
    <s v="Lot 150414"/>
    <n v="2145"/>
    <s v="M²"/>
    <n v="16"/>
    <n v="34320"/>
    <s v="PLN"/>
    <x v="0"/>
    <d v="2019-04-15T00:00:00"/>
    <x v="6"/>
  </r>
  <r>
    <s v="SO0002272"/>
    <s v="Domestic"/>
    <s v="362-000492"/>
    <x v="6"/>
    <s v="CAG0195200GV"/>
    <d v="2019-05-08T15:51:41"/>
    <x v="2"/>
    <s v="Lot 151951"/>
    <n v="4290"/>
    <s v="M²"/>
    <n v="16"/>
    <n v="68640"/>
    <s v="PLN"/>
    <x v="0"/>
    <d v="2019-05-08T00:00:00"/>
    <x v="1"/>
  </r>
  <r>
    <s v="SO0002278"/>
    <s v="Domestic"/>
    <s v="362-000583"/>
    <x v="6"/>
    <s v="CAG0195200GV"/>
    <d v="2019-05-10T16:16:17"/>
    <x v="2"/>
    <s v="Lot 152340"/>
    <n v="195"/>
    <s v="M²"/>
    <n v="20"/>
    <n v="3900"/>
    <s v="PLN"/>
    <x v="0"/>
    <d v="2019-05-10T00:00:00"/>
    <x v="1"/>
  </r>
  <r>
    <s v="SO0002288"/>
    <s v="Domestic"/>
    <s v="362-000492"/>
    <x v="6"/>
    <s v="CAG0195200GV"/>
    <d v="2019-05-15T18:51:14"/>
    <x v="2"/>
    <s v="Lot 152907"/>
    <n v="5265"/>
    <s v="M²"/>
    <n v="18"/>
    <n v="94770"/>
    <s v="PLN"/>
    <x v="0"/>
    <d v="2019-05-16T00:00:00"/>
    <x v="1"/>
  </r>
  <r>
    <s v="SO0002294"/>
    <s v="Exp_3C"/>
    <s v="362-000502"/>
    <x v="12"/>
    <s v="CAG0195200GV"/>
    <d v="2019-05-20T14:54:32"/>
    <x v="2"/>
    <s v="Lot 153295"/>
    <n v="2925"/>
    <s v="M²"/>
    <n v="3.3"/>
    <n v="9652.5"/>
    <s v="EUR"/>
    <x v="0"/>
    <d v="2019-05-20T00:00:00"/>
    <x v="1"/>
  </r>
  <r>
    <s v="SO0002344"/>
    <s v="Domestic"/>
    <s v="362-000518"/>
    <x v="6"/>
    <s v="CAG0195200GV"/>
    <d v="2019-06-14T18:04:46"/>
    <x v="3"/>
    <s v="Lot 158668"/>
    <n v="7800"/>
    <s v="M²"/>
    <n v="17.5"/>
    <n v="136500"/>
    <s v="PLN"/>
    <x v="0"/>
    <d v="2019-06-14T00:00:00"/>
    <x v="2"/>
  </r>
  <r>
    <s v="SO0002356"/>
    <s v="Exp_3C"/>
    <s v="362-000502"/>
    <x v="12"/>
    <s v="CAG0195200GV"/>
    <d v="2019-06-27T16:01:02"/>
    <x v="3"/>
    <s v="Lot 160436"/>
    <n v="15600"/>
    <s v="M²"/>
    <n v="3.3"/>
    <n v="51480"/>
    <s v="EUR"/>
    <x v="0"/>
    <d v="2019-06-27T00:00:00"/>
    <x v="2"/>
  </r>
  <r>
    <s v="SO0002356"/>
    <s v="Exp_3C"/>
    <s v="362-000502"/>
    <x v="12"/>
    <s v="CAG0195200GV"/>
    <d v="2019-06-27T16:04:10"/>
    <x v="3"/>
    <s v="Lot 160438"/>
    <n v="1950"/>
    <s v="M²"/>
    <n v="3.3"/>
    <n v="6435"/>
    <s v="EUR"/>
    <x v="0"/>
    <d v="2019-06-27T00:00:00"/>
    <x v="2"/>
  </r>
  <r>
    <s v="SO0002580"/>
    <s v="Domestic"/>
    <s v="362-000492"/>
    <x v="6"/>
    <s v="CAG0195200GV"/>
    <d v="2019-09-17T18:06:12"/>
    <x v="5"/>
    <s v="Lot 175379"/>
    <n v="4095"/>
    <s v="M²"/>
    <n v="16"/>
    <n v="65520"/>
    <s v="PLN"/>
    <x v="0"/>
    <d v="2019-09-17T00:00:00"/>
    <x v="7"/>
  </r>
  <r>
    <s v="SO0002587"/>
    <s v="Exp_3C"/>
    <s v="362-000502"/>
    <x v="12"/>
    <s v="CAG0195200GV"/>
    <d v="2019-09-19T19:02:50"/>
    <x v="5"/>
    <s v="Lot 175639"/>
    <n v="13650"/>
    <s v="M²"/>
    <n v="3.3"/>
    <n v="45045"/>
    <s v="EUR"/>
    <x v="0"/>
    <d v="2019-09-20T00:00:00"/>
    <x v="7"/>
  </r>
  <r>
    <s v="SO0002718"/>
    <s v="Exp_3C"/>
    <s v="362-000502"/>
    <x v="12"/>
    <s v="CAG0195200GV"/>
    <d v="2019-10-28T15:15:23"/>
    <x v="6"/>
    <s v="Lot 184277"/>
    <n v="5070"/>
    <s v="M²"/>
    <n v="3.3"/>
    <n v="16731"/>
    <s v="EUR"/>
    <x v="0"/>
    <d v="2019-10-28T00:00:00"/>
    <x v="5"/>
  </r>
  <r>
    <s v="SO0002739"/>
    <s v="Domestic"/>
    <s v="362-000492"/>
    <x v="6"/>
    <s v="CAG0195200GV"/>
    <d v="2019-11-04T18:38:39"/>
    <x v="10"/>
    <s v="Lot 185487"/>
    <n v="2925"/>
    <s v="M²"/>
    <n v="16"/>
    <n v="46800"/>
    <s v="PLN"/>
    <x v="0"/>
    <d v="2019-11-04T00:00:00"/>
    <x v="10"/>
  </r>
  <r>
    <s v="SO0002846"/>
    <s v="Domestic"/>
    <s v="362-000492"/>
    <x v="6"/>
    <s v="CAG0195200GV"/>
    <d v="2019-12-16T15:38:32"/>
    <x v="11"/>
    <s v="Lot 191673"/>
    <n v="3022.5"/>
    <s v="M²"/>
    <n v="16"/>
    <n v="48360"/>
    <s v="PLN"/>
    <x v="0"/>
    <d v="2019-12-16T00:00:00"/>
    <x v="11"/>
  </r>
  <r>
    <s v="360364ApP0000667"/>
    <s v="IC-AX"/>
    <s v="362-000418"/>
    <x v="0"/>
    <s v="CAG150200200"/>
    <d v="2019-02-28T17:43:07"/>
    <x v="0"/>
    <s v="Lot 142826"/>
    <n v="3000"/>
    <s v="M²"/>
    <n v="2.9"/>
    <n v="8700"/>
    <s v="EUR"/>
    <x v="0"/>
    <d v="2019-03-04T00:00:00"/>
    <x v="0"/>
  </r>
  <r>
    <s v="360364ApP0000699"/>
    <s v="IC-AX"/>
    <s v="362-000418"/>
    <x v="0"/>
    <s v="CAG150200200"/>
    <d v="2019-03-29T20:00:54"/>
    <x v="7"/>
    <s v="Lot 148339"/>
    <n v="3000"/>
    <s v="M²"/>
    <n v="2.9"/>
    <n v="8700"/>
    <s v="EUR"/>
    <x v="0"/>
    <d v="2019-04-08T00:00:00"/>
    <x v="6"/>
  </r>
  <r>
    <s v="360364ApP0000785"/>
    <s v="IC-AX"/>
    <s v="362-000418"/>
    <x v="0"/>
    <s v="CAG150200200"/>
    <d v="2019-07-18T17:43:20"/>
    <x v="4"/>
    <s v="Lot 165087"/>
    <n v="6000"/>
    <s v="M²"/>
    <n v="2.9"/>
    <n v="17400"/>
    <s v="EUR"/>
    <x v="0"/>
    <d v="2019-08-05T00:00:00"/>
    <x v="3"/>
  </r>
  <r>
    <s v="360369ApP0000509"/>
    <s v="IC-AX"/>
    <s v="362-000418"/>
    <x v="4"/>
    <s v="CAG150200200"/>
    <d v="2019-05-10T15:32:51"/>
    <x v="2"/>
    <s v="Lot 152338"/>
    <n v="1350"/>
    <s v="M²"/>
    <n v="2.9"/>
    <n v="3915"/>
    <s v="EUR"/>
    <x v="0"/>
    <d v="2019-05-13T00:00:00"/>
    <x v="1"/>
  </r>
  <r>
    <s v="360369ApP0000522"/>
    <s v="IC-AX"/>
    <s v="362-000418"/>
    <x v="4"/>
    <s v="CAG150200200"/>
    <d v="2019-05-23T20:46:52"/>
    <x v="2"/>
    <s v="Lot 154590"/>
    <n v="3000"/>
    <s v="M²"/>
    <n v="2.9"/>
    <n v="8700"/>
    <s v="EUR"/>
    <x v="0"/>
    <d v="2019-06-10T00:00:00"/>
    <x v="2"/>
  </r>
  <r>
    <s v="360369ApP0000588"/>
    <s v="IC-AX"/>
    <s v="362-000418"/>
    <x v="8"/>
    <s v="CAG150200200"/>
    <d v="2019-07-18T14:18:09"/>
    <x v="4"/>
    <s v="Lot 165083"/>
    <n v="1500"/>
    <s v="M²"/>
    <n v="2.9"/>
    <n v="4350"/>
    <s v="EUR"/>
    <x v="0"/>
    <d v="2019-08-06T00:00:00"/>
    <x v="3"/>
  </r>
  <r>
    <s v="360369ApP0000600"/>
    <s v="IC-AX"/>
    <s v="362-000418"/>
    <x v="8"/>
    <s v="CAG150200200"/>
    <d v="2019-08-16T22:32:03"/>
    <x v="9"/>
    <s v="Lot 169552"/>
    <n v="19500"/>
    <s v="M²"/>
    <n v="2.9"/>
    <n v="56550"/>
    <s v="EUR"/>
    <x v="0"/>
    <d v="2019-09-03T00:00:00"/>
    <x v="7"/>
  </r>
  <r>
    <s v="360363ApP0000757"/>
    <s v="IC-AX"/>
    <s v="362-000412"/>
    <x v="7"/>
    <s v="CAG195200200"/>
    <d v="2019-10-30T16:49:28"/>
    <x v="6"/>
    <s v="Lot 184970"/>
    <n v="682.5"/>
    <s v="M²"/>
    <n v="2.93"/>
    <n v="1999.73"/>
    <s v="EUR"/>
    <x v="0"/>
    <d v="2019-10-29T00:00:00"/>
    <x v="5"/>
  </r>
  <r>
    <s v="360364ApP0000657"/>
    <s v="IC-AX"/>
    <s v="362-000418"/>
    <x v="0"/>
    <s v="CAG195200200"/>
    <d v="2019-02-12T18:04:14"/>
    <x v="0"/>
    <s v="Lot 139864"/>
    <n v="5850"/>
    <s v="M²"/>
    <n v="3.1"/>
    <n v="18135"/>
    <s v="EUR"/>
    <x v="0"/>
    <d v="2019-02-15T00:00:00"/>
    <x v="4"/>
  </r>
  <r>
    <s v="360364ApP0000689"/>
    <s v="IC-AX"/>
    <s v="362-000418"/>
    <x v="13"/>
    <s v="CAG195200200"/>
    <d v="2019-03-26T23:32:00"/>
    <x v="7"/>
    <s v="Lot 146304"/>
    <n v="25350"/>
    <s v="M²"/>
    <n v="2.92"/>
    <n v="74022"/>
    <s v="EUR"/>
    <x v="0"/>
    <d v="2019-07-15T00:00:00"/>
    <x v="9"/>
  </r>
  <r>
    <s v="360364ApP0000697"/>
    <s v="IC-AX"/>
    <s v="362-000418"/>
    <x v="0"/>
    <s v="CAG195200200"/>
    <d v="2019-03-29T19:59:36"/>
    <x v="7"/>
    <s v="Lot 148336"/>
    <n v="5850"/>
    <s v="M²"/>
    <n v="2.92"/>
    <n v="17082"/>
    <s v="EUR"/>
    <x v="0"/>
    <d v="2019-04-08T00:00:00"/>
    <x v="6"/>
  </r>
  <r>
    <s v="360364ApP0000756"/>
    <s v="IC-AX"/>
    <s v="362-000418"/>
    <x v="0"/>
    <s v="CAG195200200"/>
    <d v="2019-06-04T17:05:07"/>
    <x v="3"/>
    <s v="Lot 155754"/>
    <n v="5850"/>
    <s v="M²"/>
    <n v="2.92"/>
    <n v="17082"/>
    <s v="EUR"/>
    <x v="0"/>
    <d v="2019-07-01T00:00:00"/>
    <x v="9"/>
  </r>
  <r>
    <s v="360364ApP0000779"/>
    <s v="IC-AX"/>
    <s v="362-000418"/>
    <x v="0"/>
    <s v="CAG195200200"/>
    <d v="2019-07-11T15:00:55"/>
    <x v="4"/>
    <s v="Lot 163868"/>
    <n v="5850"/>
    <s v="M²"/>
    <n v="2.92"/>
    <n v="17082"/>
    <s v="EUR"/>
    <x v="0"/>
    <d v="2019-07-11T00:00:00"/>
    <x v="9"/>
  </r>
  <r>
    <s v="360368ApP0000536"/>
    <s v="IC-AX"/>
    <s v="362-000418"/>
    <x v="3"/>
    <s v="CAG195200200"/>
    <d v="2019-07-22T13:16:26"/>
    <x v="4"/>
    <s v="Lot 165322"/>
    <n v="5850"/>
    <s v="M²"/>
    <n v="2.92"/>
    <n v="17082"/>
    <s v="EUR"/>
    <x v="0"/>
    <d v="2019-09-16T00:00:00"/>
    <x v="7"/>
  </r>
  <r>
    <s v="360369ApP0000511"/>
    <s v="IC-AX"/>
    <s v="362-000418"/>
    <x v="8"/>
    <s v="CAG195200200"/>
    <d v="2019-05-10T20:50:46"/>
    <x v="2"/>
    <s v="Lot 152346"/>
    <n v="3900"/>
    <s v="M²"/>
    <n v="2.92"/>
    <n v="11388"/>
    <s v="EUR"/>
    <x v="0"/>
    <d v="2019-05-15T00:00:00"/>
    <x v="1"/>
  </r>
  <r>
    <s v="360369ApP0000530"/>
    <s v="IC-AX"/>
    <s v="362-000418"/>
    <x v="8"/>
    <s v="CAG195200200"/>
    <d v="2019-05-29T22:45:00"/>
    <x v="2"/>
    <s v="Lot 155305"/>
    <n v="19500"/>
    <s v="M²"/>
    <n v="2.92"/>
    <n v="56940"/>
    <s v="EUR"/>
    <x v="0"/>
    <d v="2019-06-05T00:00:00"/>
    <x v="2"/>
  </r>
  <r>
    <s v="360369ApP0000570"/>
    <s v="IC-AX"/>
    <s v="362-000418"/>
    <x v="8"/>
    <s v="CAG195200200"/>
    <d v="2019-06-27T17:09:32"/>
    <x v="3"/>
    <s v="Lot 160457"/>
    <n v="38707.5"/>
    <s v="M²"/>
    <n v="2.92"/>
    <n v="113025.9"/>
    <s v="EUR"/>
    <x v="0"/>
    <d v="2019-08-14T00:00:00"/>
    <x v="3"/>
  </r>
  <r>
    <s v="360369ApP0000582"/>
    <s v="IC-AX"/>
    <s v="362-000418"/>
    <x v="8"/>
    <s v="CAG195200200"/>
    <d v="2019-07-08T15:36:30"/>
    <x v="4"/>
    <s v="Lot 162982"/>
    <n v="7800"/>
    <s v="M²"/>
    <n v="2.92"/>
    <n v="22776"/>
    <s v="EUR"/>
    <x v="0"/>
    <d v="2019-07-31T00:00:00"/>
    <x v="9"/>
  </r>
  <r>
    <s v="360369ApP0000588"/>
    <s v="IC-AX"/>
    <s v="362-000418"/>
    <x v="8"/>
    <s v="CAG195200200"/>
    <d v="2019-07-18T14:18:10"/>
    <x v="4"/>
    <s v="Lot 165084"/>
    <n v="7800"/>
    <s v="M²"/>
    <n v="2.92"/>
    <n v="22776"/>
    <s v="EUR"/>
    <x v="0"/>
    <d v="2019-08-06T00:00:00"/>
    <x v="3"/>
  </r>
  <r>
    <s v="360369ApP0000597"/>
    <s v="IC-AX"/>
    <s v="362-000418"/>
    <x v="8"/>
    <s v="CAG195200200"/>
    <d v="2019-08-16T22:31:24"/>
    <x v="9"/>
    <s v="Lot 169550"/>
    <n v="1950"/>
    <s v="M²"/>
    <n v="2.92"/>
    <n v="5694"/>
    <s v="EUR"/>
    <x v="0"/>
    <d v="2019-08-28T00:00:00"/>
    <x v="3"/>
  </r>
  <r>
    <s v="360ApP0003956"/>
    <s v="IC-AX"/>
    <s v="362-000413"/>
    <x v="5"/>
    <s v="CAG195200200"/>
    <d v="2019-03-25T17:45:44"/>
    <x v="7"/>
    <s v="Lot 146086"/>
    <n v="3900"/>
    <s v="M²"/>
    <n v="2.92"/>
    <n v="11388"/>
    <s v="EUR"/>
    <x v="0"/>
    <d v="2019-04-01T00:00:00"/>
    <x v="6"/>
  </r>
  <r>
    <s v="360SO0007705"/>
    <s v="IC-AX"/>
    <s v="362-000413"/>
    <x v="9"/>
    <s v="CAG195200200"/>
    <d v="2019-02-11T23:18:27"/>
    <x v="0"/>
    <s v="Lot 139748"/>
    <n v="1950"/>
    <s v="M²"/>
    <n v="3.1"/>
    <n v="6045"/>
    <s v="EUR"/>
    <x v="0"/>
    <d v="2019-02-13T00:00:00"/>
    <x v="4"/>
  </r>
  <r>
    <s v="SO0002380"/>
    <s v="IC-AX"/>
    <s v="362-000418"/>
    <x v="0"/>
    <s v="CAG195200200"/>
    <d v="2019-07-09T14:54:30"/>
    <x v="4"/>
    <s v="Lot 163138"/>
    <n v="-5850"/>
    <s v="M²"/>
    <n v="2.92"/>
    <n v="-17082"/>
    <s v="EUR"/>
    <x v="0"/>
    <d v="2019-07-09T00:00:00"/>
    <x v="9"/>
  </r>
  <r>
    <s v="SO0002393"/>
    <s v="Domestic"/>
    <s v="362-000595"/>
    <x v="6"/>
    <s v="CAG195200200"/>
    <d v="2019-07-15T15:13:54"/>
    <x v="4"/>
    <s v="Lot 164352"/>
    <n v="487.5"/>
    <s v="M²"/>
    <n v="28"/>
    <n v="13650"/>
    <s v="PLN"/>
    <x v="0"/>
    <d v="2019-07-15T00:00:00"/>
    <x v="9"/>
  </r>
  <r>
    <s v="SO0002394"/>
    <s v="Domestic"/>
    <s v="362-000595"/>
    <x v="6"/>
    <s v="CAG195200200"/>
    <d v="2019-07-15T16:12:02"/>
    <x v="4"/>
    <s v="Lot 164353"/>
    <n v="97.5"/>
    <s v="M²"/>
    <n v="28"/>
    <n v="2730"/>
    <s v="PLN"/>
    <x v="0"/>
    <d v="2019-07-15T00:00:00"/>
    <x v="9"/>
  </r>
  <r>
    <s v="SO0002411"/>
    <s v="Domestic"/>
    <s v="362-000518"/>
    <x v="6"/>
    <s v="CAG195200200"/>
    <d v="2019-07-22T17:55:25"/>
    <x v="4"/>
    <s v="Lot 165580"/>
    <n v="10042.5"/>
    <s v="M²"/>
    <n v="31"/>
    <n v="311317.5"/>
    <s v="PLN"/>
    <x v="0"/>
    <d v="2019-07-22T00:00:00"/>
    <x v="9"/>
  </r>
  <r>
    <s v="SO0002461"/>
    <s v="Domestic"/>
    <s v="362-000508"/>
    <x v="6"/>
    <s v="CAG195200200"/>
    <d v="2019-08-07T17:33:07"/>
    <x v="9"/>
    <s v="Lot 168339"/>
    <n v="780"/>
    <s v="M²"/>
    <n v="7"/>
    <n v="5460"/>
    <s v="PLN"/>
    <x v="0"/>
    <d v="2019-08-07T00:00:00"/>
    <x v="3"/>
  </r>
  <r>
    <s v="SO0002826"/>
    <s v="IC-AX"/>
    <s v="362-000412"/>
    <x v="5"/>
    <s v="CAG195200200"/>
    <d v="2019-12-04T17:12:09"/>
    <x v="11"/>
    <s v="Lot 190176"/>
    <n v="-682.5"/>
    <s v="M²"/>
    <n v="0"/>
    <n v="-1999.73"/>
    <s v="EUR"/>
    <x v="0"/>
    <d v="2019-11-30T00:00:00"/>
    <x v="10"/>
  </r>
  <r>
    <s v="SO0002826"/>
    <s v="IC-AX"/>
    <s v="362-000412"/>
    <x v="5"/>
    <s v="CAG195200200"/>
    <d v="2019-12-04T17:13:22"/>
    <x v="11"/>
    <s v="Lot 190178"/>
    <n v="682.5"/>
    <s v="M²"/>
    <n v="0"/>
    <n v="1999.73"/>
    <s v="EUR"/>
    <x v="0"/>
    <d v="2019-11-30T00:00:00"/>
    <x v="10"/>
  </r>
  <r>
    <s v="SO0002364"/>
    <s v="Domestic"/>
    <s v="362-000543"/>
    <x v="6"/>
    <s v="CAG2Q"/>
    <d v="2019-07-03T15:43:10"/>
    <x v="4"/>
    <s v="Lot 162463"/>
    <n v="550"/>
    <s v="M²"/>
    <n v="8"/>
    <n v="4400"/>
    <s v="PLN"/>
    <x v="0"/>
    <d v="2019-07-02T00:00:00"/>
    <x v="9"/>
  </r>
  <r>
    <s v="SO0002494"/>
    <s v="Domestic"/>
    <s v="362-000643"/>
    <x v="6"/>
    <s v="CAG2Q"/>
    <d v="2019-08-19T16:50:04"/>
    <x v="9"/>
    <s v="Lot 169844"/>
    <n v="100"/>
    <s v="M²"/>
    <n v="17.5"/>
    <n v="1750"/>
    <s v="PLN"/>
    <x v="0"/>
    <d v="2019-08-23T00:00:00"/>
    <x v="3"/>
  </r>
  <r>
    <s v="SO0002494"/>
    <s v="Domestic"/>
    <s v="362-000643"/>
    <x v="6"/>
    <s v="CAG2Q"/>
    <d v="2019-08-23T16:47:40"/>
    <x v="9"/>
    <s v="Lot 170807"/>
    <n v="100"/>
    <s v="M²"/>
    <n v="17.5"/>
    <n v="1750"/>
    <s v="PLN"/>
    <x v="0"/>
    <d v="2019-08-23T00:00:00"/>
    <x v="3"/>
  </r>
  <r>
    <s v="SO0002514"/>
    <s v="Domestic"/>
    <s v="362-000721"/>
    <x v="6"/>
    <s v="CAG2Q"/>
    <d v="2019-08-26T15:07:45"/>
    <x v="9"/>
    <s v="Lot 170906"/>
    <n v="500"/>
    <s v="M²"/>
    <n v="9"/>
    <n v="4500"/>
    <s v="PLN"/>
    <x v="0"/>
    <d v="2019-08-26T00:00:00"/>
    <x v="3"/>
  </r>
  <r>
    <s v="360363ApP0000599"/>
    <s v="IC-AX"/>
    <s v="362-000412"/>
    <x v="7"/>
    <s v="GLG0097120"/>
    <d v="2019-04-17T21:10:35"/>
    <x v="1"/>
    <s v="Lot 150989"/>
    <n v="242.5"/>
    <s v="M²"/>
    <n v="0.67"/>
    <n v="162.47999999999999"/>
    <s v="EUR"/>
    <x v="0"/>
    <d v="2019-04-18T00:00:00"/>
    <x v="6"/>
  </r>
  <r>
    <s v="360363ApP0000617"/>
    <s v="IC-AX"/>
    <s v="362-000412"/>
    <x v="7"/>
    <s v="GLG0097120"/>
    <d v="2019-05-20T20:58:29"/>
    <x v="2"/>
    <s v="Lot 153561"/>
    <n v="824.5"/>
    <s v="M²"/>
    <n v="0.67"/>
    <n v="552.41999999999996"/>
    <s v="EUR"/>
    <x v="0"/>
    <d v="2019-05-21T00:00:00"/>
    <x v="1"/>
  </r>
  <r>
    <s v="360363ApP0000671"/>
    <s v="IC-AX"/>
    <s v="362-000412"/>
    <x v="14"/>
    <s v="GLG0097120"/>
    <d v="2019-07-18T18:00:29"/>
    <x v="4"/>
    <s v="Lot 165092"/>
    <n v="388"/>
    <s v="M²"/>
    <n v="0.67"/>
    <n v="259.95999999999998"/>
    <s v="EUR"/>
    <x v="0"/>
    <d v="2019-07-18T00:00:00"/>
    <x v="9"/>
  </r>
  <r>
    <s v="360364ApP0000663"/>
    <s v="IC-AX"/>
    <s v="362-000418"/>
    <x v="0"/>
    <s v="GLG0097120"/>
    <d v="2019-02-27T18:51:58"/>
    <x v="0"/>
    <s v="Lot 142700"/>
    <n v="3880"/>
    <s v="M²"/>
    <n v="0.67"/>
    <n v="2599.6"/>
    <s v="EUR"/>
    <x v="0"/>
    <d v="2019-03-04T00:00:00"/>
    <x v="0"/>
  </r>
  <r>
    <s v="360364ApP0000855"/>
    <s v="IC-AX"/>
    <s v="362-000418"/>
    <x v="0"/>
    <s v="GLG0097120"/>
    <d v="2019-10-24T17:51:40"/>
    <x v="6"/>
    <s v="Lot 183939"/>
    <n v="1940"/>
    <s v="M²"/>
    <n v="0.67"/>
    <n v="1299.8"/>
    <s v="EUR"/>
    <x v="0"/>
    <d v="2019-10-28T00:00:00"/>
    <x v="5"/>
  </r>
  <r>
    <s v="360365ApP0000640"/>
    <s v="IC-AX"/>
    <s v="362-000418"/>
    <x v="1"/>
    <s v="GLG0097120"/>
    <d v="2019-06-07T18:57:17"/>
    <x v="3"/>
    <s v="Lot 157113"/>
    <n v="4268"/>
    <s v="M²"/>
    <n v="0.67"/>
    <n v="2859.56"/>
    <s v="EUR"/>
    <x v="0"/>
    <d v="2019-06-17T00:00:00"/>
    <x v="2"/>
  </r>
  <r>
    <s v="360365ApP0000645"/>
    <s v="IC-AX"/>
    <s v="362-000418"/>
    <x v="1"/>
    <s v="GLG0097120"/>
    <d v="2019-06-24T22:57:39"/>
    <x v="3"/>
    <s v="Lot 159850"/>
    <n v="2134"/>
    <s v="M²"/>
    <n v="0.67"/>
    <n v="1429.78"/>
    <s v="EUR"/>
    <x v="0"/>
    <d v="2019-06-25T00:00:00"/>
    <x v="2"/>
  </r>
  <r>
    <s v="360366ApP0000283"/>
    <s v="IC-AX"/>
    <s v="362-000418"/>
    <x v="2"/>
    <s v="GLG0097120"/>
    <d v="2019-02-18T21:15:49"/>
    <x v="0"/>
    <s v="Lot 141256"/>
    <n v="9700"/>
    <s v="M²"/>
    <n v="0.64"/>
    <n v="6208"/>
    <s v="EUR"/>
    <x v="0"/>
    <d v="2019-02-18T00:00:00"/>
    <x v="4"/>
  </r>
  <r>
    <s v="360366ApP0000285"/>
    <s v="IC-AX"/>
    <s v="362-000418"/>
    <x v="2"/>
    <s v="GLG0097120"/>
    <d v="2019-02-19T23:40:31"/>
    <x v="0"/>
    <s v="Lot 141471"/>
    <n v="23280"/>
    <s v="M²"/>
    <n v="0.64"/>
    <n v="14899.2"/>
    <s v="EUR"/>
    <x v="0"/>
    <d v="2019-02-25T00:00:00"/>
    <x v="4"/>
  </r>
  <r>
    <s v="360366ApP0000316"/>
    <s v="IC-AX"/>
    <s v="362-000418"/>
    <x v="2"/>
    <s v="GLG0097120"/>
    <d v="2019-04-10T16:03:14"/>
    <x v="1"/>
    <s v="Lot 149941"/>
    <n v="23280"/>
    <s v="M²"/>
    <n v="0.67"/>
    <n v="15597.6"/>
    <s v="EUR"/>
    <x v="0"/>
    <d v="2019-04-15T00:00:00"/>
    <x v="6"/>
  </r>
  <r>
    <s v="360366ApP0000322"/>
    <s v="IC-AX"/>
    <s v="362-000418"/>
    <x v="2"/>
    <s v="GLG0097120"/>
    <d v="2019-05-20T14:09:49"/>
    <x v="2"/>
    <s v="Lot 153292"/>
    <n v="7760"/>
    <s v="M²"/>
    <n v="0.67"/>
    <n v="5199.2"/>
    <s v="EUR"/>
    <x v="0"/>
    <d v="2019-05-27T00:00:00"/>
    <x v="1"/>
  </r>
  <r>
    <s v="360366ApP0000324"/>
    <s v="IC-AX"/>
    <s v="362-000418"/>
    <x v="2"/>
    <s v="GLG0097120"/>
    <d v="2019-05-21T15:42:29"/>
    <x v="2"/>
    <s v="Lot 153678"/>
    <n v="19400"/>
    <s v="M²"/>
    <n v="0.67"/>
    <n v="12998"/>
    <s v="EUR"/>
    <x v="0"/>
    <d v="2019-05-28T00:00:00"/>
    <x v="1"/>
  </r>
  <r>
    <s v="360366ApP0000335"/>
    <s v="IC-AX"/>
    <s v="362-000418"/>
    <x v="2"/>
    <s v="GLG0097120"/>
    <d v="2019-06-11T14:37:11"/>
    <x v="3"/>
    <s v="Lot 157336"/>
    <n v="7760"/>
    <s v="M²"/>
    <n v="0.67"/>
    <n v="5199.2"/>
    <s v="EUR"/>
    <x v="0"/>
    <d v="2019-06-17T00:00:00"/>
    <x v="2"/>
  </r>
  <r>
    <s v="360366ApP0000338"/>
    <s v="IC-AX"/>
    <s v="362-000418"/>
    <x v="2"/>
    <s v="GLG0097120"/>
    <d v="2019-06-11T14:38:07"/>
    <x v="3"/>
    <s v="Lot 157339"/>
    <n v="5820"/>
    <s v="M²"/>
    <n v="0.67"/>
    <n v="3899.4"/>
    <s v="EUR"/>
    <x v="0"/>
    <d v="2019-06-25T00:00:00"/>
    <x v="2"/>
  </r>
  <r>
    <s v="360366ApP0000341"/>
    <s v="IC-AX"/>
    <s v="362-000418"/>
    <x v="2"/>
    <s v="GLG0097120"/>
    <d v="2019-06-19T21:07:44"/>
    <x v="3"/>
    <s v="Lot 159752"/>
    <n v="5820"/>
    <s v="M²"/>
    <n v="0.67"/>
    <n v="3899.4"/>
    <s v="EUR"/>
    <x v="0"/>
    <d v="2019-06-25T00:00:00"/>
    <x v="2"/>
  </r>
  <r>
    <s v="360366ApP0000346"/>
    <s v="IC-AX"/>
    <s v="362-000418"/>
    <x v="2"/>
    <s v="GLG0097120"/>
    <d v="2019-07-08T20:18:55"/>
    <x v="4"/>
    <s v="Lot 163125"/>
    <n v="5820"/>
    <s v="M²"/>
    <n v="0.67"/>
    <n v="3899.4"/>
    <s v="EUR"/>
    <x v="0"/>
    <d v="2019-07-19T00:00:00"/>
    <x v="9"/>
  </r>
  <r>
    <s v="360366ApP0000348"/>
    <s v="IC-AX"/>
    <s v="362-000418"/>
    <x v="2"/>
    <s v="GLG0097120"/>
    <d v="2019-07-10T22:28:24"/>
    <x v="4"/>
    <s v="Lot 163866"/>
    <n v="5820"/>
    <s v="M²"/>
    <n v="0.67"/>
    <n v="3899.4"/>
    <s v="EUR"/>
    <x v="0"/>
    <d v="2019-07-15T00:00:00"/>
    <x v="9"/>
  </r>
  <r>
    <s v="360366ApP0000351"/>
    <s v="IC-AX"/>
    <s v="362-000418"/>
    <x v="2"/>
    <s v="GLG0097120"/>
    <d v="2019-07-15T12:56:12"/>
    <x v="4"/>
    <s v="Lot 164279"/>
    <n v="5820"/>
    <s v="M²"/>
    <n v="0.67"/>
    <n v="3899.4"/>
    <s v="EUR"/>
    <x v="0"/>
    <d v="2019-07-29T00:00:00"/>
    <x v="9"/>
  </r>
  <r>
    <s v="360366ApP0000359"/>
    <s v="IC-AX"/>
    <s v="362-000418"/>
    <x v="2"/>
    <s v="GLG0097120"/>
    <d v="2019-08-08T14:55:22"/>
    <x v="9"/>
    <s v="Lot 168342"/>
    <n v="3880"/>
    <s v="M²"/>
    <n v="0.67"/>
    <n v="2599.6"/>
    <s v="EUR"/>
    <x v="0"/>
    <d v="2019-08-19T00:00:00"/>
    <x v="3"/>
  </r>
  <r>
    <s v="360366ApP0000361"/>
    <s v="IC-AX"/>
    <s v="362-000418"/>
    <x v="2"/>
    <s v="GLG0097120"/>
    <d v="2019-08-08T14:55:52"/>
    <x v="9"/>
    <s v="Lot 168345"/>
    <n v="23280"/>
    <s v="M²"/>
    <n v="0.67"/>
    <n v="15597.6"/>
    <s v="EUR"/>
    <x v="0"/>
    <d v="2019-08-19T00:00:00"/>
    <x v="3"/>
  </r>
  <r>
    <s v="360366ApP0000379"/>
    <s v="IC-AX"/>
    <s v="362-000418"/>
    <x v="2"/>
    <s v="GLG0097120"/>
    <d v="2019-09-16T16:15:53"/>
    <x v="5"/>
    <s v="Lot 174872"/>
    <n v="23280"/>
    <s v="M²"/>
    <n v="0.67"/>
    <n v="15597.6"/>
    <s v="EUR"/>
    <x v="0"/>
    <d v="2019-09-23T00:00:00"/>
    <x v="7"/>
  </r>
  <r>
    <s v="360366ApP0000382"/>
    <s v="IC-AX"/>
    <s v="362-000418"/>
    <x v="2"/>
    <s v="GLG0097120"/>
    <d v="2019-09-17T20:44:00"/>
    <x v="5"/>
    <s v="Lot 175419"/>
    <n v="5820"/>
    <s v="M²"/>
    <n v="0.67"/>
    <n v="3899.4"/>
    <s v="EUR"/>
    <x v="0"/>
    <d v="2019-10-01T00:00:00"/>
    <x v="5"/>
  </r>
  <r>
    <s v="360366ApP0000392"/>
    <s v="IC-AX"/>
    <s v="362-000418"/>
    <x v="2"/>
    <s v="GLG0097120"/>
    <d v="2019-10-10T21:24:47"/>
    <x v="6"/>
    <s v="Lot 181635"/>
    <n v="15520"/>
    <s v="M²"/>
    <n v="0.67"/>
    <n v="10398.4"/>
    <s v="EUR"/>
    <x v="0"/>
    <d v="2019-10-14T00:00:00"/>
    <x v="5"/>
  </r>
  <r>
    <s v="360368ApP0000536"/>
    <s v="IC-AX"/>
    <s v="362-000418"/>
    <x v="3"/>
    <s v="GLG0097120"/>
    <d v="2019-07-22T13:16:24"/>
    <x v="4"/>
    <s v="Lot 165318"/>
    <n v="13580"/>
    <s v="M²"/>
    <n v="0.67"/>
    <n v="9098.6"/>
    <s v="EUR"/>
    <x v="0"/>
    <d v="2019-09-16T00:00:00"/>
    <x v="7"/>
  </r>
  <r>
    <s v="360369ApP0000483"/>
    <s v="IC-AX"/>
    <s v="362-000418"/>
    <x v="8"/>
    <s v="GLG0097120"/>
    <d v="2019-04-16T14:56:16"/>
    <x v="1"/>
    <s v="Lot 150621"/>
    <n v="1940"/>
    <s v="M²"/>
    <n v="0.67"/>
    <n v="1299.8"/>
    <s v="EUR"/>
    <x v="0"/>
    <d v="2019-04-16T00:00:00"/>
    <x v="6"/>
  </r>
  <r>
    <s v="360369ApP0000511"/>
    <s v="IC-AX"/>
    <s v="362-000418"/>
    <x v="8"/>
    <s v="GLG0097120"/>
    <d v="2019-05-10T20:50:44"/>
    <x v="2"/>
    <s v="Lot 152343"/>
    <n v="1940"/>
    <s v="M²"/>
    <n v="0.67"/>
    <n v="1299.8"/>
    <s v="EUR"/>
    <x v="0"/>
    <d v="2019-05-15T00:00:00"/>
    <x v="1"/>
  </r>
  <r>
    <s v="360369ApP0000530"/>
    <s v="IC-AX"/>
    <s v="362-000418"/>
    <x v="8"/>
    <s v="GLG0097120"/>
    <d v="2019-05-29T22:44:58"/>
    <x v="2"/>
    <s v="Lot 155303"/>
    <n v="3880"/>
    <s v="M²"/>
    <n v="0.67"/>
    <n v="2599.6"/>
    <s v="EUR"/>
    <x v="0"/>
    <d v="2019-06-05T00:00:00"/>
    <x v="2"/>
  </r>
  <r>
    <s v="360369ApP0000558"/>
    <s v="IC-AX"/>
    <s v="362-000418"/>
    <x v="4"/>
    <s v="GLG0097120"/>
    <d v="2019-06-11T14:31:44"/>
    <x v="3"/>
    <s v="Lot 157331"/>
    <n v="19400"/>
    <s v="M²"/>
    <n v="0.67"/>
    <n v="12998"/>
    <s v="EUR"/>
    <x v="0"/>
    <d v="2019-06-17T00:00:00"/>
    <x v="2"/>
  </r>
  <r>
    <s v="360369ApP0000602"/>
    <s v="IC-AX"/>
    <s v="362-000418"/>
    <x v="4"/>
    <s v="GLG0097120"/>
    <d v="2019-08-19T19:17:09"/>
    <x v="9"/>
    <s v="Lot 169976"/>
    <n v="3880"/>
    <s v="M²"/>
    <n v="0.67"/>
    <n v="2599.6"/>
    <s v="EUR"/>
    <x v="0"/>
    <d v="2019-09-02T00:00:00"/>
    <x v="7"/>
  </r>
  <r>
    <s v="360369ApP0000646"/>
    <s v="IC-AX"/>
    <s v="362-000418"/>
    <x v="4"/>
    <s v="GLG0097120"/>
    <d v="2019-11-13T17:38:51"/>
    <x v="10"/>
    <s v="Lot 186868"/>
    <n v="7760"/>
    <s v="M²"/>
    <n v="0.67"/>
    <n v="5199.2"/>
    <s v="EUR"/>
    <x v="0"/>
    <d v="2019-11-18T00:00:00"/>
    <x v="10"/>
  </r>
  <r>
    <s v="360ApP0003755"/>
    <s v="IC-AX"/>
    <s v="362-000413"/>
    <x v="5"/>
    <s v="GLG0097120"/>
    <d v="2019-01-07T22:55:22"/>
    <x v="8"/>
    <s v="Lot 135527"/>
    <n v="9603"/>
    <s v="M²"/>
    <n v="0.64"/>
    <n v="6145.92"/>
    <s v="EUR"/>
    <x v="0"/>
    <d v="2019-01-24T00:00:00"/>
    <x v="8"/>
  </r>
  <r>
    <s v="360ApP0004113"/>
    <s v="IC-AX"/>
    <s v="362-000413"/>
    <x v="5"/>
    <s v="GLG0097120"/>
    <d v="2019-05-03T22:09:46"/>
    <x v="2"/>
    <s v="Lot 151470"/>
    <n v="9603"/>
    <s v="M²"/>
    <n v="0.67"/>
    <n v="6434.01"/>
    <s v="EUR"/>
    <x v="0"/>
    <d v="2019-05-17T00:00:00"/>
    <x v="1"/>
  </r>
  <r>
    <s v="360ApP0004330"/>
    <s v="IC-AX"/>
    <s v="362-000413"/>
    <x v="5"/>
    <s v="GLG0097120"/>
    <d v="2019-06-19T16:19:57"/>
    <x v="3"/>
    <s v="Lot 159624"/>
    <n v="5335"/>
    <s v="M²"/>
    <n v="0.67"/>
    <n v="3574.45"/>
    <s v="EUR"/>
    <x v="0"/>
    <d v="2019-07-08T00:00:00"/>
    <x v="9"/>
  </r>
  <r>
    <s v="360ApP0004434"/>
    <s v="IC-AX"/>
    <s v="362-000413"/>
    <x v="5"/>
    <s v="GLG0097120"/>
    <d v="2019-07-23T17:07:31"/>
    <x v="4"/>
    <s v="Lot 165801"/>
    <n v="5335"/>
    <s v="M²"/>
    <n v="0.67"/>
    <n v="3574.45"/>
    <s v="EUR"/>
    <x v="0"/>
    <d v="2019-08-08T00:00:00"/>
    <x v="3"/>
  </r>
  <r>
    <s v="360ApP0004539"/>
    <s v="IC-AX"/>
    <s v="362-000413"/>
    <x v="5"/>
    <s v="GLG0097120"/>
    <d v="2019-08-09T20:34:21"/>
    <x v="9"/>
    <s v="Lot 168788"/>
    <n v="533.5"/>
    <s v="M²"/>
    <n v="0.67"/>
    <n v="357.45"/>
    <s v="EUR"/>
    <x v="0"/>
    <d v="2019-09-09T00:00:00"/>
    <x v="7"/>
  </r>
  <r>
    <s v="360ApP0004561"/>
    <s v="IC-AX"/>
    <s v="362-000413"/>
    <x v="5"/>
    <s v="GLG0097120"/>
    <d v="2019-08-21T20:01:51"/>
    <x v="9"/>
    <s v="Lot 170441"/>
    <n v="6402"/>
    <s v="M²"/>
    <n v="0.67"/>
    <n v="4289.34"/>
    <s v="EUR"/>
    <x v="0"/>
    <d v="2019-09-09T00:00:00"/>
    <x v="7"/>
  </r>
  <r>
    <s v="360ApP0004940"/>
    <s v="IC-AX"/>
    <s v="362-000413"/>
    <x v="5"/>
    <s v="GLG0097120"/>
    <d v="2019-12-09T21:00:30"/>
    <x v="11"/>
    <s v="Lot 190784"/>
    <n v="9603"/>
    <s v="M²"/>
    <n v="0.67"/>
    <n v="6434.01"/>
    <s v="EUR"/>
    <x v="0"/>
    <d v="2020-01-17T00:00:00"/>
    <x v="12"/>
  </r>
  <r>
    <s v="360SO0007705"/>
    <s v="IC-AX"/>
    <s v="362-000413"/>
    <x v="9"/>
    <s v="GLG0097120"/>
    <d v="2019-02-11T23:18:28"/>
    <x v="0"/>
    <s v="Lot 139749"/>
    <n v="1067"/>
    <s v="M²"/>
    <n v="0.64"/>
    <n v="682.88"/>
    <s v="EUR"/>
    <x v="0"/>
    <d v="2019-02-13T00:00:00"/>
    <x v="4"/>
  </r>
  <r>
    <s v="363ApP0000742"/>
    <s v="IC-AX"/>
    <s v="362-000484"/>
    <x v="7"/>
    <s v="GLG0097120"/>
    <d v="2019-10-22T17:21:03"/>
    <x v="6"/>
    <s v="Lot 183624"/>
    <n v="388"/>
    <s v="M²"/>
    <n v="0.67"/>
    <n v="259.95999999999998"/>
    <s v="EUR"/>
    <x v="0"/>
    <d v="2019-10-30T00:00:00"/>
    <x v="5"/>
  </r>
  <r>
    <s v="363ApP0000763"/>
    <s v="IC-AX"/>
    <s v="362-000484"/>
    <x v="14"/>
    <s v="GLG0097120"/>
    <d v="2019-10-31T20:06:24"/>
    <x v="6"/>
    <s v="Lot 185269"/>
    <n v="388"/>
    <s v="M²"/>
    <n v="0.67"/>
    <n v="259.95999999999998"/>
    <s v="EUR"/>
    <x v="0"/>
    <d v="2019-10-31T00:00:00"/>
    <x v="5"/>
  </r>
  <r>
    <s v="SO0002176"/>
    <s v="Domestic"/>
    <s v="362-000383"/>
    <x v="6"/>
    <s v="GLG0097120"/>
    <d v="2019-01-24T16:14:41"/>
    <x v="8"/>
    <s v="Lot 136514"/>
    <n v="485"/>
    <s v="M²"/>
    <n v="7.05"/>
    <n v="3419.25"/>
    <s v="PLN"/>
    <x v="0"/>
    <d v="2019-01-24T00:00:00"/>
    <x v="8"/>
  </r>
  <r>
    <s v="SO0002178"/>
    <s v="Domestic"/>
    <s v="362-000383"/>
    <x v="6"/>
    <s v="GLG0097120"/>
    <d v="2019-01-25T15:07:58"/>
    <x v="8"/>
    <s v="Lot 137304"/>
    <n v="-485"/>
    <s v="M²"/>
    <n v="7.05"/>
    <n v="-3419.25"/>
    <s v="PLN"/>
    <x v="0"/>
    <d v="2019-01-25T00:00:00"/>
    <x v="8"/>
  </r>
  <r>
    <s v="SO0002179"/>
    <s v="Domestic"/>
    <s v="362-000383"/>
    <x v="6"/>
    <s v="GLG0097120"/>
    <d v="2019-01-25T15:10:55"/>
    <x v="8"/>
    <s v="Lot 137306"/>
    <n v="485"/>
    <s v="M²"/>
    <n v="8.0500000000000007"/>
    <n v="3904.25"/>
    <s v="PLN"/>
    <x v="0"/>
    <d v="2019-01-25T00:00:00"/>
    <x v="8"/>
  </r>
  <r>
    <s v="SO0002208"/>
    <s v="Domestic"/>
    <s v="362-000139"/>
    <x v="6"/>
    <s v="GLG0097120"/>
    <d v="2019-03-13T15:26:43"/>
    <x v="7"/>
    <s v="Lot 144619"/>
    <n v="485"/>
    <s v="M²"/>
    <n v="7.5"/>
    <n v="3637.5"/>
    <s v="PLN"/>
    <x v="0"/>
    <d v="2019-03-12T00:00:00"/>
    <x v="0"/>
  </r>
  <r>
    <s v="SO0002209"/>
    <s v="Domestic"/>
    <s v="362-000139"/>
    <x v="6"/>
    <s v="GLG0097120"/>
    <d v="2019-03-13T15:29:14"/>
    <x v="7"/>
    <s v="Lot 144620"/>
    <n v="145.5"/>
    <s v="M²"/>
    <n v="7.5"/>
    <n v="1091.25"/>
    <s v="PLN"/>
    <x v="0"/>
    <d v="2019-03-12T00:00:00"/>
    <x v="0"/>
  </r>
  <r>
    <s v="SO0002210"/>
    <s v="Domestic"/>
    <s v="362-000540"/>
    <x v="6"/>
    <s v="GLG0097120"/>
    <d v="2019-03-13T21:28:54"/>
    <x v="7"/>
    <s v="Lot 144852"/>
    <n v="4025.5"/>
    <s v="M²"/>
    <n v="7.5"/>
    <n v="30191.25"/>
    <s v="PLN"/>
    <x v="0"/>
    <d v="2019-03-13T00:00:00"/>
    <x v="0"/>
  </r>
  <r>
    <s v="SO0002216"/>
    <s v="Domestic"/>
    <s v="362-000779"/>
    <x v="6"/>
    <s v="GLG0097120"/>
    <d v="2019-03-21T16:39:25"/>
    <x v="7"/>
    <s v="Lot 145963"/>
    <n v="48.5"/>
    <s v="M²"/>
    <n v="9.5599999999999987"/>
    <n v="463.66"/>
    <s v="PLN"/>
    <x v="0"/>
    <d v="2019-03-20T00:00:00"/>
    <x v="0"/>
  </r>
  <r>
    <s v="SO0002219"/>
    <s v="Domestic"/>
    <s v="362-000780"/>
    <x v="6"/>
    <s v="GLG0097120"/>
    <d v="2019-03-26T16:15:10"/>
    <x v="7"/>
    <s v="Lot 146091"/>
    <n v="97"/>
    <s v="M²"/>
    <n v="8.5"/>
    <n v="824.5"/>
    <s v="PLN"/>
    <x v="0"/>
    <d v="2019-03-25T00:00:00"/>
    <x v="0"/>
  </r>
  <r>
    <s v="SO0002231"/>
    <s v="Domestic"/>
    <s v="362-000620"/>
    <x v="6"/>
    <s v="GLG0097120"/>
    <d v="2019-04-03T14:04:34"/>
    <x v="1"/>
    <s v="Lot 148374"/>
    <n v="679"/>
    <s v="M²"/>
    <n v="8.07"/>
    <n v="5479.53"/>
    <s v="PLN"/>
    <x v="0"/>
    <d v="2019-04-03T00:00:00"/>
    <x v="6"/>
  </r>
  <r>
    <s v="SO0002236"/>
    <s v="Domestic"/>
    <s v="362-000595"/>
    <x v="6"/>
    <s v="GLG0097120"/>
    <d v="2019-04-09T14:46:27"/>
    <x v="1"/>
    <s v="Lot 149558"/>
    <n v="485"/>
    <s v="M²"/>
    <n v="7.9"/>
    <n v="3831.5"/>
    <s v="PLN"/>
    <x v="0"/>
    <d v="2019-04-08T00:00:00"/>
    <x v="6"/>
  </r>
  <r>
    <s v="SO0002246"/>
    <s v="Domestic"/>
    <s v="362-000563"/>
    <x v="6"/>
    <s v="GLG0097120"/>
    <d v="2019-04-15T17:41:34"/>
    <x v="1"/>
    <s v="Lot 150602"/>
    <n v="485"/>
    <s v="M²"/>
    <n v="7"/>
    <n v="3395"/>
    <s v="PLN"/>
    <x v="0"/>
    <d v="2019-04-15T00:00:00"/>
    <x v="6"/>
  </r>
  <r>
    <s v="SO0002248"/>
    <s v="Domestic"/>
    <s v="362-000545"/>
    <x v="6"/>
    <s v="GLG0097120"/>
    <d v="2019-04-16T14:16:24"/>
    <x v="1"/>
    <s v="Lot 150617"/>
    <n v="533.5"/>
    <s v="M²"/>
    <n v="7.5"/>
    <n v="4001.25"/>
    <s v="PLN"/>
    <x v="0"/>
    <d v="2019-04-16T00:00:00"/>
    <x v="6"/>
  </r>
  <r>
    <s v="SO0002251"/>
    <s v="Domestic"/>
    <s v="362-000139"/>
    <x v="6"/>
    <s v="GLG0097120"/>
    <d v="2019-04-16T20:44:09"/>
    <x v="1"/>
    <s v="Lot 150805"/>
    <n v="2667.5"/>
    <s v="M²"/>
    <n v="7"/>
    <n v="18672.5"/>
    <s v="PLN"/>
    <x v="0"/>
    <d v="2019-04-16T00:00:00"/>
    <x v="6"/>
  </r>
  <r>
    <s v="SO0002260"/>
    <s v="Domestic"/>
    <s v="362-000510"/>
    <x v="6"/>
    <s v="GLG0097120"/>
    <d v="2019-05-06T17:33:47"/>
    <x v="2"/>
    <s v="Lot 151522"/>
    <n v="97"/>
    <s v="M²"/>
    <n v="7.5"/>
    <n v="727.5"/>
    <s v="PLN"/>
    <x v="0"/>
    <d v="2019-05-06T00:00:00"/>
    <x v="1"/>
  </r>
  <r>
    <s v="SO0002263"/>
    <s v="Domestic"/>
    <s v="362-000788"/>
    <x v="6"/>
    <s v="GLG0097120"/>
    <d v="2019-05-07T16:44:39"/>
    <x v="2"/>
    <s v="Lot 151757"/>
    <n v="145.5"/>
    <s v="M²"/>
    <n v="10.18"/>
    <n v="1481.19"/>
    <s v="PLN"/>
    <x v="0"/>
    <d v="2019-05-06T00:00:00"/>
    <x v="1"/>
  </r>
  <r>
    <s v="SO0002282"/>
    <s v="Domestic"/>
    <s v="362-000510"/>
    <x v="6"/>
    <s v="GLG0097120"/>
    <d v="2019-05-13T17:50:18"/>
    <x v="2"/>
    <s v="Lot 152550"/>
    <n v="1552"/>
    <s v="M²"/>
    <n v="7.5"/>
    <n v="11640"/>
    <s v="PLN"/>
    <x v="0"/>
    <d v="2019-05-13T00:00:00"/>
    <x v="1"/>
  </r>
  <r>
    <s v="SO0002298"/>
    <s v="Domestic"/>
    <s v="362-000615"/>
    <x v="6"/>
    <s v="GLG0097120"/>
    <d v="2019-05-23T14:59:25"/>
    <x v="2"/>
    <s v="Lot 154196"/>
    <n v="582"/>
    <s v="M²"/>
    <n v="8.17"/>
    <n v="4754.9399999999996"/>
    <s v="PLN"/>
    <x v="0"/>
    <d v="2019-05-23T00:00:00"/>
    <x v="1"/>
  </r>
  <r>
    <s v="SO0002300"/>
    <s v="Domestic"/>
    <s v="362-000620"/>
    <x v="6"/>
    <s v="GLG0097120"/>
    <d v="2019-05-23T15:08:30"/>
    <x v="2"/>
    <s v="Lot 154198"/>
    <n v="2716"/>
    <s v="M²"/>
    <n v="7.5"/>
    <n v="20370"/>
    <s v="PLN"/>
    <x v="0"/>
    <d v="2019-05-23T00:00:00"/>
    <x v="1"/>
  </r>
  <r>
    <s v="SO0002315"/>
    <s v="Domestic"/>
    <s v="362-000650"/>
    <x v="6"/>
    <s v="GLG0097120"/>
    <d v="2019-06-04T15:55:38"/>
    <x v="3"/>
    <s v="Lot 155638"/>
    <n v="921.5"/>
    <s v="M²"/>
    <n v="6.5"/>
    <n v="5989.75"/>
    <s v="PLN"/>
    <x v="0"/>
    <d v="2019-06-03T00:00:00"/>
    <x v="2"/>
  </r>
  <r>
    <s v="SO0002321"/>
    <s v="Domestic"/>
    <s v="362-000383"/>
    <x v="6"/>
    <s v="GLG0097120"/>
    <d v="2019-06-05T15:07:30"/>
    <x v="3"/>
    <s v="Lot 156361"/>
    <n v="2522"/>
    <s v="M²"/>
    <n v="7.5"/>
    <n v="18915"/>
    <s v="PLN"/>
    <x v="0"/>
    <d v="2019-06-05T00:00:00"/>
    <x v="2"/>
  </r>
  <r>
    <s v="SO0002329"/>
    <s v="Domestic"/>
    <s v="362-000650"/>
    <x v="6"/>
    <s v="GLG0097120"/>
    <d v="2019-06-10T15:04:56"/>
    <x v="3"/>
    <s v="Lot 157119"/>
    <n v="776"/>
    <s v="M²"/>
    <n v="6.5"/>
    <n v="5044"/>
    <s v="PLN"/>
    <x v="0"/>
    <d v="2019-06-10T00:00:00"/>
    <x v="2"/>
  </r>
  <r>
    <s v="SO0002333"/>
    <s v="Domestic"/>
    <s v="362-000383"/>
    <x v="6"/>
    <s v="GLG0097120"/>
    <d v="2019-06-11T17:07:53"/>
    <x v="3"/>
    <s v="Lot 157495"/>
    <n v="388"/>
    <s v="M²"/>
    <n v="8.51"/>
    <n v="3301.88"/>
    <s v="PLN"/>
    <x v="0"/>
    <d v="2019-06-11T00:00:00"/>
    <x v="2"/>
  </r>
  <r>
    <s v="SO0002341"/>
    <s v="Domestic"/>
    <s v="362-000717"/>
    <x v="6"/>
    <s v="GLG0097120"/>
    <d v="2019-06-13T20:34:55"/>
    <x v="3"/>
    <s v="Lot 157889"/>
    <n v="2522"/>
    <s v="M²"/>
    <n v="7.5"/>
    <n v="18915"/>
    <s v="PLN"/>
    <x v="0"/>
    <d v="2019-06-13T00:00:00"/>
    <x v="2"/>
  </r>
  <r>
    <s v="SO0002350"/>
    <s v="Domestic"/>
    <s v="362-000529"/>
    <x v="6"/>
    <s v="GLG0097120"/>
    <d v="2019-06-24T14:37:09"/>
    <x v="3"/>
    <s v="Lot 159758"/>
    <n v="7808.5"/>
    <s v="M²"/>
    <n v="7.5"/>
    <n v="58563.75"/>
    <s v="PLN"/>
    <x v="0"/>
    <d v="2019-06-24T00:00:00"/>
    <x v="2"/>
  </r>
  <r>
    <s v="SO0002352"/>
    <s v="IC-AX"/>
    <s v="362-000418"/>
    <x v="5"/>
    <s v="GLG0097120"/>
    <d v="2019-06-24T20:17:48"/>
    <x v="3"/>
    <s v="Lot 159846"/>
    <n v="-4268"/>
    <s v="M²"/>
    <n v="0.67"/>
    <n v="-2859.56"/>
    <s v="EUR"/>
    <x v="0"/>
    <d v="2019-06-24T00:00:00"/>
    <x v="2"/>
  </r>
  <r>
    <s v="SO0002367"/>
    <s v="Domestic"/>
    <s v="362-000620"/>
    <x v="6"/>
    <s v="GLG0097120"/>
    <d v="2019-07-03T17:32:16"/>
    <x v="4"/>
    <s v="Lot 162467"/>
    <n v="485"/>
    <s v="M²"/>
    <n v="8.3000000000000007"/>
    <n v="4025.5"/>
    <s v="PLN"/>
    <x v="0"/>
    <d v="2019-07-03T00:00:00"/>
    <x v="9"/>
  </r>
  <r>
    <s v="SO0002377"/>
    <s v="Domestic"/>
    <s v="362-000529"/>
    <x v="6"/>
    <s v="GLG0097120"/>
    <d v="2019-07-08T17:44:45"/>
    <x v="4"/>
    <s v="Lot 163106"/>
    <n v="970"/>
    <s v="M²"/>
    <n v="7.5"/>
    <n v="7275"/>
    <s v="PLN"/>
    <x v="0"/>
    <d v="2019-07-08T00:00:00"/>
    <x v="9"/>
  </r>
  <r>
    <s v="SO0002379"/>
    <s v="Domestic"/>
    <s v="362-000780"/>
    <x v="6"/>
    <s v="GLG0097120"/>
    <d v="2019-07-09T14:30:11"/>
    <x v="4"/>
    <s v="Lot 163130"/>
    <n v="485"/>
    <s v="M²"/>
    <n v="7.5"/>
    <n v="3637.5"/>
    <s v="PLN"/>
    <x v="0"/>
    <d v="2019-07-09T00:00:00"/>
    <x v="9"/>
  </r>
  <r>
    <s v="SO0002384"/>
    <s v="Domestic"/>
    <s v="362-000629"/>
    <x v="6"/>
    <s v="GLG0097120"/>
    <d v="2019-07-11T15:15:31"/>
    <x v="4"/>
    <s v="Lot 163936"/>
    <n v="436.5"/>
    <s v="M²"/>
    <n v="16.5"/>
    <n v="7202.25"/>
    <s v="PLN"/>
    <x v="0"/>
    <d v="2019-07-10T00:00:00"/>
    <x v="9"/>
  </r>
  <r>
    <s v="SO0002400"/>
    <s v="Domestic"/>
    <s v="362-000717"/>
    <x v="6"/>
    <s v="GLG0097120"/>
    <d v="2019-07-17T19:24:59"/>
    <x v="4"/>
    <s v="Lot 164899"/>
    <n v="533.5"/>
    <s v="M²"/>
    <n v="7.5"/>
    <n v="4001.25"/>
    <s v="PLN"/>
    <x v="0"/>
    <d v="2019-07-17T00:00:00"/>
    <x v="9"/>
  </r>
  <r>
    <s v="SO0002406"/>
    <s v="Domestic"/>
    <s v="362-000274"/>
    <x v="6"/>
    <s v="GLG0097120"/>
    <d v="2019-07-22T15:14:10"/>
    <x v="4"/>
    <s v="Lot 165348"/>
    <n v="48.5"/>
    <s v="M²"/>
    <n v="15.54"/>
    <n v="753.68999999999994"/>
    <s v="PLN"/>
    <x v="0"/>
    <d v="2019-07-18T00:00:00"/>
    <x v="9"/>
  </r>
  <r>
    <s v="SO0002409"/>
    <s v="Domestic"/>
    <s v="362-000518"/>
    <x v="6"/>
    <s v="GLG0097120"/>
    <d v="2019-07-22T17:47:12"/>
    <x v="4"/>
    <s v="Lot 165516"/>
    <n v="6062.5"/>
    <s v="M²"/>
    <n v="7"/>
    <n v="42437.5"/>
    <s v="PLN"/>
    <x v="0"/>
    <d v="2019-07-22T00:00:00"/>
    <x v="9"/>
  </r>
  <r>
    <s v="SO0002410"/>
    <s v="Domestic"/>
    <s v="362-000620"/>
    <x v="6"/>
    <s v="GLG0097120"/>
    <d v="2019-07-22T17:53:12"/>
    <x v="4"/>
    <s v="Lot 165559"/>
    <n v="1843"/>
    <s v="M²"/>
    <n v="7.7099999999999991"/>
    <n v="14209.529999999999"/>
    <s v="PLN"/>
    <x v="0"/>
    <d v="2019-07-22T00:00:00"/>
    <x v="9"/>
  </r>
  <r>
    <s v="SO0002419"/>
    <s v="Domestic"/>
    <s v="362-000139"/>
    <x v="6"/>
    <s v="GLG0097120"/>
    <d v="2019-07-25T16:02:27"/>
    <x v="4"/>
    <s v="Lot 166286"/>
    <n v="97"/>
    <s v="M²"/>
    <n v="11.52"/>
    <n v="1117.44"/>
    <s v="PLN"/>
    <x v="0"/>
    <d v="2019-07-25T00:00:00"/>
    <x v="9"/>
  </r>
  <r>
    <s v="SO0002434"/>
    <s v="Domestic"/>
    <s v="362-000383"/>
    <x v="6"/>
    <s v="GLG0097120"/>
    <d v="2019-08-01T15:39:14"/>
    <x v="9"/>
    <s v="Lot 167177"/>
    <n v="776"/>
    <s v="M²"/>
    <n v="7.75"/>
    <n v="6014"/>
    <s v="PLN"/>
    <x v="0"/>
    <d v="2019-08-01T00:00:00"/>
    <x v="3"/>
  </r>
  <r>
    <s v="SO0002441"/>
    <s v="Domestic"/>
    <s v="362-000744"/>
    <x v="6"/>
    <s v="GLG0097120"/>
    <d v="2019-08-01T16:19:43"/>
    <x v="9"/>
    <s v="Lot 167337"/>
    <n v="1212.5"/>
    <s v="M²"/>
    <n v="7"/>
    <n v="8487.5"/>
    <s v="PLN"/>
    <x v="0"/>
    <d v="2019-08-01T00:00:00"/>
    <x v="3"/>
  </r>
  <r>
    <s v="SO0002442"/>
    <s v="Domestic"/>
    <s v="362-000529"/>
    <x v="6"/>
    <s v="GLG0097120"/>
    <d v="2019-08-01T16:28:34"/>
    <x v="9"/>
    <s v="Lot 167339"/>
    <n v="2231"/>
    <s v="M²"/>
    <n v="7.5"/>
    <n v="16732.5"/>
    <s v="PLN"/>
    <x v="0"/>
    <d v="2019-08-01T00:00:00"/>
    <x v="3"/>
  </r>
  <r>
    <s v="SO0002467"/>
    <s v="Domestic"/>
    <s v="362-000558"/>
    <x v="6"/>
    <s v="GLG0097120"/>
    <d v="2019-08-09T15:10:17"/>
    <x v="9"/>
    <s v="Lot 168567"/>
    <n v="145.5"/>
    <s v="M²"/>
    <n v="7.82"/>
    <n v="1137.81"/>
    <s v="PLN"/>
    <x v="0"/>
    <d v="2019-08-09T00:00:00"/>
    <x v="3"/>
  </r>
  <r>
    <s v="SO0002470"/>
    <s v="Domestic"/>
    <s v="362-000494"/>
    <x v="6"/>
    <s v="GLG0097120"/>
    <d v="2019-08-09T17:55:32"/>
    <x v="9"/>
    <s v="Lot 168782"/>
    <n v="3492"/>
    <s v="M²"/>
    <n v="7.5"/>
    <n v="26190"/>
    <s v="PLN"/>
    <x v="0"/>
    <d v="2019-08-12T00:00:00"/>
    <x v="3"/>
  </r>
  <r>
    <s v="SO0002490"/>
    <s v="Domestic"/>
    <s v="362-000518"/>
    <x v="6"/>
    <s v="GLG0097120"/>
    <d v="2019-08-19T16:25:19"/>
    <x v="9"/>
    <s v="Lot 169838"/>
    <n v="582"/>
    <s v="M²"/>
    <n v="8.17"/>
    <n v="4754.9399999999996"/>
    <s v="PLN"/>
    <x v="0"/>
    <d v="2019-08-16T00:00:00"/>
    <x v="3"/>
  </r>
  <r>
    <s v="SO0002498"/>
    <s v="Domestic"/>
    <s v="362-000139"/>
    <x v="6"/>
    <s v="GLG0097120"/>
    <d v="2019-08-20T17:14:07"/>
    <x v="9"/>
    <s v="Lot 170197"/>
    <n v="873"/>
    <s v="M²"/>
    <n v="7.95"/>
    <n v="6940.35"/>
    <s v="PLN"/>
    <x v="0"/>
    <d v="2019-08-20T00:00:00"/>
    <x v="3"/>
  </r>
  <r>
    <s v="SO0002501"/>
    <s v="Domestic"/>
    <s v="362-000540"/>
    <x v="6"/>
    <s v="GLG0097120"/>
    <d v="2019-08-21T17:22:41"/>
    <x v="9"/>
    <s v="Lot 170427"/>
    <n v="1552"/>
    <s v="M²"/>
    <n v="7.5"/>
    <n v="11640"/>
    <s v="PLN"/>
    <x v="0"/>
    <d v="2019-08-21T00:00:00"/>
    <x v="3"/>
  </r>
  <r>
    <s v="SO0002502"/>
    <s v="Domestic"/>
    <s v="362-000383"/>
    <x v="6"/>
    <s v="GLG0097120"/>
    <d v="2019-08-21T18:05:02"/>
    <x v="9"/>
    <s v="Lot 170428"/>
    <n v="679"/>
    <s v="M²"/>
    <n v="7.5"/>
    <n v="5092.5"/>
    <s v="PLN"/>
    <x v="0"/>
    <d v="2019-08-21T00:00:00"/>
    <x v="3"/>
  </r>
  <r>
    <s v="SO0002516"/>
    <s v="Domestic"/>
    <s v="362-000139"/>
    <x v="6"/>
    <s v="GLG0097120"/>
    <d v="2019-08-26T15:19:13"/>
    <x v="9"/>
    <s v="Lot 170909"/>
    <n v="97"/>
    <s v="M²"/>
    <n v="7.7299999999999995"/>
    <n v="749.81000000000006"/>
    <s v="PLN"/>
    <x v="0"/>
    <d v="2019-08-26T00:00:00"/>
    <x v="3"/>
  </r>
  <r>
    <s v="SO0002519"/>
    <s v="Domestic"/>
    <s v="362-000816"/>
    <x v="6"/>
    <s v="GLG0097120"/>
    <d v="2019-08-26T15:48:43"/>
    <x v="9"/>
    <s v="Lot 170914"/>
    <n v="582"/>
    <s v="M²"/>
    <n v="7.7200000000000006"/>
    <n v="4493.04"/>
    <s v="PLN"/>
    <x v="0"/>
    <d v="2019-08-16T00:00:00"/>
    <x v="3"/>
  </r>
  <r>
    <s v="SO0002558"/>
    <s v="Domestic"/>
    <s v="362-000613"/>
    <x v="6"/>
    <s v="GLG0097120"/>
    <d v="2019-09-11T19:57:14"/>
    <x v="5"/>
    <s v="Lot 173939"/>
    <n v="1406.5"/>
    <s v="M²"/>
    <n v="7.5"/>
    <n v="10548.75"/>
    <s v="PLN"/>
    <x v="0"/>
    <d v="2019-09-10T00:00:00"/>
    <x v="7"/>
  </r>
  <r>
    <s v="SO0002559"/>
    <s v="Domestic"/>
    <s v="362-000497"/>
    <x v="6"/>
    <s v="GLG0097120"/>
    <d v="2019-09-11T20:11:31"/>
    <x v="5"/>
    <s v="Lot 173942"/>
    <n v="1794.5"/>
    <s v="M²"/>
    <n v="7.5"/>
    <n v="13458.75"/>
    <s v="PLN"/>
    <x v="0"/>
    <d v="2019-09-10T00:00:00"/>
    <x v="7"/>
  </r>
  <r>
    <s v="SO0002564"/>
    <s v="Domestic"/>
    <s v="362-000765"/>
    <x v="6"/>
    <s v="GLG0097120"/>
    <d v="2019-09-12T15:50:44"/>
    <x v="5"/>
    <s v="Lot 174034"/>
    <n v="485"/>
    <s v="M²"/>
    <n v="8.23"/>
    <n v="3991.55"/>
    <s v="PLN"/>
    <x v="0"/>
    <d v="2019-09-11T00:00:00"/>
    <x v="7"/>
  </r>
  <r>
    <s v="SO0002568"/>
    <s v="Domestic"/>
    <s v="362-000652"/>
    <x v="6"/>
    <s v="GLG0097120"/>
    <d v="2019-09-12T16:35:29"/>
    <x v="5"/>
    <s v="Lot 174255"/>
    <n v="4656"/>
    <s v="M²"/>
    <n v="7.5"/>
    <n v="34920"/>
    <s v="PLN"/>
    <x v="0"/>
    <d v="2019-09-11T00:00:00"/>
    <x v="7"/>
  </r>
  <r>
    <s v="SO0002573"/>
    <s v="Domestic"/>
    <s v="362-000274"/>
    <x v="6"/>
    <s v="GLG0097120"/>
    <d v="2019-09-16T15:38:52"/>
    <x v="5"/>
    <s v="Lot 174750"/>
    <n v="145.5"/>
    <s v="M²"/>
    <n v="10.18"/>
    <n v="1481.19"/>
    <s v="PLN"/>
    <x v="0"/>
    <d v="2019-09-16T00:00:00"/>
    <x v="7"/>
  </r>
  <r>
    <s v="SO0002589"/>
    <s v="Domestic"/>
    <s v="362-000139"/>
    <x v="6"/>
    <s v="GLG0097120"/>
    <d v="2019-09-20T16:21:50"/>
    <x v="5"/>
    <s v="Lot 175741"/>
    <n v="5917"/>
    <s v="M²"/>
    <n v="7"/>
    <n v="41419"/>
    <s v="PLN"/>
    <x v="0"/>
    <d v="2019-09-19T00:00:00"/>
    <x v="7"/>
  </r>
  <r>
    <s v="SO0002596"/>
    <s v="Domestic"/>
    <s v="362-000493"/>
    <x v="6"/>
    <s v="GLG0097120"/>
    <d v="2019-09-24T15:57:07"/>
    <x v="5"/>
    <s v="Lot 176796"/>
    <n v="7808.5"/>
    <s v="M²"/>
    <n v="7.2"/>
    <n v="56221.2"/>
    <s v="PLN"/>
    <x v="0"/>
    <d v="2019-09-24T00:00:00"/>
    <x v="7"/>
  </r>
  <r>
    <s v="SO0002604"/>
    <s v="Domestic"/>
    <s v="362-000139"/>
    <x v="6"/>
    <s v="GLG0097120"/>
    <d v="2019-09-25T17:04:32"/>
    <x v="5"/>
    <s v="Lot 177020"/>
    <n v="242.5"/>
    <s v="M²"/>
    <n v="9.11"/>
    <n v="2209.1799999999998"/>
    <s v="PLN"/>
    <x v="0"/>
    <d v="2019-09-25T00:00:00"/>
    <x v="7"/>
  </r>
  <r>
    <s v="SO0002637"/>
    <s v="Domestic"/>
    <s v="362-000530"/>
    <x v="6"/>
    <s v="GLG0097120"/>
    <d v="2019-10-03T14:33:23"/>
    <x v="6"/>
    <s v="Lot 179896"/>
    <n v="97"/>
    <s v="M²"/>
    <n v="8.83"/>
    <n v="856.51"/>
    <s v="PLN"/>
    <x v="0"/>
    <d v="2019-10-02T00:00:00"/>
    <x v="5"/>
  </r>
  <r>
    <s v="SO0002655"/>
    <s v="Domestic"/>
    <s v="362-000493"/>
    <x v="6"/>
    <s v="GLG0097120"/>
    <d v="2019-10-08T15:22:38"/>
    <x v="6"/>
    <s v="Lot 181005"/>
    <n v="388"/>
    <s v="M²"/>
    <n v="7.2"/>
    <n v="2793.6"/>
    <s v="PLN"/>
    <x v="0"/>
    <d v="2019-10-08T00:00:00"/>
    <x v="5"/>
  </r>
  <r>
    <s v="SO0002659"/>
    <s v="Domestic"/>
    <s v="362-000713"/>
    <x v="6"/>
    <s v="GLG0097120"/>
    <d v="2019-10-09T18:39:38"/>
    <x v="6"/>
    <s v="Lot 181369"/>
    <n v="1212.5"/>
    <s v="M²"/>
    <n v="7.5"/>
    <n v="9093.75"/>
    <s v="PLN"/>
    <x v="0"/>
    <d v="2019-10-09T00:00:00"/>
    <x v="5"/>
  </r>
  <r>
    <s v="SO0002666"/>
    <s v="Domestic"/>
    <s v="362-000566"/>
    <x v="6"/>
    <s v="GLG0097120"/>
    <d v="2019-10-15T14:16:19"/>
    <x v="6"/>
    <s v="Lot 182157"/>
    <n v="2134"/>
    <s v="M²"/>
    <n v="7.5"/>
    <n v="16005"/>
    <s v="PLN"/>
    <x v="0"/>
    <d v="2019-10-15T00:00:00"/>
    <x v="5"/>
  </r>
  <r>
    <s v="SO0002673"/>
    <s v="Domestic"/>
    <s v="362-000624"/>
    <x v="6"/>
    <s v="GLG0097120"/>
    <d v="2019-10-21T18:17:07"/>
    <x v="6"/>
    <s v="Lot 183326"/>
    <n v="97"/>
    <s v="M²"/>
    <n v="7.5"/>
    <n v="727.5"/>
    <s v="PLN"/>
    <x v="0"/>
    <d v="2019-10-16T00:00:00"/>
    <x v="5"/>
  </r>
  <r>
    <s v="SO0002674"/>
    <s v="Domestic"/>
    <s v="362-000530"/>
    <x v="6"/>
    <s v="GLG0097120"/>
    <d v="2019-10-21T18:28:36"/>
    <x v="6"/>
    <s v="Lot 183328"/>
    <n v="97"/>
    <s v="M²"/>
    <n v="8.17"/>
    <n v="792.49"/>
    <s v="PLN"/>
    <x v="0"/>
    <d v="2019-10-17T00:00:00"/>
    <x v="5"/>
  </r>
  <r>
    <s v="SO0002679"/>
    <s v="Domestic"/>
    <s v="362-000383"/>
    <x v="6"/>
    <s v="GLG0097120"/>
    <d v="2019-10-21T19:13:25"/>
    <x v="6"/>
    <s v="Lot 183340"/>
    <n v="1018.5"/>
    <s v="M²"/>
    <n v="7.88"/>
    <n v="8025.78"/>
    <s v="PLN"/>
    <x v="0"/>
    <d v="2019-10-17T00:00:00"/>
    <x v="5"/>
  </r>
  <r>
    <s v="SO0002683"/>
    <s v="Domestic"/>
    <s v="362-000566"/>
    <x v="6"/>
    <s v="GLG0097120"/>
    <d v="2019-10-21T19:51:27"/>
    <x v="6"/>
    <s v="Lot 183352"/>
    <n v="2134"/>
    <s v="M²"/>
    <n v="7.5"/>
    <n v="16005"/>
    <s v="PLN"/>
    <x v="0"/>
    <d v="2019-10-16T00:00:00"/>
    <x v="5"/>
  </r>
  <r>
    <s v="SO0002695"/>
    <s v="IC-AX"/>
    <s v="362-000412"/>
    <x v="14"/>
    <s v="GLG0097120"/>
    <d v="2019-10-22T14:43:46"/>
    <x v="6"/>
    <s v="Lot 183371"/>
    <n v="-388"/>
    <s v="M²"/>
    <n v="0.67"/>
    <n v="-259.95999999999998"/>
    <s v="EUR"/>
    <x v="0"/>
    <d v="2019-10-22T00:00:00"/>
    <x v="5"/>
  </r>
  <r>
    <s v="SO0002700"/>
    <s v="Domestic"/>
    <s v="362-000383"/>
    <x v="6"/>
    <s v="GLG0097120"/>
    <d v="2019-10-22T16:43:18"/>
    <x v="6"/>
    <s v="Lot 183616"/>
    <n v="485"/>
    <s v="M²"/>
    <n v="7.94"/>
    <n v="3850.9"/>
    <s v="PLN"/>
    <x v="0"/>
    <d v="2019-10-22T00:00:00"/>
    <x v="5"/>
  </r>
  <r>
    <s v="SO0002735"/>
    <s v="IC-AX"/>
    <s v="362-000484"/>
    <x v="7"/>
    <s v="GLG0097120"/>
    <d v="2019-10-31T17:41:08"/>
    <x v="6"/>
    <s v="Lot 185264"/>
    <n v="-388"/>
    <s v="M²"/>
    <n v="0.67"/>
    <n v="-259.95999999999998"/>
    <s v="EUR"/>
    <x v="0"/>
    <d v="2019-10-31T00:00:00"/>
    <x v="5"/>
  </r>
  <r>
    <s v="SO0002744"/>
    <s v="Domestic"/>
    <s v="362-000543"/>
    <x v="6"/>
    <s v="GLG0097120"/>
    <d v="2019-11-04T19:28:06"/>
    <x v="10"/>
    <s v="Lot 185567"/>
    <n v="2667.5"/>
    <s v="M²"/>
    <n v="7.5"/>
    <n v="20006.25"/>
    <s v="PLN"/>
    <x v="0"/>
    <d v="2019-11-04T00:00:00"/>
    <x v="10"/>
  </r>
  <r>
    <s v="SO0002754"/>
    <s v="Domestic"/>
    <s v="362-000563"/>
    <x v="6"/>
    <s v="GLG0097120"/>
    <d v="2019-11-06T17:12:27"/>
    <x v="10"/>
    <s v="Lot 185989"/>
    <n v="2037"/>
    <s v="M²"/>
    <n v="7"/>
    <n v="14259"/>
    <s v="PLN"/>
    <x v="0"/>
    <d v="2019-11-06T00:00:00"/>
    <x v="10"/>
  </r>
  <r>
    <s v="SO0002759"/>
    <s v="Domestic"/>
    <s v="362-000530"/>
    <x v="6"/>
    <s v="GLG0097120"/>
    <d v="2019-11-07T19:08:18"/>
    <x v="10"/>
    <s v="Lot 186196"/>
    <n v="145.5"/>
    <s v="M²"/>
    <n v="10.18"/>
    <n v="1481.19"/>
    <s v="PLN"/>
    <x v="0"/>
    <d v="2019-11-07T00:00:00"/>
    <x v="10"/>
  </r>
  <r>
    <s v="SO0002760"/>
    <s v="Domestic"/>
    <s v="362-000717"/>
    <x v="6"/>
    <s v="GLG0097120"/>
    <d v="2019-11-12T16:05:52"/>
    <x v="10"/>
    <s v="Lot 186320"/>
    <n v="2085.5"/>
    <s v="M²"/>
    <n v="7.5"/>
    <n v="15641.25"/>
    <s v="PLN"/>
    <x v="0"/>
    <d v="2019-11-08T00:00:00"/>
    <x v="10"/>
  </r>
  <r>
    <s v="SO0002762"/>
    <s v="Domestic"/>
    <s v="362-000493"/>
    <x v="6"/>
    <s v="GLG0097120"/>
    <d v="2019-11-07T19:26:10"/>
    <x v="10"/>
    <s v="Lot 186203"/>
    <n v="2425"/>
    <s v="M²"/>
    <n v="7"/>
    <n v="16975"/>
    <s v="PLN"/>
    <x v="0"/>
    <d v="2019-11-07T00:00:00"/>
    <x v="10"/>
  </r>
  <r>
    <s v="SO0002765"/>
    <s v="Domestic"/>
    <s v="362-000274"/>
    <x v="6"/>
    <s v="GLG0097120"/>
    <d v="2019-11-12T16:45:29"/>
    <x v="10"/>
    <s v="Lot 186489"/>
    <n v="48.5"/>
    <s v="M²"/>
    <n v="15.54"/>
    <n v="753.68999999999994"/>
    <s v="PLN"/>
    <x v="0"/>
    <d v="2019-11-08T00:00:00"/>
    <x v="10"/>
  </r>
  <r>
    <s v="SO0002782"/>
    <s v="Domestic"/>
    <s v="362-000139"/>
    <x v="6"/>
    <s v="GLG0097120"/>
    <d v="2019-11-21T14:46:10"/>
    <x v="10"/>
    <s v="Lot 188059"/>
    <n v="145.5"/>
    <s v="M²"/>
    <n v="7.8900000000000006"/>
    <n v="1148"/>
    <s v="PLN"/>
    <x v="0"/>
    <d v="2019-11-19T00:00:00"/>
    <x v="10"/>
  </r>
  <r>
    <s v="SO0002798"/>
    <s v="Domestic"/>
    <s v="362-000530"/>
    <x v="6"/>
    <s v="GLG0097120"/>
    <d v="2019-11-27T14:43:17"/>
    <x v="10"/>
    <s v="Lot 188914"/>
    <n v="194"/>
    <s v="M²"/>
    <n v="8.5"/>
    <n v="1649"/>
    <s v="PLN"/>
    <x v="0"/>
    <d v="2019-11-26T00:00:00"/>
    <x v="10"/>
  </r>
  <r>
    <s v="SO0002804"/>
    <s v="Domestic"/>
    <s v="362-000531"/>
    <x v="6"/>
    <s v="GLG0097120"/>
    <d v="2019-11-27T16:53:35"/>
    <x v="10"/>
    <s v="Lot 189168"/>
    <n v="48.5"/>
    <s v="M²"/>
    <n v="11.62"/>
    <n v="563.56999999999994"/>
    <s v="PLN"/>
    <x v="0"/>
    <d v="2019-11-27T00:00:00"/>
    <x v="10"/>
  </r>
  <r>
    <s v="SO0002813"/>
    <s v="Domestic"/>
    <s v="362-000753"/>
    <x v="6"/>
    <s v="GLG0097120"/>
    <d v="2019-11-29T19:52:02"/>
    <x v="10"/>
    <s v="Lot 189455"/>
    <n v="727.5"/>
    <s v="M²"/>
    <n v="8.57"/>
    <n v="6234.68"/>
    <s v="PLN"/>
    <x v="0"/>
    <d v="2019-12-02T00:00:00"/>
    <x v="11"/>
  </r>
  <r>
    <s v="SO0002814"/>
    <s v="Domestic"/>
    <s v="362-000493"/>
    <x v="6"/>
    <s v="GLG0097120"/>
    <d v="2019-12-02T15:04:27"/>
    <x v="11"/>
    <s v="Lot 189573"/>
    <n v="3880"/>
    <s v="M²"/>
    <n v="7"/>
    <n v="27160"/>
    <s v="PLN"/>
    <x v="0"/>
    <d v="2019-12-02T00:00:00"/>
    <x v="11"/>
  </r>
  <r>
    <s v="SO0002818"/>
    <s v="Domestic"/>
    <s v="362-000624"/>
    <x v="6"/>
    <s v="GLG0097120"/>
    <d v="2019-12-02T15:47:32"/>
    <x v="11"/>
    <s v="Lot 189578"/>
    <n v="339.5"/>
    <s v="M²"/>
    <n v="7.5"/>
    <n v="2546.25"/>
    <s v="PLN"/>
    <x v="0"/>
    <d v="2019-12-02T00:00:00"/>
    <x v="11"/>
  </r>
  <r>
    <s v="SO0002827"/>
    <s v="IC-AX"/>
    <s v="362-000418"/>
    <x v="5"/>
    <s v="GLG0097120"/>
    <d v="2019-12-04T17:23:03"/>
    <x v="11"/>
    <s v="Lot 190179"/>
    <n v="-31040"/>
    <s v="M²"/>
    <n v="0.67"/>
    <n v="-20796.8"/>
    <s v="EUR"/>
    <x v="0"/>
    <d v="2019-11-30T00:00:00"/>
    <x v="10"/>
  </r>
  <r>
    <s v="SO0002827"/>
    <s v="IC-AX"/>
    <s v="362-000418"/>
    <x v="5"/>
    <s v="GLG0097120"/>
    <d v="2019-12-04T17:23:50"/>
    <x v="11"/>
    <s v="Lot 190181"/>
    <n v="31040"/>
    <s v="M²"/>
    <n v="0.67"/>
    <n v="20796.8"/>
    <s v="EUR"/>
    <x v="0"/>
    <d v="2019-11-30T00:00:00"/>
    <x v="10"/>
  </r>
  <r>
    <s v="360364ApP0000663"/>
    <s v="IC-AX"/>
    <s v="362-000418"/>
    <x v="0"/>
    <s v="GLG0097120GV"/>
    <d v="2019-02-27T18:51:59"/>
    <x v="0"/>
    <s v="Lot 142701"/>
    <n v="3880"/>
    <s v="M²"/>
    <n v="0.64"/>
    <n v="2483.1999999999998"/>
    <s v="EUR"/>
    <x v="0"/>
    <d v="2019-03-04T00:00:00"/>
    <x v="0"/>
  </r>
  <r>
    <s v="360364ApP0000699"/>
    <s v="IC-AX"/>
    <s v="362-000418"/>
    <x v="0"/>
    <s v="GLG0097120GV"/>
    <d v="2019-03-29T20:00:53"/>
    <x v="7"/>
    <s v="Lot 148338"/>
    <n v="7760"/>
    <s v="M²"/>
    <n v="0.64"/>
    <n v="4966.3999999999996"/>
    <s v="EUR"/>
    <x v="0"/>
    <d v="2019-04-08T00:00:00"/>
    <x v="6"/>
  </r>
  <r>
    <s v="360364ApP0000785"/>
    <s v="IC-AX"/>
    <s v="362-000418"/>
    <x v="0"/>
    <s v="GLG0097120GV"/>
    <d v="2019-07-18T17:43:21"/>
    <x v="4"/>
    <s v="Lot 165088"/>
    <n v="5820"/>
    <s v="M²"/>
    <n v="0.64"/>
    <n v="3724.8"/>
    <s v="EUR"/>
    <x v="0"/>
    <d v="2019-08-05T00:00:00"/>
    <x v="3"/>
  </r>
  <r>
    <s v="360364ApP0000831"/>
    <s v="IC-AX"/>
    <s v="362-000418"/>
    <x v="0"/>
    <s v="GLG0097120GV"/>
    <d v="2019-09-23T20:06:15"/>
    <x v="5"/>
    <s v="Lot 176592"/>
    <n v="3880"/>
    <s v="M²"/>
    <n v="0.64"/>
    <n v="2483.1999999999998"/>
    <s v="EUR"/>
    <x v="0"/>
    <d v="2019-10-07T00:00:00"/>
    <x v="5"/>
  </r>
  <r>
    <s v="360364ApP0000855"/>
    <s v="IC-AX"/>
    <s v="362-000418"/>
    <x v="0"/>
    <s v="GLG0097120GV"/>
    <d v="2019-10-24T17:51:40"/>
    <x v="6"/>
    <s v="Lot 183940"/>
    <n v="1940"/>
    <s v="M²"/>
    <n v="0.64"/>
    <n v="1241.5999999999999"/>
    <s v="EUR"/>
    <x v="0"/>
    <d v="2019-10-28T00:00:00"/>
    <x v="5"/>
  </r>
  <r>
    <s v="360365ApP0000640"/>
    <s v="IC-AX"/>
    <s v="362-000418"/>
    <x v="1"/>
    <s v="GLG0097120GV"/>
    <d v="2019-06-07T18:57:18"/>
    <x v="3"/>
    <s v="Lot 157114"/>
    <n v="2134"/>
    <s v="M²"/>
    <n v="0.64"/>
    <n v="1365.76"/>
    <s v="EUR"/>
    <x v="0"/>
    <d v="2019-06-17T00:00:00"/>
    <x v="2"/>
  </r>
  <r>
    <s v="360365ApP0000645"/>
    <s v="IC-AX"/>
    <s v="362-000418"/>
    <x v="1"/>
    <s v="GLG0097120GV"/>
    <d v="2019-06-24T22:57:40"/>
    <x v="3"/>
    <s v="Lot 159851"/>
    <n v="2134"/>
    <s v="M²"/>
    <n v="0.64"/>
    <n v="1365.76"/>
    <s v="EUR"/>
    <x v="0"/>
    <d v="2019-06-25T00:00:00"/>
    <x v="2"/>
  </r>
  <r>
    <s v="SO0002206"/>
    <s v="Domestic"/>
    <s v="362-000566"/>
    <x v="6"/>
    <s v="GLG0097120GV"/>
    <d v="2019-03-11T20:45:33"/>
    <x v="7"/>
    <s v="Lot 144331"/>
    <n v="48.5"/>
    <s v="M²"/>
    <n v="10.66"/>
    <n v="517.01"/>
    <s v="PLN"/>
    <x v="0"/>
    <d v="2019-03-11T00:00:00"/>
    <x v="0"/>
  </r>
  <r>
    <s v="SO0002352"/>
    <s v="IC-AX"/>
    <s v="362-000418"/>
    <x v="5"/>
    <s v="GLG0097120GV"/>
    <d v="2019-06-24T20:17:48"/>
    <x v="3"/>
    <s v="Lot 159847"/>
    <n v="-2134"/>
    <s v="M²"/>
    <n v="0.64"/>
    <n v="-1365.76"/>
    <s v="EUR"/>
    <x v="0"/>
    <d v="2019-06-24T00:00:00"/>
    <x v="2"/>
  </r>
  <r>
    <s v="SO0002389"/>
    <s v="Domestic"/>
    <s v="362-000518"/>
    <x v="6"/>
    <s v="GLG0097120GV"/>
    <d v="2019-07-12T19:53:57"/>
    <x v="4"/>
    <s v="Lot 164273"/>
    <n v="1503.5"/>
    <s v="M²"/>
    <n v="7"/>
    <n v="10524.5"/>
    <s v="PLN"/>
    <x v="0"/>
    <d v="2019-07-12T00:00:00"/>
    <x v="9"/>
  </r>
  <r>
    <s v="SO0002623"/>
    <s v="Domestic"/>
    <s v="362-000717"/>
    <x v="6"/>
    <s v="GLG0097120GV"/>
    <d v="2019-10-02T20:27:09"/>
    <x v="6"/>
    <s v="Lot 179857"/>
    <n v="582"/>
    <s v="M²"/>
    <n v="7.5"/>
    <n v="4365"/>
    <s v="PLN"/>
    <x v="0"/>
    <d v="2019-10-01T00:00:00"/>
    <x v="5"/>
  </r>
  <r>
    <s v="SO0002767"/>
    <s v="Domestic"/>
    <s v="362-000518"/>
    <x v="6"/>
    <s v="GLG0097120GV"/>
    <d v="2019-11-13T15:32:46"/>
    <x v="10"/>
    <s v="Lot 186653"/>
    <n v="2037"/>
    <s v="M²"/>
    <n v="7.5"/>
    <n v="15277.5"/>
    <s v="PLN"/>
    <x v="0"/>
    <d v="2019-11-12T00:00:00"/>
    <x v="10"/>
  </r>
  <r>
    <s v="360364ApP0000681"/>
    <s v="IC-AX"/>
    <s v="362-000418"/>
    <x v="15"/>
    <s v="GLG0097200GV"/>
    <d v="2019-03-08T17:41:40"/>
    <x v="7"/>
    <s v="Lot 144204"/>
    <n v="12610"/>
    <s v="M²"/>
    <n v="0.75"/>
    <n v="9457.5"/>
    <s v="EUR"/>
    <x v="0"/>
    <d v="2019-03-12T00:00:00"/>
    <x v="0"/>
  </r>
  <r>
    <s v="360364ApP0000697"/>
    <s v="IC-AX"/>
    <s v="362-000418"/>
    <x v="0"/>
    <s v="GLG0097200GV"/>
    <d v="2019-03-29T19:59:34"/>
    <x v="7"/>
    <s v="Lot 148334"/>
    <n v="7275"/>
    <s v="M²"/>
    <n v="0.75"/>
    <n v="5456.25"/>
    <s v="EUR"/>
    <x v="0"/>
    <d v="2019-04-08T00:00:00"/>
    <x v="6"/>
  </r>
  <r>
    <s v="360364ApP0000721"/>
    <s v="IC-AX"/>
    <s v="362-000418"/>
    <x v="15"/>
    <s v="GLG0097200GV"/>
    <d v="2019-04-29T15:44:11"/>
    <x v="1"/>
    <s v="Lot 151187"/>
    <n v="7275"/>
    <s v="M²"/>
    <n v="0.75"/>
    <n v="5456.25"/>
    <s v="EUR"/>
    <x v="0"/>
    <d v="2019-05-06T00:00:00"/>
    <x v="1"/>
  </r>
  <r>
    <s v="360364ApP0000727"/>
    <s v="IC-AX"/>
    <s v="362-000418"/>
    <x v="13"/>
    <s v="GLG0097200GV"/>
    <d v="2019-04-30T21:48:22"/>
    <x v="1"/>
    <s v="Lot 151441"/>
    <n v="10670"/>
    <s v="M²"/>
    <n v="0.75"/>
    <n v="8002.5"/>
    <s v="EUR"/>
    <x v="0"/>
    <d v="2019-05-06T00:00:00"/>
    <x v="1"/>
  </r>
  <r>
    <s v="360364ApP0000747"/>
    <s v="IC-AX"/>
    <s v="362-000418"/>
    <x v="0"/>
    <s v="GLG0097200GV"/>
    <d v="2019-05-23T17:47:40"/>
    <x v="2"/>
    <s v="Lot 154530"/>
    <n v="2910"/>
    <s v="M²"/>
    <n v="0.75"/>
    <n v="2182.5"/>
    <s v="EUR"/>
    <x v="0"/>
    <d v="2019-06-03T00:00:00"/>
    <x v="2"/>
  </r>
  <r>
    <s v="360364ApP0000756"/>
    <s v="IC-AX"/>
    <s v="362-000418"/>
    <x v="0"/>
    <s v="GLG0097200GV"/>
    <d v="2019-06-04T17:05:07"/>
    <x v="3"/>
    <s v="Lot 155755"/>
    <n v="8730"/>
    <s v="M²"/>
    <n v="0.75"/>
    <n v="6547.5"/>
    <s v="EUR"/>
    <x v="0"/>
    <d v="2019-07-01T00:00:00"/>
    <x v="9"/>
  </r>
  <r>
    <s v="360364ApP0000779"/>
    <s v="IC-AX"/>
    <s v="362-000418"/>
    <x v="0"/>
    <s v="GLG0097200GV"/>
    <d v="2019-07-11T15:00:58"/>
    <x v="4"/>
    <s v="Lot 163869"/>
    <n v="8730"/>
    <s v="M²"/>
    <n v="0.75"/>
    <n v="6547.5"/>
    <s v="EUR"/>
    <x v="0"/>
    <d v="2019-07-11T00:00:00"/>
    <x v="9"/>
  </r>
  <r>
    <s v="360364ApP0000789"/>
    <s v="IC-AX"/>
    <s v="362-000418"/>
    <x v="15"/>
    <s v="GLG0097200GV"/>
    <d v="2019-07-22T13:12:50"/>
    <x v="4"/>
    <s v="Lot 165316"/>
    <n v="10767"/>
    <s v="M²"/>
    <n v="0.75"/>
    <n v="8075.25"/>
    <s v="EUR"/>
    <x v="0"/>
    <d v="2019-08-05T00:00:00"/>
    <x v="3"/>
  </r>
  <r>
    <s v="SO0002380"/>
    <s v="IC-AX"/>
    <s v="362-000418"/>
    <x v="0"/>
    <s v="GLG0097200GV"/>
    <d v="2019-07-09T14:54:31"/>
    <x v="4"/>
    <s v="Lot 163139"/>
    <n v="-8730"/>
    <s v="M²"/>
    <n v="0.75"/>
    <n v="-6547.5"/>
    <s v="EUR"/>
    <x v="0"/>
    <d v="2019-07-09T00:00:00"/>
    <x v="9"/>
  </r>
  <r>
    <s v="360366ApP0000348"/>
    <s v="IC-AX"/>
    <s v="362-000418"/>
    <x v="2"/>
    <s v="GLG009765"/>
    <d v="2019-07-10T22:28:22"/>
    <x v="4"/>
    <s v="Lot 163864"/>
    <n v="5820"/>
    <s v="M²"/>
    <n v="0.49"/>
    <n v="2851.8"/>
    <s v="EUR"/>
    <x v="0"/>
    <d v="2019-07-15T00:00:00"/>
    <x v="9"/>
  </r>
  <r>
    <s v="360363ApP0000599"/>
    <s v="IC-AX"/>
    <s v="362-000412"/>
    <x v="7"/>
    <s v="GLG0150120"/>
    <d v="2019-04-17T21:10:34"/>
    <x v="1"/>
    <s v="Lot 150987"/>
    <n v="300"/>
    <s v="M²"/>
    <n v="0.71"/>
    <n v="213"/>
    <s v="EUR"/>
    <x v="0"/>
    <d v="2019-04-18T00:00:00"/>
    <x v="6"/>
  </r>
  <r>
    <s v="360363ApP0000638"/>
    <s v="IC-AX"/>
    <s v="362-000412"/>
    <x v="7"/>
    <s v="GLG0150120"/>
    <d v="2019-06-25T15:52:31"/>
    <x v="3"/>
    <s v="Lot 159929"/>
    <n v="3000"/>
    <s v="M²"/>
    <n v="0.71"/>
    <n v="2130"/>
    <s v="EUR"/>
    <x v="0"/>
    <d v="2019-06-26T00:00:00"/>
    <x v="2"/>
  </r>
  <r>
    <s v="360363ApP0000682"/>
    <s v="IC-AX"/>
    <s v="362-000412"/>
    <x v="7"/>
    <s v="GLG0150120"/>
    <d v="2019-08-05T16:32:10"/>
    <x v="9"/>
    <s v="Lot 167818"/>
    <n v="7875"/>
    <s v="M²"/>
    <n v="0.71"/>
    <n v="5591.25"/>
    <s v="EUR"/>
    <x v="0"/>
    <d v="2019-08-09T00:00:00"/>
    <x v="3"/>
  </r>
  <r>
    <s v="360364ApP0000855"/>
    <s v="IC-AX"/>
    <s v="362-000418"/>
    <x v="0"/>
    <s v="GLG0150120"/>
    <d v="2019-10-24T17:51:41"/>
    <x v="6"/>
    <s v="Lot 183941"/>
    <n v="3000"/>
    <s v="M²"/>
    <n v="0.72"/>
    <n v="2160"/>
    <s v="EUR"/>
    <x v="0"/>
    <d v="2019-10-28T00:00:00"/>
    <x v="5"/>
  </r>
  <r>
    <s v="360369ApP0000602"/>
    <s v="IC-AX"/>
    <s v="362-000418"/>
    <x v="4"/>
    <s v="GLG0150120"/>
    <d v="2019-08-19T19:17:10"/>
    <x v="9"/>
    <s v="Lot 169977"/>
    <n v="3000"/>
    <s v="M²"/>
    <n v="0.71"/>
    <n v="2130"/>
    <s v="EUR"/>
    <x v="0"/>
    <d v="2019-09-02T00:00:00"/>
    <x v="7"/>
  </r>
  <r>
    <s v="360369ApP0000616"/>
    <s v="IC-AX"/>
    <s v="362-000418"/>
    <x v="8"/>
    <s v="GLG0150120"/>
    <d v="2019-09-16T17:07:47"/>
    <x v="5"/>
    <s v="Lot 174959"/>
    <n v="1500"/>
    <s v="M²"/>
    <n v="0.71"/>
    <n v="1065"/>
    <s v="EUR"/>
    <x v="0"/>
    <d v="2019-09-24T00:00:00"/>
    <x v="7"/>
  </r>
  <r>
    <s v="360369ApP0000637"/>
    <s v="IC-AX"/>
    <s v="362-000418"/>
    <x v="8"/>
    <s v="GLG0150120"/>
    <d v="2019-10-04T17:45:33"/>
    <x v="6"/>
    <s v="Lot 180586"/>
    <n v="1500"/>
    <s v="M²"/>
    <n v="0.72"/>
    <n v="1080"/>
    <s v="EUR"/>
    <x v="0"/>
    <d v="2019-10-08T00:00:00"/>
    <x v="5"/>
  </r>
  <r>
    <s v="360ApP0004940"/>
    <s v="IC-AX"/>
    <s v="362-000413"/>
    <x v="5"/>
    <s v="GLG0150120"/>
    <d v="2019-12-09T21:00:55"/>
    <x v="11"/>
    <s v="Lot 190785"/>
    <n v="1500"/>
    <s v="M²"/>
    <n v="0.72"/>
    <n v="1080"/>
    <s v="EUR"/>
    <x v="0"/>
    <d v="2020-01-17T00:00:00"/>
    <x v="12"/>
  </r>
  <r>
    <s v="360SO0007705"/>
    <s v="IC-AX"/>
    <s v="362-000413"/>
    <x v="9"/>
    <s v="GLG0150120"/>
    <d v="2019-02-11T23:18:30"/>
    <x v="0"/>
    <s v="Lot 139750"/>
    <n v="4500"/>
    <s v="M²"/>
    <n v="0.68"/>
    <n v="3060"/>
    <s v="EUR"/>
    <x v="0"/>
    <d v="2019-02-13T00:00:00"/>
    <x v="4"/>
  </r>
  <r>
    <s v="SO0002173"/>
    <s v="Domestic"/>
    <s v="362-000773"/>
    <x v="6"/>
    <s v="GLG0150120"/>
    <d v="2019-01-17T19:31:35"/>
    <x v="8"/>
    <s v="Lot 136058"/>
    <n v="75"/>
    <s v="M²"/>
    <n v="7.5"/>
    <n v="562.5"/>
    <s v="PLN"/>
    <x v="0"/>
    <d v="2019-01-16T00:00:00"/>
    <x v="8"/>
  </r>
  <r>
    <s v="SO0002176"/>
    <s v="Domestic"/>
    <s v="362-000383"/>
    <x v="6"/>
    <s v="GLG0150120"/>
    <d v="2019-01-24T16:14:56"/>
    <x v="8"/>
    <s v="Lot 136515"/>
    <n v="225"/>
    <s v="M²"/>
    <n v="7.05"/>
    <n v="1586.25"/>
    <s v="PLN"/>
    <x v="0"/>
    <d v="2019-01-24T00:00:00"/>
    <x v="8"/>
  </r>
  <r>
    <s v="SO0002178"/>
    <s v="Domestic"/>
    <s v="362-000383"/>
    <x v="6"/>
    <s v="GLG0150120"/>
    <d v="2019-01-25T15:08:00"/>
    <x v="8"/>
    <s v="Lot 137305"/>
    <n v="-225"/>
    <s v="M²"/>
    <n v="7.05"/>
    <n v="-1586.25"/>
    <s v="PLN"/>
    <x v="0"/>
    <d v="2019-01-25T00:00:00"/>
    <x v="8"/>
  </r>
  <r>
    <s v="SO0002179"/>
    <s v="Domestic"/>
    <s v="362-000383"/>
    <x v="6"/>
    <s v="GLG0150120"/>
    <d v="2019-01-25T15:11:20"/>
    <x v="8"/>
    <s v="Lot 137307"/>
    <n v="225"/>
    <s v="M²"/>
    <n v="8.0500000000000007"/>
    <n v="1811.25"/>
    <s v="PLN"/>
    <x v="0"/>
    <d v="2019-01-25T00:00:00"/>
    <x v="8"/>
  </r>
  <r>
    <s v="SO0002209"/>
    <s v="Domestic"/>
    <s v="362-000139"/>
    <x v="6"/>
    <s v="GLG0150120"/>
    <d v="2019-03-13T15:29:33"/>
    <x v="7"/>
    <s v="Lot 144621"/>
    <n v="1500"/>
    <s v="M²"/>
    <n v="7.5"/>
    <n v="11250"/>
    <s v="PLN"/>
    <x v="0"/>
    <d v="2019-03-12T00:00:00"/>
    <x v="0"/>
  </r>
  <r>
    <s v="SO0002220"/>
    <s v="Domestic"/>
    <s v="362-000781"/>
    <x v="6"/>
    <s v="GLG0150120"/>
    <d v="2019-03-27T16:06:09"/>
    <x v="7"/>
    <s v="Lot 146395"/>
    <n v="225"/>
    <s v="M²"/>
    <n v="9.23"/>
    <n v="2076.75"/>
    <s v="PLN"/>
    <x v="0"/>
    <d v="2019-03-26T00:00:00"/>
    <x v="0"/>
  </r>
  <r>
    <s v="SO0002237"/>
    <s v="Domestic"/>
    <s v="362-000783"/>
    <x v="6"/>
    <s v="GLG0150120"/>
    <d v="2019-04-09T15:22:39"/>
    <x v="1"/>
    <s v="Lot 149577"/>
    <n v="2700"/>
    <s v="M²"/>
    <n v="7.5"/>
    <n v="20250"/>
    <s v="PLN"/>
    <x v="0"/>
    <d v="2019-04-08T00:00:00"/>
    <x v="6"/>
  </r>
  <r>
    <s v="SO0002248"/>
    <s v="Domestic"/>
    <s v="362-000545"/>
    <x v="6"/>
    <s v="GLG0150120"/>
    <d v="2019-04-16T14:16:39"/>
    <x v="1"/>
    <s v="Lot 150618"/>
    <n v="975"/>
    <s v="M²"/>
    <n v="7.5"/>
    <n v="7312.5"/>
    <s v="PLN"/>
    <x v="0"/>
    <d v="2019-04-16T00:00:00"/>
    <x v="6"/>
  </r>
  <r>
    <s v="SO0002283"/>
    <s v="Domestic"/>
    <s v="362-000508"/>
    <x v="6"/>
    <s v="GLG0150120"/>
    <d v="2019-05-13T19:18:36"/>
    <x v="2"/>
    <s v="Lot 152553"/>
    <n v="6000"/>
    <s v="M²"/>
    <n v="7"/>
    <n v="42000"/>
    <s v="PLN"/>
    <x v="0"/>
    <d v="2019-05-13T00:00:00"/>
    <x v="1"/>
  </r>
  <r>
    <s v="SO0002283"/>
    <s v="Domestic"/>
    <s v="362-000508"/>
    <x v="6"/>
    <s v="GLG0150120"/>
    <d v="2019-05-14T18:15:02"/>
    <x v="2"/>
    <s v="Lot 152734"/>
    <n v="6000"/>
    <s v="M²"/>
    <n v="7"/>
    <n v="42000"/>
    <s v="PLN"/>
    <x v="0"/>
    <d v="2019-05-14T00:00:00"/>
    <x v="1"/>
  </r>
  <r>
    <s v="SO0002305"/>
    <s v="Domestic"/>
    <s v="362-000793"/>
    <x v="6"/>
    <s v="GLG0150120"/>
    <d v="2019-05-24T20:29:53"/>
    <x v="2"/>
    <s v="Lot 154847"/>
    <n v="2025"/>
    <s v="M²"/>
    <n v="6.5"/>
    <n v="13162.5"/>
    <s v="PLN"/>
    <x v="0"/>
    <d v="2019-05-24T00:00:00"/>
    <x v="1"/>
  </r>
  <r>
    <s v="SO0002324"/>
    <s v="Domestic"/>
    <s v="362-000643"/>
    <x v="6"/>
    <s v="GLG0150120"/>
    <d v="2019-06-05T17:54:43"/>
    <x v="3"/>
    <s v="Lot 156542"/>
    <n v="1800"/>
    <s v="M²"/>
    <n v="7.5"/>
    <n v="13500"/>
    <s v="PLN"/>
    <x v="0"/>
    <d v="2019-06-05T00:00:00"/>
    <x v="2"/>
  </r>
  <r>
    <s v="SO0002332"/>
    <s v="Domestic"/>
    <s v="362-000721"/>
    <x v="6"/>
    <s v="GLG0150120"/>
    <d v="2019-06-11T15:09:00"/>
    <x v="3"/>
    <s v="Lot 157341"/>
    <n v="900"/>
    <s v="M²"/>
    <n v="7.76"/>
    <n v="6984"/>
    <s v="PLN"/>
    <x v="0"/>
    <d v="2019-06-11T00:00:00"/>
    <x v="2"/>
  </r>
  <r>
    <s v="SO0002361"/>
    <s v="Domestic"/>
    <s v="362-000540"/>
    <x v="6"/>
    <s v="GLG0150120"/>
    <d v="2019-07-02T14:53:16"/>
    <x v="4"/>
    <s v="Lot 161770"/>
    <n v="1350"/>
    <s v="M²"/>
    <n v="7.5"/>
    <n v="10125"/>
    <s v="PLN"/>
    <x v="0"/>
    <d v="2019-07-01T00:00:00"/>
    <x v="9"/>
  </r>
  <r>
    <s v="SO0002375"/>
    <s v="Domestic"/>
    <s v="362-000508"/>
    <x v="6"/>
    <s v="GLG0150120"/>
    <d v="2019-07-08T17:22:46"/>
    <x v="4"/>
    <s v="Lot 163087"/>
    <n v="2025"/>
    <s v="M²"/>
    <n v="7"/>
    <n v="14175"/>
    <s v="PLN"/>
    <x v="0"/>
    <d v="2019-07-08T00:00:00"/>
    <x v="9"/>
  </r>
  <r>
    <s v="SO0002409"/>
    <s v="Domestic"/>
    <s v="362-000518"/>
    <x v="6"/>
    <s v="GLG0150120"/>
    <d v="2019-07-22T17:47:43"/>
    <x v="4"/>
    <s v="Lot 165521"/>
    <n v="4650"/>
    <s v="M²"/>
    <n v="7"/>
    <n v="32550"/>
    <s v="PLN"/>
    <x v="0"/>
    <d v="2019-07-22T00:00:00"/>
    <x v="9"/>
  </r>
  <r>
    <s v="SO0002485"/>
    <s v="Domestic"/>
    <s v="362-000744"/>
    <x v="6"/>
    <s v="GLG0150120"/>
    <d v="2019-08-19T16:02:19"/>
    <x v="9"/>
    <s v="Lot 169800"/>
    <n v="2850"/>
    <s v="M²"/>
    <n v="7"/>
    <n v="19950"/>
    <s v="PLN"/>
    <x v="0"/>
    <d v="2019-08-16T00:00:00"/>
    <x v="3"/>
  </r>
  <r>
    <s v="SO0002516"/>
    <s v="Domestic"/>
    <s v="362-000139"/>
    <x v="6"/>
    <s v="GLG0150120"/>
    <d v="2019-08-26T15:19:39"/>
    <x v="9"/>
    <s v="Lot 170910"/>
    <n v="450"/>
    <s v="M²"/>
    <n v="7.7299999999999995"/>
    <n v="3478.5"/>
    <s v="PLN"/>
    <x v="0"/>
    <d v="2019-08-26T00:00:00"/>
    <x v="3"/>
  </r>
  <r>
    <s v="SO0002568"/>
    <s v="Domestic"/>
    <s v="362-000652"/>
    <x v="6"/>
    <s v="GLG0150120"/>
    <d v="2019-09-12T16:35:54"/>
    <x v="5"/>
    <s v="Lot 174256"/>
    <n v="14550"/>
    <s v="M²"/>
    <n v="7.5"/>
    <n v="109125"/>
    <s v="PLN"/>
    <x v="0"/>
    <d v="2019-09-11T00:00:00"/>
    <x v="7"/>
  </r>
  <r>
    <s v="SO0002569"/>
    <s v="Domestic"/>
    <s v="362-000508"/>
    <x v="6"/>
    <s v="GLG0150120"/>
    <d v="2019-09-12T19:07:07"/>
    <x v="5"/>
    <s v="Lot 174419"/>
    <n v="3000"/>
    <s v="M²"/>
    <n v="7"/>
    <n v="21000"/>
    <s v="PLN"/>
    <x v="0"/>
    <d v="2019-09-12T00:00:00"/>
    <x v="7"/>
  </r>
  <r>
    <s v="SO0002571"/>
    <s v="Domestic"/>
    <s v="362-000643"/>
    <x v="6"/>
    <s v="GLG0150120"/>
    <d v="2019-09-13T19:41:36"/>
    <x v="5"/>
    <s v="Lot 174674"/>
    <n v="4350"/>
    <s v="M²"/>
    <n v="7.5"/>
    <n v="32625"/>
    <s v="PLN"/>
    <x v="0"/>
    <d v="2019-09-13T00:00:00"/>
    <x v="7"/>
  </r>
  <r>
    <s v="SO0002589"/>
    <s v="Domestic"/>
    <s v="362-000139"/>
    <x v="6"/>
    <s v="GLG0150120"/>
    <d v="2019-09-20T16:22:06"/>
    <x v="5"/>
    <s v="Lot 175753"/>
    <n v="2025"/>
    <s v="M²"/>
    <n v="7"/>
    <n v="14175"/>
    <s v="PLN"/>
    <x v="0"/>
    <d v="2019-09-19T00:00:00"/>
    <x v="7"/>
  </r>
  <r>
    <s v="SO0002623"/>
    <s v="Domestic"/>
    <s v="362-000717"/>
    <x v="6"/>
    <s v="GLG0150120"/>
    <d v="2019-10-02T20:26:51"/>
    <x v="6"/>
    <s v="Lot 179856"/>
    <n v="450"/>
    <s v="M²"/>
    <n v="7.5"/>
    <n v="3375"/>
    <s v="PLN"/>
    <x v="0"/>
    <d v="2019-10-01T00:00:00"/>
    <x v="5"/>
  </r>
  <r>
    <s v="SO0002654"/>
    <s v="Domestic"/>
    <s v="362-000745"/>
    <x v="6"/>
    <s v="GLG0150120"/>
    <d v="2019-10-08T15:09:30"/>
    <x v="6"/>
    <s v="Lot 181002"/>
    <n v="3000"/>
    <s v="M²"/>
    <n v="7.2"/>
    <n v="21600"/>
    <s v="PLN"/>
    <x v="0"/>
    <d v="2019-10-08T00:00:00"/>
    <x v="5"/>
  </r>
  <r>
    <s v="SO0002656"/>
    <s v="Domestic"/>
    <s v="362-000834"/>
    <x v="6"/>
    <s v="GLG0150120"/>
    <d v="2019-10-08T15:27:00"/>
    <x v="6"/>
    <s v="Lot 181006"/>
    <n v="3000"/>
    <s v="M²"/>
    <n v="7"/>
    <n v="21000"/>
    <s v="PLN"/>
    <x v="0"/>
    <d v="2019-10-08T00:00:00"/>
    <x v="5"/>
  </r>
  <r>
    <s v="SO0002669"/>
    <s v="Domestic"/>
    <s v="362-000744"/>
    <x v="6"/>
    <s v="GLG0150120"/>
    <d v="2019-10-15T15:12:07"/>
    <x v="6"/>
    <s v="Lot 182318"/>
    <n v="3750"/>
    <s v="M²"/>
    <n v="7"/>
    <n v="26250"/>
    <s v="PLN"/>
    <x v="0"/>
    <d v="2019-10-15T00:00:00"/>
    <x v="5"/>
  </r>
  <r>
    <s v="SO0002720"/>
    <s v="Domestic"/>
    <s v="362-000643"/>
    <x v="6"/>
    <s v="GLG0150120"/>
    <d v="2019-10-28T20:12:10"/>
    <x v="6"/>
    <s v="Lot 184611"/>
    <n v="1950"/>
    <s v="M²"/>
    <n v="7.5"/>
    <n v="14625"/>
    <s v="PLN"/>
    <x v="0"/>
    <d v="2019-10-28T00:00:00"/>
    <x v="5"/>
  </r>
  <r>
    <s v="SO0002721"/>
    <s v="Domestic"/>
    <s v="362-000494"/>
    <x v="6"/>
    <s v="GLG0150120"/>
    <d v="2019-10-28T20:19:28"/>
    <x v="6"/>
    <s v="Lot 184613"/>
    <n v="3600"/>
    <s v="M²"/>
    <n v="7.5"/>
    <n v="27000"/>
    <s v="PLN"/>
    <x v="0"/>
    <d v="2019-10-28T00:00:00"/>
    <x v="5"/>
  </r>
  <r>
    <s v="SO0002737"/>
    <s v="Domestic"/>
    <s v="362-000139"/>
    <x v="6"/>
    <s v="GLG0150120"/>
    <d v="2019-11-04T18:00:09"/>
    <x v="10"/>
    <s v="Lot 185484"/>
    <n v="675"/>
    <s v="M²"/>
    <n v="7.5"/>
    <n v="5062.5"/>
    <s v="PLN"/>
    <x v="0"/>
    <d v="2019-10-31T00:00:00"/>
    <x v="5"/>
  </r>
  <r>
    <s v="SO0002749"/>
    <s v="Domestic"/>
    <s v="362-000676"/>
    <x v="6"/>
    <s v="GLG0150120"/>
    <d v="2019-11-06T16:33:58"/>
    <x v="10"/>
    <s v="Lot 185982"/>
    <n v="7950"/>
    <s v="M²"/>
    <n v="7"/>
    <n v="55650"/>
    <s v="PLN"/>
    <x v="0"/>
    <d v="2019-11-05T00:00:00"/>
    <x v="10"/>
  </r>
  <r>
    <s v="SO0002757"/>
    <s v="Domestic"/>
    <s v="362-000624"/>
    <x v="6"/>
    <s v="GLG0150120"/>
    <d v="2019-11-06T21:51:15"/>
    <x v="10"/>
    <s v="Lot 186063"/>
    <n v="225"/>
    <s v="M²"/>
    <n v="7.5"/>
    <n v="1687.5"/>
    <s v="PLN"/>
    <x v="0"/>
    <d v="2019-11-06T00:00:00"/>
    <x v="10"/>
  </r>
  <r>
    <s v="SO0002769"/>
    <s v="Domestic"/>
    <s v="362-000721"/>
    <x v="6"/>
    <s v="GLG0150120"/>
    <d v="2019-11-13T17:06:16"/>
    <x v="10"/>
    <s v="Lot 186866"/>
    <n v="600"/>
    <s v="M²"/>
    <n v="8.15"/>
    <n v="4890"/>
    <s v="PLN"/>
    <x v="0"/>
    <d v="2019-11-13T00:00:00"/>
    <x v="10"/>
  </r>
  <r>
    <s v="SO0002774"/>
    <s v="Domestic"/>
    <s v="362-000676"/>
    <x v="6"/>
    <s v="GLG0150120"/>
    <d v="2019-11-14T17:05:08"/>
    <x v="10"/>
    <s v="Lot 187063"/>
    <n v="5175"/>
    <s v="M²"/>
    <n v="7.5"/>
    <n v="38812.5"/>
    <s v="PLN"/>
    <x v="0"/>
    <d v="2019-11-14T00:00:00"/>
    <x v="10"/>
  </r>
  <r>
    <s v="SO0002777"/>
    <s v="Domestic"/>
    <s v="362-000744"/>
    <x v="6"/>
    <s v="GLG0150120"/>
    <d v="2019-11-18T15:55:48"/>
    <x v="10"/>
    <s v="Lot 187123"/>
    <n v="1950"/>
    <s v="M²"/>
    <n v="7"/>
    <n v="13650"/>
    <s v="PLN"/>
    <x v="0"/>
    <d v="2019-11-18T00:00:00"/>
    <x v="10"/>
  </r>
  <r>
    <s v="SO0002783"/>
    <s v="Domestic"/>
    <s v="362-000744"/>
    <x v="6"/>
    <s v="GLG0150120"/>
    <d v="2019-11-21T14:53:43"/>
    <x v="10"/>
    <s v="Lot 188062"/>
    <n v="750"/>
    <s v="M²"/>
    <n v="7"/>
    <n v="5250"/>
    <s v="PLN"/>
    <x v="0"/>
    <d v="2019-11-19T00:00:00"/>
    <x v="10"/>
  </r>
  <r>
    <s v="SO0002786"/>
    <s v="Domestic"/>
    <s v="362-000577"/>
    <x v="6"/>
    <s v="GLG0150120"/>
    <d v="2019-11-21T15:03:40"/>
    <x v="10"/>
    <s v="Lot 188066"/>
    <n v="1500"/>
    <s v="M²"/>
    <n v="6.5"/>
    <n v="9750"/>
    <s v="PLN"/>
    <x v="0"/>
    <d v="2019-11-20T00:00:00"/>
    <x v="10"/>
  </r>
  <r>
    <s v="SO0002792"/>
    <s v="Domestic"/>
    <s v="362-000676"/>
    <x v="6"/>
    <s v="GLG0150120"/>
    <d v="2019-11-22T16:42:37"/>
    <x v="10"/>
    <s v="Lot 188556"/>
    <n v="-5175"/>
    <s v="M²"/>
    <n v="7.5"/>
    <n v="-38812.5"/>
    <s v="PLN"/>
    <x v="0"/>
    <d v="2019-11-22T00:00:00"/>
    <x v="10"/>
  </r>
  <r>
    <s v="SO0002792"/>
    <s v="Domestic"/>
    <s v="362-000676"/>
    <x v="6"/>
    <s v="GLG0150120"/>
    <d v="2019-11-22T16:42:37"/>
    <x v="10"/>
    <s v="Lot 188557"/>
    <n v="5175"/>
    <s v="M²"/>
    <n v="7"/>
    <n v="36225"/>
    <s v="PLN"/>
    <x v="0"/>
    <d v="2019-11-22T00:00:00"/>
    <x v="10"/>
  </r>
  <r>
    <s v="SO0002818"/>
    <s v="Domestic"/>
    <s v="362-000624"/>
    <x v="6"/>
    <s v="GLG0150120"/>
    <d v="2019-12-02T15:47:09"/>
    <x v="11"/>
    <s v="Lot 189577"/>
    <n v="375"/>
    <s v="M²"/>
    <n v="7.5"/>
    <n v="2812.5"/>
    <s v="PLN"/>
    <x v="0"/>
    <d v="2019-12-02T00:00:00"/>
    <x v="11"/>
  </r>
  <r>
    <s v="SO0002828"/>
    <s v="Domestic"/>
    <s v="362-000717"/>
    <x v="6"/>
    <s v="GLG0150120"/>
    <d v="2019-12-05T16:37:41"/>
    <x v="11"/>
    <s v="Lot 190320"/>
    <n v="900"/>
    <s v="M²"/>
    <n v="7.76"/>
    <n v="6984"/>
    <s v="PLN"/>
    <x v="0"/>
    <d v="2019-12-04T00:00:00"/>
    <x v="11"/>
  </r>
  <r>
    <s v="SO0002835"/>
    <s v="Domestic"/>
    <s v="362-000490"/>
    <x v="6"/>
    <s v="GLG0150120"/>
    <d v="2019-12-11T15:55:37"/>
    <x v="11"/>
    <s v="Lot 191021"/>
    <n v="450"/>
    <s v="M²"/>
    <n v="7.5"/>
    <n v="3375"/>
    <s v="PLN"/>
    <x v="0"/>
    <d v="2019-12-11T00:00:00"/>
    <x v="11"/>
  </r>
  <r>
    <s v="360364ApP0000657"/>
    <s v="IC-AX"/>
    <s v="362-000418"/>
    <x v="0"/>
    <s v="GLG0150120GV"/>
    <d v="2019-02-12T18:04:11"/>
    <x v="0"/>
    <s v="Lot 139862"/>
    <n v="7500"/>
    <s v="M²"/>
    <n v="0.69"/>
    <n v="5175"/>
    <s v="EUR"/>
    <x v="0"/>
    <d v="2019-02-15T00:00:00"/>
    <x v="4"/>
  </r>
  <r>
    <s v="360364ApP0000785"/>
    <s v="IC-AX"/>
    <s v="362-000418"/>
    <x v="0"/>
    <s v="GLG0150120GV"/>
    <d v="2019-07-18T17:43:21"/>
    <x v="4"/>
    <s v="Lot 165089"/>
    <n v="3000"/>
    <s v="M²"/>
    <n v="0.7"/>
    <n v="2100"/>
    <s v="EUR"/>
    <x v="0"/>
    <d v="2019-08-05T00:00:00"/>
    <x v="3"/>
  </r>
  <r>
    <s v="360364ApP0000831"/>
    <s v="IC-AX"/>
    <s v="362-000418"/>
    <x v="0"/>
    <s v="GLG0150120GV"/>
    <d v="2019-09-23T20:06:14"/>
    <x v="5"/>
    <s v="Lot 176591"/>
    <n v="4500"/>
    <s v="M²"/>
    <n v="0.69"/>
    <n v="3105"/>
    <s v="EUR"/>
    <x v="0"/>
    <d v="2019-10-07T00:00:00"/>
    <x v="5"/>
  </r>
  <r>
    <s v="360364ApP0000855"/>
    <s v="IC-AX"/>
    <s v="362-000418"/>
    <x v="0"/>
    <s v="GLG0150120GV"/>
    <d v="2019-10-24T17:51:42"/>
    <x v="6"/>
    <s v="Lot 183942"/>
    <n v="6000"/>
    <s v="M²"/>
    <n v="0.69"/>
    <n v="4140"/>
    <s v="EUR"/>
    <x v="0"/>
    <d v="2019-10-28T00:00:00"/>
    <x v="5"/>
  </r>
  <r>
    <s v="SO0002206"/>
    <s v="Domestic"/>
    <s v="362-000566"/>
    <x v="6"/>
    <s v="GLG0150120GV"/>
    <d v="2019-03-11T20:45:46"/>
    <x v="7"/>
    <s v="Lot 144332"/>
    <n v="75"/>
    <s v="M²"/>
    <n v="10.66"/>
    <n v="799.5"/>
    <s v="PLN"/>
    <x v="0"/>
    <d v="2019-03-11T00:00:00"/>
    <x v="0"/>
  </r>
  <r>
    <s v="SO0002247"/>
    <s v="Domestic"/>
    <s v="362-000650"/>
    <x v="6"/>
    <s v="GLG0150120GV"/>
    <d v="2019-04-16T14:05:17"/>
    <x v="1"/>
    <s v="Lot 150615"/>
    <n v="2550"/>
    <s v="M²"/>
    <n v="6.7"/>
    <n v="17085"/>
    <s v="PLN"/>
    <x v="0"/>
    <d v="2019-04-16T00:00:00"/>
    <x v="6"/>
  </r>
  <r>
    <s v="SO0002389"/>
    <s v="Domestic"/>
    <s v="362-000518"/>
    <x v="6"/>
    <s v="GLG0150120GV"/>
    <d v="2019-07-12T19:52:09"/>
    <x v="4"/>
    <s v="Lot 164272"/>
    <n v="9075"/>
    <s v="M²"/>
    <n v="7"/>
    <n v="63525"/>
    <s v="PLN"/>
    <x v="0"/>
    <d v="2019-07-12T00:00:00"/>
    <x v="9"/>
  </r>
  <r>
    <s v="SO0002418"/>
    <s v="Domestic"/>
    <s v="362-000518"/>
    <x v="6"/>
    <s v="GLG0150120GV"/>
    <d v="2019-07-22T20:27:56"/>
    <x v="4"/>
    <s v="Lot 165593"/>
    <n v="9300"/>
    <s v="M²"/>
    <n v="7"/>
    <n v="65100"/>
    <s v="PLN"/>
    <x v="0"/>
    <d v="2019-07-23T00:00:00"/>
    <x v="9"/>
  </r>
  <r>
    <s v="SO0002429"/>
    <s v="Domestic"/>
    <s v="362-000518"/>
    <x v="6"/>
    <s v="GLG0150120GV"/>
    <d v="2019-07-29T14:20:29"/>
    <x v="4"/>
    <s v="Lot 166506"/>
    <n v="12750"/>
    <s v="M²"/>
    <n v="7"/>
    <n v="89250"/>
    <s v="PLN"/>
    <x v="0"/>
    <d v="2019-07-26T00:00:00"/>
    <x v="9"/>
  </r>
  <r>
    <s v="SO0002783"/>
    <s v="Domestic"/>
    <s v="362-000744"/>
    <x v="6"/>
    <s v="GLG0150200"/>
    <d v="2019-11-21T14:53:55"/>
    <x v="10"/>
    <s v="Lot 188063"/>
    <n v="1050"/>
    <s v="M²"/>
    <n v="7"/>
    <n v="7350"/>
    <s v="PLN"/>
    <x v="0"/>
    <d v="2019-11-19T00:00:00"/>
    <x v="10"/>
  </r>
  <r>
    <s v="SO0002786"/>
    <s v="Domestic"/>
    <s v="362-000577"/>
    <x v="6"/>
    <s v="GLG0150200"/>
    <d v="2019-11-21T15:04:28"/>
    <x v="10"/>
    <s v="Lot 188067"/>
    <n v="3300"/>
    <s v="M²"/>
    <n v="6.5"/>
    <n v="21450"/>
    <s v="PLN"/>
    <x v="0"/>
    <d v="2019-11-20T00:00:00"/>
    <x v="10"/>
  </r>
  <r>
    <s v="SO0002835"/>
    <s v="Domestic"/>
    <s v="362-000490"/>
    <x v="6"/>
    <s v="GLG0150200"/>
    <d v="2019-12-11T15:54:46"/>
    <x v="11"/>
    <s v="Lot 191020"/>
    <n v="150"/>
    <s v="M²"/>
    <n v="7.5"/>
    <n v="1125"/>
    <s v="PLN"/>
    <x v="0"/>
    <d v="2019-12-11T00:00:00"/>
    <x v="11"/>
  </r>
  <r>
    <s v="360364ApP0000679"/>
    <s v="IC-AX"/>
    <s v="362-000418"/>
    <x v="15"/>
    <s v="GLG0150200GV"/>
    <d v="2019-03-07T19:50:02"/>
    <x v="7"/>
    <s v="Lot 144039"/>
    <n v="8250"/>
    <s v="M²"/>
    <n v="0.77"/>
    <n v="6352.5"/>
    <s v="EUR"/>
    <x v="0"/>
    <d v="2019-04-01T00:00:00"/>
    <x v="6"/>
  </r>
  <r>
    <s v="360364ApP0000747"/>
    <s v="IC-AX"/>
    <s v="362-000418"/>
    <x v="0"/>
    <s v="GLG0150200GV"/>
    <d v="2019-05-23T17:47:41"/>
    <x v="2"/>
    <s v="Lot 154531"/>
    <n v="3375"/>
    <s v="M²"/>
    <n v="0.77"/>
    <n v="2598.75"/>
    <s v="EUR"/>
    <x v="0"/>
    <d v="2019-06-03T00:00:00"/>
    <x v="2"/>
  </r>
  <r>
    <s v="360364ApP0000768"/>
    <s v="IC-AX"/>
    <s v="362-000418"/>
    <x v="0"/>
    <s v="GLG0150200GV"/>
    <d v="2019-06-25T21:10:40"/>
    <x v="3"/>
    <s v="Lot 160234"/>
    <n v="5625"/>
    <s v="M²"/>
    <n v="0.77"/>
    <n v="4331.25"/>
    <s v="EUR"/>
    <x v="0"/>
    <d v="2019-07-01T00:00:00"/>
    <x v="9"/>
  </r>
  <r>
    <s v="360364ApP0000831"/>
    <s v="IC-AX"/>
    <s v="362-000418"/>
    <x v="0"/>
    <s v="GLG0150200GV"/>
    <d v="2019-09-23T20:06:13"/>
    <x v="5"/>
    <s v="Lot 176590"/>
    <n v="5625"/>
    <s v="M²"/>
    <n v="0.74"/>
    <n v="4162.5"/>
    <s v="EUR"/>
    <x v="0"/>
    <d v="2019-10-07T00:00:00"/>
    <x v="5"/>
  </r>
  <r>
    <s v="SO0002309"/>
    <s v="Domestic"/>
    <s v="362-000558"/>
    <x v="6"/>
    <s v="GLG0150200GV"/>
    <d v="2019-05-28T15:06:22"/>
    <x v="2"/>
    <s v="Lot 155036"/>
    <n v="150"/>
    <s v="M²"/>
    <n v="11.1"/>
    <n v="1665"/>
    <s v="PLN"/>
    <x v="0"/>
    <d v="2019-05-27T00:00:00"/>
    <x v="1"/>
  </r>
  <r>
    <s v="360363ApP0000599"/>
    <s v="IC-AX"/>
    <s v="362-000412"/>
    <x v="7"/>
    <s v="GLG0195120"/>
    <d v="2019-04-17T21:10:35"/>
    <x v="1"/>
    <s v="Lot 150988"/>
    <n v="487.5"/>
    <s v="M²"/>
    <n v="0.67"/>
    <n v="326.63"/>
    <s v="EUR"/>
    <x v="0"/>
    <d v="2019-04-18T00:00:00"/>
    <x v="6"/>
  </r>
  <r>
    <s v="360364ApP0000665"/>
    <s v="IC-AX"/>
    <s v="362-000418"/>
    <x v="0"/>
    <s v="GLG0195120"/>
    <d v="2019-02-27T18:52:49"/>
    <x v="0"/>
    <s v="Lot 142703"/>
    <n v="11700"/>
    <s v="M²"/>
    <n v="0.67"/>
    <n v="7839"/>
    <s v="EUR"/>
    <x v="0"/>
    <d v="2019-03-04T00:00:00"/>
    <x v="0"/>
  </r>
  <r>
    <s v="360364ApP0000697"/>
    <s v="IC-AX"/>
    <s v="362-000418"/>
    <x v="0"/>
    <s v="GLG0195120"/>
    <d v="2019-03-29T19:59:36"/>
    <x v="7"/>
    <s v="Lot 148335"/>
    <n v="9750"/>
    <s v="M²"/>
    <n v="0.67"/>
    <n v="6532.5"/>
    <s v="EUR"/>
    <x v="0"/>
    <d v="2019-04-08T00:00:00"/>
    <x v="6"/>
  </r>
  <r>
    <s v="360364ApP0000747"/>
    <s v="IC-AX"/>
    <s v="362-000418"/>
    <x v="0"/>
    <s v="GLG0195120"/>
    <d v="2019-05-23T17:47:43"/>
    <x v="2"/>
    <s v="Lot 154534"/>
    <n v="5850"/>
    <s v="M²"/>
    <n v="0.67"/>
    <n v="3919.5"/>
    <s v="EUR"/>
    <x v="0"/>
    <d v="2019-06-03T00:00:00"/>
    <x v="2"/>
  </r>
  <r>
    <s v="360364ApP0000752"/>
    <s v="IC-AX"/>
    <s v="362-000418"/>
    <x v="0"/>
    <s v="GLG0195120"/>
    <d v="2019-06-04T17:03:14"/>
    <x v="3"/>
    <s v="Lot 155732"/>
    <n v="25350"/>
    <s v="M²"/>
    <n v="0.67"/>
    <n v="16984.5"/>
    <s v="EUR"/>
    <x v="0"/>
    <d v="2019-06-11T00:00:00"/>
    <x v="2"/>
  </r>
  <r>
    <s v="360364ApP0000758"/>
    <s v="IC-AX"/>
    <s v="362-000418"/>
    <x v="13"/>
    <s v="GLG0195120"/>
    <d v="2019-06-04T21:27:15"/>
    <x v="3"/>
    <s v="Lot 156325"/>
    <n v="23400"/>
    <s v="M²"/>
    <n v="0.67"/>
    <n v="15678"/>
    <s v="EUR"/>
    <x v="0"/>
    <d v="2019-07-12T00:00:00"/>
    <x v="9"/>
  </r>
  <r>
    <s v="360364ApP0000760"/>
    <s v="IC-AX"/>
    <s v="362-000418"/>
    <x v="13"/>
    <s v="GLG0195120"/>
    <d v="2019-06-04T21:28:09"/>
    <x v="3"/>
    <s v="Lot 156327"/>
    <n v="23400"/>
    <s v="M²"/>
    <n v="0.67"/>
    <n v="15678"/>
    <s v="EUR"/>
    <x v="0"/>
    <d v="2019-07-12T00:00:00"/>
    <x v="9"/>
  </r>
  <r>
    <s v="360364ApP0000824"/>
    <s v="IC-AX"/>
    <s v="362-000418"/>
    <x v="0"/>
    <s v="GLG0195120"/>
    <d v="2019-09-18T15:46:09"/>
    <x v="5"/>
    <s v="Lot 175581"/>
    <n v="5850"/>
    <s v="M²"/>
    <n v="0.68"/>
    <n v="3978"/>
    <s v="EUR"/>
    <x v="0"/>
    <d v="2019-10-07T00:00:00"/>
    <x v="5"/>
  </r>
  <r>
    <s v="360365ApP0000526"/>
    <s v="IC-AX"/>
    <s v="362-000418"/>
    <x v="1"/>
    <s v="GLG0195120"/>
    <d v="2019-02-12T22:59:00"/>
    <x v="0"/>
    <s v="Lot 139868"/>
    <n v="23887.5"/>
    <s v="M²"/>
    <n v="0.64"/>
    <n v="15288"/>
    <s v="EUR"/>
    <x v="0"/>
    <d v="2019-02-15T00:00:00"/>
    <x v="4"/>
  </r>
  <r>
    <s v="360365ApP0000530"/>
    <s v="IC-AX"/>
    <s v="362-000418"/>
    <x v="1"/>
    <s v="GLG0195120"/>
    <d v="2019-02-14T23:22:29"/>
    <x v="0"/>
    <s v="Lot 140861"/>
    <n v="21450"/>
    <s v="M²"/>
    <n v="0.64"/>
    <n v="13728"/>
    <s v="EUR"/>
    <x v="0"/>
    <d v="2019-02-19T00:00:00"/>
    <x v="4"/>
  </r>
  <r>
    <s v="360365ApP0000625"/>
    <s v="IC-AX"/>
    <s v="362-000418"/>
    <x v="1"/>
    <s v="GLG0195120"/>
    <d v="2019-05-28T14:25:42"/>
    <x v="2"/>
    <s v="Lot 155030"/>
    <n v="27885"/>
    <s v="M²"/>
    <n v="0.67"/>
    <n v="18682.95"/>
    <s v="EUR"/>
    <x v="0"/>
    <d v="2019-06-04T00:00:00"/>
    <x v="2"/>
  </r>
  <r>
    <s v="360365ApP0000640"/>
    <s v="IC-AX"/>
    <s v="362-000418"/>
    <x v="1"/>
    <s v="GLG0195120"/>
    <d v="2019-06-07T18:57:16"/>
    <x v="3"/>
    <s v="Lot 157112"/>
    <n v="19305"/>
    <s v="M²"/>
    <n v="0.67"/>
    <n v="12934.35"/>
    <s v="EUR"/>
    <x v="0"/>
    <d v="2019-06-17T00:00:00"/>
    <x v="2"/>
  </r>
  <r>
    <s v="360365ApP0000645"/>
    <s v="IC-AX"/>
    <s v="362-000418"/>
    <x v="1"/>
    <s v="GLG0195120"/>
    <d v="2019-06-24T22:57:38"/>
    <x v="3"/>
    <s v="Lot 159849"/>
    <n v="21450"/>
    <s v="M²"/>
    <n v="0.67"/>
    <n v="14371.5"/>
    <s v="EUR"/>
    <x v="0"/>
    <d v="2019-06-25T00:00:00"/>
    <x v="2"/>
  </r>
  <r>
    <s v="360366ApP0000283"/>
    <s v="IC-AX"/>
    <s v="362-000418"/>
    <x v="2"/>
    <s v="GLG0195120"/>
    <d v="2019-02-18T21:15:51"/>
    <x v="0"/>
    <s v="Lot 141257"/>
    <n v="9750"/>
    <s v="M²"/>
    <n v="0.64"/>
    <n v="6240"/>
    <s v="EUR"/>
    <x v="0"/>
    <d v="2019-02-18T00:00:00"/>
    <x v="4"/>
  </r>
  <r>
    <s v="360366ApP0000293"/>
    <s v="IC-AX"/>
    <s v="362-000418"/>
    <x v="2"/>
    <s v="GLG0195120"/>
    <d v="2019-03-08T17:50:18"/>
    <x v="7"/>
    <s v="Lot 144205"/>
    <n v="13650"/>
    <s v="M²"/>
    <n v="0.67"/>
    <n v="9145.5"/>
    <s v="EUR"/>
    <x v="0"/>
    <d v="2019-03-11T00:00:00"/>
    <x v="0"/>
  </r>
  <r>
    <s v="360366ApP0000304"/>
    <s v="IC-AX"/>
    <s v="362-000418"/>
    <x v="2"/>
    <s v="GLG0195120"/>
    <d v="2019-03-26T16:36:31"/>
    <x v="7"/>
    <s v="Lot 146094"/>
    <n v="13650"/>
    <s v="M²"/>
    <n v="0.67"/>
    <n v="9145.5"/>
    <s v="EUR"/>
    <x v="0"/>
    <d v="2019-04-11T00:00:00"/>
    <x v="6"/>
  </r>
  <r>
    <s v="360366ApP0000314"/>
    <s v="IC-AX"/>
    <s v="362-000418"/>
    <x v="2"/>
    <s v="GLG0195120"/>
    <d v="2019-04-08T19:11:45"/>
    <x v="1"/>
    <s v="Lot 149357"/>
    <n v="25350"/>
    <s v="M²"/>
    <n v="0.67"/>
    <n v="16984.5"/>
    <s v="EUR"/>
    <x v="0"/>
    <d v="2019-04-08T00:00:00"/>
    <x v="6"/>
  </r>
  <r>
    <s v="360366ApP0000322"/>
    <s v="IC-AX"/>
    <s v="362-000418"/>
    <x v="2"/>
    <s v="GLG0195120"/>
    <d v="2019-05-20T14:09:50"/>
    <x v="2"/>
    <s v="Lot 153293"/>
    <n v="7800"/>
    <s v="M²"/>
    <n v="0.67"/>
    <n v="5226"/>
    <s v="EUR"/>
    <x v="0"/>
    <d v="2019-05-27T00:00:00"/>
    <x v="1"/>
  </r>
  <r>
    <s v="360366ApP0000324"/>
    <s v="IC-AX"/>
    <s v="362-000418"/>
    <x v="2"/>
    <s v="GLG0195120"/>
    <d v="2019-05-21T15:42:30"/>
    <x v="2"/>
    <s v="Lot 153679"/>
    <n v="3900"/>
    <s v="M²"/>
    <n v="0.67"/>
    <n v="2613"/>
    <s v="EUR"/>
    <x v="0"/>
    <d v="2019-05-28T00:00:00"/>
    <x v="1"/>
  </r>
  <r>
    <s v="360366ApP0000335"/>
    <s v="IC-AX"/>
    <s v="362-000418"/>
    <x v="2"/>
    <s v="GLG0195120"/>
    <d v="2019-06-11T14:37:10"/>
    <x v="3"/>
    <s v="Lot 157335"/>
    <n v="17550"/>
    <s v="M²"/>
    <n v="0.67"/>
    <n v="11758.5"/>
    <s v="EUR"/>
    <x v="0"/>
    <d v="2019-06-17T00:00:00"/>
    <x v="2"/>
  </r>
  <r>
    <s v="360366ApP0000338"/>
    <s v="IC-AX"/>
    <s v="362-000418"/>
    <x v="2"/>
    <s v="GLG0195120"/>
    <d v="2019-06-11T14:38:07"/>
    <x v="3"/>
    <s v="Lot 157338"/>
    <n v="19500"/>
    <s v="M²"/>
    <n v="0.67"/>
    <n v="13065"/>
    <s v="EUR"/>
    <x v="0"/>
    <d v="2019-06-25T00:00:00"/>
    <x v="2"/>
  </r>
  <r>
    <s v="360366ApP0000341"/>
    <s v="IC-AX"/>
    <s v="362-000418"/>
    <x v="2"/>
    <s v="GLG0195120"/>
    <d v="2019-06-19T21:07:42"/>
    <x v="3"/>
    <s v="Lot 159751"/>
    <n v="19500"/>
    <s v="M²"/>
    <n v="0.67"/>
    <n v="13065"/>
    <s v="EUR"/>
    <x v="0"/>
    <d v="2019-06-25T00:00:00"/>
    <x v="2"/>
  </r>
  <r>
    <s v="360366ApP0000346"/>
    <s v="IC-AX"/>
    <s v="362-000418"/>
    <x v="2"/>
    <s v="GLG0195120"/>
    <d v="2019-07-08T20:18:56"/>
    <x v="4"/>
    <s v="Lot 163126"/>
    <n v="19500"/>
    <s v="M²"/>
    <n v="0.67"/>
    <n v="13065"/>
    <s v="EUR"/>
    <x v="0"/>
    <d v="2019-07-19T00:00:00"/>
    <x v="9"/>
  </r>
  <r>
    <s v="360366ApP0000348"/>
    <s v="IC-AX"/>
    <s v="362-000418"/>
    <x v="2"/>
    <s v="GLG0195120"/>
    <d v="2019-07-10T22:28:23"/>
    <x v="4"/>
    <s v="Lot 163865"/>
    <n v="13650"/>
    <s v="M²"/>
    <n v="0.67"/>
    <n v="9145.5"/>
    <s v="EUR"/>
    <x v="0"/>
    <d v="2019-07-15T00:00:00"/>
    <x v="9"/>
  </r>
  <r>
    <s v="360366ApP0000351"/>
    <s v="IC-AX"/>
    <s v="362-000418"/>
    <x v="2"/>
    <s v="GLG0195120"/>
    <d v="2019-07-15T12:56:10"/>
    <x v="4"/>
    <s v="Lot 164278"/>
    <n v="19500"/>
    <s v="M²"/>
    <n v="0.67"/>
    <n v="13065"/>
    <s v="EUR"/>
    <x v="0"/>
    <d v="2019-07-29T00:00:00"/>
    <x v="9"/>
  </r>
  <r>
    <s v="360366ApP0000359"/>
    <s v="IC-AX"/>
    <s v="362-000418"/>
    <x v="2"/>
    <s v="GLG0195120"/>
    <d v="2019-08-08T14:55:25"/>
    <x v="9"/>
    <s v="Lot 168343"/>
    <n v="21450"/>
    <s v="M²"/>
    <n v="0.67"/>
    <n v="14371.5"/>
    <s v="EUR"/>
    <x v="0"/>
    <d v="2019-08-19T00:00:00"/>
    <x v="3"/>
  </r>
  <r>
    <s v="360368ApP0000536"/>
    <s v="IC-AX"/>
    <s v="362-000418"/>
    <x v="3"/>
    <s v="GLG0195120"/>
    <d v="2019-07-22T13:16:24"/>
    <x v="4"/>
    <s v="Lot 165319"/>
    <n v="3900"/>
    <s v="M²"/>
    <n v="0.67"/>
    <n v="2613"/>
    <s v="EUR"/>
    <x v="0"/>
    <d v="2019-09-16T00:00:00"/>
    <x v="7"/>
  </r>
  <r>
    <s v="360369ApP0000483"/>
    <s v="IC-AX"/>
    <s v="362-000418"/>
    <x v="8"/>
    <s v="GLG0195120"/>
    <d v="2019-04-16T14:56:15"/>
    <x v="1"/>
    <s v="Lot 150620"/>
    <n v="23400"/>
    <s v="M²"/>
    <n v="0.67"/>
    <n v="15678"/>
    <s v="EUR"/>
    <x v="0"/>
    <d v="2019-04-16T00:00:00"/>
    <x v="6"/>
  </r>
  <r>
    <s v="360369ApP0000501"/>
    <s v="IC-AX"/>
    <s v="362-000418"/>
    <x v="8"/>
    <s v="GLG0195120"/>
    <d v="2019-05-02T22:12:27"/>
    <x v="2"/>
    <s v="Lot 151445"/>
    <n v="25350"/>
    <s v="M²"/>
    <n v="0.67"/>
    <n v="16984.5"/>
    <s v="EUR"/>
    <x v="0"/>
    <d v="2019-05-07T00:00:00"/>
    <x v="1"/>
  </r>
  <r>
    <s v="360369ApP0000511"/>
    <s v="IC-AX"/>
    <s v="362-000418"/>
    <x v="8"/>
    <s v="GLG0195120"/>
    <d v="2019-05-10T20:50:44"/>
    <x v="2"/>
    <s v="Lot 152344"/>
    <n v="15600"/>
    <s v="M²"/>
    <n v="0.67"/>
    <n v="10452"/>
    <s v="EUR"/>
    <x v="0"/>
    <d v="2019-05-15T00:00:00"/>
    <x v="1"/>
  </r>
  <r>
    <s v="360369ApP0000518"/>
    <s v="IC-AX"/>
    <s v="362-000418"/>
    <x v="4"/>
    <s v="GLG0195120"/>
    <d v="2019-05-21T20:46:49"/>
    <x v="2"/>
    <s v="Lot 153800"/>
    <n v="25350"/>
    <s v="M²"/>
    <n v="0.67"/>
    <n v="16984.5"/>
    <s v="EUR"/>
    <x v="0"/>
    <d v="2019-05-22T00:00:00"/>
    <x v="1"/>
  </r>
  <r>
    <s v="360369ApP0000524"/>
    <s v="IC-AX"/>
    <s v="362-000418"/>
    <x v="8"/>
    <s v="GLG0195120"/>
    <d v="2019-05-23T20:47:59"/>
    <x v="2"/>
    <s v="Lot 154592"/>
    <n v="25350"/>
    <s v="M²"/>
    <n v="0.67"/>
    <n v="16984.5"/>
    <s v="EUR"/>
    <x v="0"/>
    <d v="2019-05-30T00:00:00"/>
    <x v="1"/>
  </r>
  <r>
    <s v="360369ApP0000528"/>
    <s v="IC-AX"/>
    <s v="362-000418"/>
    <x v="4"/>
    <s v="GLG0195120"/>
    <d v="2019-05-27T14:30:03"/>
    <x v="2"/>
    <s v="Lot 154848"/>
    <n v="25350"/>
    <s v="M²"/>
    <n v="0.67"/>
    <n v="16984.5"/>
    <s v="EUR"/>
    <x v="0"/>
    <d v="2019-05-29T00:00:00"/>
    <x v="1"/>
  </r>
  <r>
    <s v="360369ApP0000530"/>
    <s v="IC-AX"/>
    <s v="362-000418"/>
    <x v="8"/>
    <s v="GLG0195120"/>
    <d v="2019-05-29T22:44:59"/>
    <x v="2"/>
    <s v="Lot 155304"/>
    <n v="1950"/>
    <s v="M²"/>
    <n v="0.67"/>
    <n v="1306.5"/>
    <s v="EUR"/>
    <x v="0"/>
    <d v="2019-06-05T00:00:00"/>
    <x v="2"/>
  </r>
  <r>
    <s v="360369ApP0000554"/>
    <s v="IC-AX"/>
    <s v="362-000418"/>
    <x v="4"/>
    <s v="GLG0195120"/>
    <d v="2019-06-05T19:09:11"/>
    <x v="3"/>
    <s v="Lot 156544"/>
    <n v="25350"/>
    <s v="M²"/>
    <n v="0.67"/>
    <n v="16984.5"/>
    <s v="EUR"/>
    <x v="0"/>
    <d v="2019-06-07T00:00:00"/>
    <x v="2"/>
  </r>
  <r>
    <s v="360369ApP0000556"/>
    <s v="IC-AX"/>
    <s v="362-000418"/>
    <x v="4"/>
    <s v="GLG0195120"/>
    <d v="2019-06-05T19:09:59"/>
    <x v="3"/>
    <s v="Lot 156546"/>
    <n v="25350"/>
    <s v="M²"/>
    <n v="0.67"/>
    <n v="16984.5"/>
    <s v="EUR"/>
    <x v="0"/>
    <d v="2019-06-07T00:00:00"/>
    <x v="2"/>
  </r>
  <r>
    <s v="360369ApP0000558"/>
    <s v="IC-AX"/>
    <s v="362-000418"/>
    <x v="4"/>
    <s v="GLG0195120"/>
    <d v="2019-06-11T14:31:41"/>
    <x v="3"/>
    <s v="Lot 157330"/>
    <n v="25350"/>
    <s v="M²"/>
    <n v="0.67"/>
    <n v="16984.5"/>
    <s v="EUR"/>
    <x v="0"/>
    <d v="2019-06-17T00:00:00"/>
    <x v="2"/>
  </r>
  <r>
    <s v="360369ApP0000560"/>
    <s v="IC-AX"/>
    <s v="362-000418"/>
    <x v="4"/>
    <s v="GLG0195120"/>
    <d v="2019-06-11T14:32:43"/>
    <x v="3"/>
    <s v="Lot 157333"/>
    <n v="50700"/>
    <s v="M²"/>
    <n v="0.67"/>
    <n v="33969"/>
    <s v="EUR"/>
    <x v="0"/>
    <d v="2019-06-24T00:00:00"/>
    <x v="2"/>
  </r>
  <r>
    <s v="360369ApP0000565"/>
    <s v="IC-AX"/>
    <s v="362-000418"/>
    <x v="4"/>
    <s v="GLG0195120"/>
    <d v="2019-06-17T16:02:37"/>
    <x v="3"/>
    <s v="Lot 159036"/>
    <n v="50700"/>
    <s v="M²"/>
    <n v="0.67"/>
    <n v="33969"/>
    <s v="EUR"/>
    <x v="0"/>
    <d v="2019-07-11T00:00:00"/>
    <x v="9"/>
  </r>
  <r>
    <s v="360369ApP0000576"/>
    <s v="IC-AX"/>
    <s v="362-000418"/>
    <x v="4"/>
    <s v="GLG0195120"/>
    <d v="2019-07-02T14:15:46"/>
    <x v="4"/>
    <s v="Lot 161766"/>
    <n v="13650"/>
    <s v="M²"/>
    <n v="0.67"/>
    <n v="9145.5"/>
    <s v="EUR"/>
    <x v="0"/>
    <d v="2019-07-17T00:00:00"/>
    <x v="9"/>
  </r>
  <r>
    <s v="360369ApP0000582"/>
    <s v="IC-AX"/>
    <s v="362-000418"/>
    <x v="8"/>
    <s v="GLG0195120"/>
    <d v="2019-07-08T15:36:29"/>
    <x v="4"/>
    <s v="Lot 162981"/>
    <n v="7800"/>
    <s v="M²"/>
    <n v="0.67"/>
    <n v="5226"/>
    <s v="EUR"/>
    <x v="0"/>
    <d v="2019-07-31T00:00:00"/>
    <x v="9"/>
  </r>
  <r>
    <s v="360369ApP0000597"/>
    <s v="IC-AX"/>
    <s v="362-000418"/>
    <x v="8"/>
    <s v="GLG0195120"/>
    <d v="2019-08-16T22:31:23"/>
    <x v="9"/>
    <s v="Lot 169549"/>
    <n v="23400"/>
    <s v="M²"/>
    <n v="0.67"/>
    <n v="15678"/>
    <s v="EUR"/>
    <x v="0"/>
    <d v="2019-08-28T00:00:00"/>
    <x v="3"/>
  </r>
  <r>
    <s v="360369ApP0000602"/>
    <s v="IC-AX"/>
    <s v="362-000418"/>
    <x v="4"/>
    <s v="GLG0195120"/>
    <d v="2019-08-19T19:17:11"/>
    <x v="9"/>
    <s v="Lot 169978"/>
    <n v="7800"/>
    <s v="M²"/>
    <n v="0.67"/>
    <n v="5226"/>
    <s v="EUR"/>
    <x v="0"/>
    <d v="2019-09-02T00:00:00"/>
    <x v="7"/>
  </r>
  <r>
    <s v="360369ApP0000616"/>
    <s v="IC-AX"/>
    <s v="362-000418"/>
    <x v="8"/>
    <s v="GLG0195120"/>
    <d v="2019-09-16T17:07:46"/>
    <x v="5"/>
    <s v="Lot 174958"/>
    <n v="9750"/>
    <s v="M²"/>
    <n v="0.67"/>
    <n v="6532.5"/>
    <s v="EUR"/>
    <x v="0"/>
    <d v="2019-09-24T00:00:00"/>
    <x v="7"/>
  </r>
  <r>
    <s v="360369ApP0000637"/>
    <s v="IC-AX"/>
    <s v="362-000418"/>
    <x v="8"/>
    <s v="GLG0195120"/>
    <d v="2019-10-04T17:45:31"/>
    <x v="6"/>
    <s v="Lot 180585"/>
    <n v="23400"/>
    <s v="M²"/>
    <n v="0.68"/>
    <n v="15912"/>
    <s v="EUR"/>
    <x v="0"/>
    <d v="2019-10-08T00:00:00"/>
    <x v="5"/>
  </r>
  <r>
    <s v="360371ApP0000613"/>
    <s v="IC-AX"/>
    <s v="362-000418"/>
    <x v="10"/>
    <s v="GLG0195120"/>
    <d v="2019-04-02T18:43:01"/>
    <x v="1"/>
    <s v="Lot 148372"/>
    <n v="20475"/>
    <s v="M²"/>
    <n v="0.67"/>
    <n v="13718.25"/>
    <s v="EUR"/>
    <x v="0"/>
    <d v="2019-04-08T00:00:00"/>
    <x v="6"/>
  </r>
  <r>
    <s v="360ApP0003755"/>
    <s v="IC-AX"/>
    <s v="362-000413"/>
    <x v="5"/>
    <s v="GLG0195120"/>
    <d v="2019-01-07T22:55:32"/>
    <x v="8"/>
    <s v="Lot 135528"/>
    <n v="5850"/>
    <s v="M²"/>
    <n v="0.64"/>
    <n v="3744"/>
    <s v="EUR"/>
    <x v="0"/>
    <d v="2019-01-24T00:00:00"/>
    <x v="8"/>
  </r>
  <r>
    <s v="360ApP0003956"/>
    <s v="IC-AX"/>
    <s v="362-000413"/>
    <x v="5"/>
    <s v="GLG0195120"/>
    <d v="2019-03-25T17:46:15"/>
    <x v="7"/>
    <s v="Lot 146087"/>
    <n v="15600"/>
    <s v="M²"/>
    <n v="0.67"/>
    <n v="10452"/>
    <s v="EUR"/>
    <x v="0"/>
    <d v="2019-04-01T00:00:00"/>
    <x v="6"/>
  </r>
  <r>
    <s v="360ApP0004113"/>
    <s v="IC-AX"/>
    <s v="362-000413"/>
    <x v="5"/>
    <s v="GLG0195120"/>
    <d v="2019-05-03T22:10:26"/>
    <x v="2"/>
    <s v="Lot 151472"/>
    <n v="1950"/>
    <s v="M²"/>
    <n v="0.67"/>
    <n v="1306.5"/>
    <s v="EUR"/>
    <x v="0"/>
    <d v="2019-05-17T00:00:00"/>
    <x v="1"/>
  </r>
  <r>
    <s v="360ApP0004330"/>
    <s v="IC-AX"/>
    <s v="362-000413"/>
    <x v="5"/>
    <s v="GLG0195120"/>
    <d v="2019-06-19T16:21:07"/>
    <x v="3"/>
    <s v="Lot 159628"/>
    <n v="5850"/>
    <s v="M²"/>
    <n v="0.67"/>
    <n v="3919.5"/>
    <s v="EUR"/>
    <x v="0"/>
    <d v="2019-07-08T00:00:00"/>
    <x v="9"/>
  </r>
  <r>
    <s v="360ApP0004434"/>
    <s v="IC-AX"/>
    <s v="362-000413"/>
    <x v="5"/>
    <s v="GLG0195120"/>
    <d v="2019-07-15T20:25:42"/>
    <x v="4"/>
    <s v="Lot 164354"/>
    <n v="13650"/>
    <s v="M²"/>
    <n v="0.67"/>
    <n v="9145.5"/>
    <s v="EUR"/>
    <x v="0"/>
    <d v="2019-08-08T00:00:00"/>
    <x v="3"/>
  </r>
  <r>
    <s v="360ApP0004539"/>
    <s v="IC-AX"/>
    <s v="362-000413"/>
    <x v="5"/>
    <s v="GLG0195120"/>
    <d v="2019-08-09T20:34:32"/>
    <x v="9"/>
    <s v="Lot 168789"/>
    <n v="11700"/>
    <s v="M²"/>
    <n v="0.67"/>
    <n v="7839"/>
    <s v="EUR"/>
    <x v="0"/>
    <d v="2019-09-09T00:00:00"/>
    <x v="7"/>
  </r>
  <r>
    <s v="360SO0007705"/>
    <s v="IC-AX"/>
    <s v="362-000413"/>
    <x v="9"/>
    <s v="GLG0195120"/>
    <d v="2019-02-11T23:18:31"/>
    <x v="0"/>
    <s v="Lot 139751"/>
    <n v="9750"/>
    <s v="M²"/>
    <n v="0.64"/>
    <n v="6240"/>
    <s v="EUR"/>
    <x v="0"/>
    <d v="2019-02-13T00:00:00"/>
    <x v="4"/>
  </r>
  <r>
    <s v="SO0002193"/>
    <s v="Domestic"/>
    <s v="362-000530"/>
    <x v="6"/>
    <s v="GLG0195120"/>
    <d v="2019-02-20T16:16:02"/>
    <x v="0"/>
    <s v="Lot 141538"/>
    <n v="195"/>
    <s v="M²"/>
    <n v="9.5"/>
    <n v="1852.5"/>
    <s v="PLN"/>
    <x v="0"/>
    <d v="2019-02-20T00:00:00"/>
    <x v="4"/>
  </r>
  <r>
    <s v="SO0002205"/>
    <s v="Domestic"/>
    <s v="362-000530"/>
    <x v="6"/>
    <s v="GLG0195120"/>
    <d v="2019-03-06T18:11:43"/>
    <x v="7"/>
    <s v="Lot 143860"/>
    <n v="487.5"/>
    <s v="M²"/>
    <n v="8.3000000000000007"/>
    <n v="4046.25"/>
    <s v="PLN"/>
    <x v="0"/>
    <d v="2019-03-06T00:00:00"/>
    <x v="0"/>
  </r>
  <r>
    <s v="SO0002215"/>
    <s v="Domestic"/>
    <s v="362-000483"/>
    <x v="6"/>
    <s v="GLG0195120"/>
    <d v="2019-03-20T16:07:04"/>
    <x v="7"/>
    <s v="Lot 145609"/>
    <n v="10042.5"/>
    <s v="M²"/>
    <n v="7.5"/>
    <n v="75318.75"/>
    <s v="PLN"/>
    <x v="0"/>
    <d v="2019-03-20T00:00:00"/>
    <x v="0"/>
  </r>
  <r>
    <s v="SO0002218"/>
    <s v="Domestic"/>
    <s v="362-000543"/>
    <x v="6"/>
    <s v="GLG0195120"/>
    <d v="2019-03-25T15:55:49"/>
    <x v="7"/>
    <s v="Lot 146083"/>
    <n v="195"/>
    <s v="M²"/>
    <n v="6.5"/>
    <n v="1267.5"/>
    <s v="PLN"/>
    <x v="0"/>
    <d v="2019-03-25T00:00:00"/>
    <x v="0"/>
  </r>
  <r>
    <s v="SO0002219"/>
    <s v="Domestic"/>
    <s v="362-000780"/>
    <x v="6"/>
    <s v="GLG0195120"/>
    <d v="2019-03-26T16:15:30"/>
    <x v="7"/>
    <s v="Lot 146092"/>
    <n v="292.5"/>
    <s v="M²"/>
    <n v="8.5"/>
    <n v="2486.25"/>
    <s v="PLN"/>
    <x v="0"/>
    <d v="2019-03-25T00:00:00"/>
    <x v="0"/>
  </r>
  <r>
    <s v="SO0002224"/>
    <s v="Domestic"/>
    <s v="362-000526"/>
    <x v="6"/>
    <s v="GLG0195120"/>
    <d v="2019-03-29T15:40:58"/>
    <x v="7"/>
    <s v="Lot 147312"/>
    <n v="14040"/>
    <s v="M²"/>
    <n v="7.5"/>
    <n v="105300"/>
    <s v="PLN"/>
    <x v="0"/>
    <d v="2019-03-28T00:00:00"/>
    <x v="0"/>
  </r>
  <r>
    <s v="SO0002228"/>
    <s v="Domestic"/>
    <s v="362-000643"/>
    <x v="6"/>
    <s v="GLG0195120"/>
    <d v="2019-04-01T18:59:06"/>
    <x v="1"/>
    <s v="Lot 148363"/>
    <n v="2437.5"/>
    <s v="M²"/>
    <n v="6.5"/>
    <n v="15843.75"/>
    <s v="PLN"/>
    <x v="0"/>
    <d v="2019-04-01T00:00:00"/>
    <x v="6"/>
  </r>
  <r>
    <s v="SO0002229"/>
    <s v="Domestic"/>
    <s v="362-000726"/>
    <x v="6"/>
    <s v="GLG0195120"/>
    <d v="2019-04-01T20:03:32"/>
    <x v="1"/>
    <s v="Lot 148364"/>
    <n v="682.5"/>
    <s v="M²"/>
    <n v="7.5"/>
    <n v="5118.75"/>
    <s v="PLN"/>
    <x v="0"/>
    <d v="2019-04-01T00:00:00"/>
    <x v="6"/>
  </r>
  <r>
    <s v="SO0002243"/>
    <s v="Domestic"/>
    <s v="362-000784"/>
    <x v="6"/>
    <s v="GLG0195120"/>
    <d v="2019-04-12T17:57:09"/>
    <x v="1"/>
    <s v="Lot 150409"/>
    <n v="195"/>
    <s v="M²"/>
    <n v="9.5"/>
    <n v="1852.5"/>
    <s v="PLN"/>
    <x v="0"/>
    <d v="2019-04-15T00:00:00"/>
    <x v="6"/>
  </r>
  <r>
    <s v="SO0002246"/>
    <s v="Domestic"/>
    <s v="362-000563"/>
    <x v="6"/>
    <s v="GLG0195120"/>
    <d v="2019-04-15T17:41:56"/>
    <x v="1"/>
    <s v="Lot 150603"/>
    <n v="10042.5"/>
    <s v="M²"/>
    <n v="7"/>
    <n v="70297.5"/>
    <s v="PLN"/>
    <x v="0"/>
    <d v="2019-04-15T00:00:00"/>
    <x v="6"/>
  </r>
  <r>
    <s v="SO0002248"/>
    <s v="Domestic"/>
    <s v="362-000545"/>
    <x v="6"/>
    <s v="GLG0195120"/>
    <d v="2019-04-16T14:17:25"/>
    <x v="1"/>
    <s v="Lot 150619"/>
    <n v="4290"/>
    <s v="M²"/>
    <n v="7.5"/>
    <n v="32175"/>
    <s v="PLN"/>
    <x v="0"/>
    <d v="2019-04-16T00:00:00"/>
    <x v="6"/>
  </r>
  <r>
    <s v="SO0002250"/>
    <s v="Domestic"/>
    <s v="362-000583"/>
    <x v="6"/>
    <s v="GLG0195120"/>
    <d v="2019-04-16T20:37:41"/>
    <x v="1"/>
    <s v="Lot 150804"/>
    <n v="50017.5"/>
    <s v="M²"/>
    <n v="7.5"/>
    <n v="375131.25"/>
    <s v="PLN"/>
    <x v="0"/>
    <d v="2019-04-16T00:00:00"/>
    <x v="6"/>
  </r>
  <r>
    <s v="SO0002251"/>
    <s v="Domestic"/>
    <s v="362-000139"/>
    <x v="6"/>
    <s v="GLG0195120"/>
    <d v="2019-04-16T20:44:33"/>
    <x v="1"/>
    <s v="Lot 150806"/>
    <n v="26520"/>
    <s v="M²"/>
    <n v="7"/>
    <n v="185640"/>
    <s v="PLN"/>
    <x v="0"/>
    <d v="2019-04-16T00:00:00"/>
    <x v="6"/>
  </r>
  <r>
    <s v="SO0002253"/>
    <s v="Domestic"/>
    <s v="362-000472"/>
    <x v="6"/>
    <s v="GLG0195120"/>
    <d v="2019-04-16T21:11:39"/>
    <x v="1"/>
    <s v="Lot 150809"/>
    <n v="1950"/>
    <s v="M²"/>
    <n v="7.5"/>
    <n v="14625"/>
    <s v="PLN"/>
    <x v="0"/>
    <d v="2019-04-16T00:00:00"/>
    <x v="6"/>
  </r>
  <r>
    <s v="SO0002257"/>
    <s v="Domestic"/>
    <s v="362-000485"/>
    <x v="6"/>
    <s v="GLG0195120"/>
    <d v="2019-05-06T14:20:11"/>
    <x v="2"/>
    <s v="Lot 151513"/>
    <n v="3900"/>
    <s v="M²"/>
    <n v="18"/>
    <n v="70200"/>
    <s v="PLN"/>
    <x v="0"/>
    <d v="2019-05-06T00:00:00"/>
    <x v="1"/>
  </r>
  <r>
    <s v="SO0002260"/>
    <s v="Domestic"/>
    <s v="362-000510"/>
    <x v="6"/>
    <s v="GLG0195120"/>
    <d v="2019-05-06T17:34:09"/>
    <x v="2"/>
    <s v="Lot 151523"/>
    <n v="682.5"/>
    <s v="M²"/>
    <n v="7.5"/>
    <n v="5118.75"/>
    <s v="PLN"/>
    <x v="0"/>
    <d v="2019-05-06T00:00:00"/>
    <x v="1"/>
  </r>
  <r>
    <s v="SO0002265"/>
    <s v="Domestic"/>
    <s v="362-000485"/>
    <x v="6"/>
    <s v="GLG0195120"/>
    <d v="2019-05-07T20:04:46"/>
    <x v="2"/>
    <s v="Lot 151802"/>
    <n v="-3900"/>
    <s v="M²"/>
    <n v="18"/>
    <n v="-70200"/>
    <s v="PLN"/>
    <x v="0"/>
    <d v="2019-05-06T00:00:00"/>
    <x v="1"/>
  </r>
  <r>
    <s v="SO0002266"/>
    <s v="Domestic"/>
    <s v="362-000485"/>
    <x v="6"/>
    <s v="GLG0195120"/>
    <d v="2019-05-07T20:25:09"/>
    <x v="2"/>
    <s v="Lot 151804"/>
    <n v="3900"/>
    <s v="M²"/>
    <n v="6"/>
    <n v="23400"/>
    <s v="PLN"/>
    <x v="0"/>
    <d v="2019-05-06T00:00:00"/>
    <x v="1"/>
  </r>
  <r>
    <s v="SO0002274"/>
    <s v="Domestic"/>
    <s v="362-000558"/>
    <x v="6"/>
    <s v="GLG0195120"/>
    <d v="2019-05-09T14:57:40"/>
    <x v="2"/>
    <s v="Lot 152075"/>
    <n v="195"/>
    <s v="M²"/>
    <n v="9.5"/>
    <n v="1852.5"/>
    <s v="PLN"/>
    <x v="0"/>
    <d v="2019-05-09T00:00:00"/>
    <x v="1"/>
  </r>
  <r>
    <s v="SO0002276"/>
    <s v="Domestic"/>
    <s v="362-000485"/>
    <x v="6"/>
    <s v="GLG0195120"/>
    <d v="2019-05-10T14:02:47"/>
    <x v="2"/>
    <s v="Lot 152151"/>
    <n v="3900"/>
    <s v="M²"/>
    <n v="6"/>
    <n v="23400"/>
    <s v="PLN"/>
    <x v="0"/>
    <d v="2019-05-10T00:00:00"/>
    <x v="1"/>
  </r>
  <r>
    <s v="SO0002281"/>
    <s v="Domestic"/>
    <s v="362-000595"/>
    <x v="6"/>
    <s v="GLG0195120"/>
    <d v="2019-05-13T14:29:20"/>
    <x v="2"/>
    <s v="Lot 152348"/>
    <n v="682.5"/>
    <s v="M²"/>
    <n v="8.07"/>
    <n v="5507.78"/>
    <s v="PLN"/>
    <x v="0"/>
    <d v="2019-05-13T00:00:00"/>
    <x v="1"/>
  </r>
  <r>
    <s v="SO0002297"/>
    <s v="Domestic"/>
    <s v="362-000139"/>
    <x v="6"/>
    <s v="GLG0195120"/>
    <d v="2019-05-20T15:43:20"/>
    <x v="2"/>
    <s v="Lot 153472"/>
    <n v="6337.5"/>
    <s v="M²"/>
    <n v="6.5"/>
    <n v="41193.75"/>
    <s v="PLN"/>
    <x v="0"/>
    <d v="2019-05-22T00:00:00"/>
    <x v="1"/>
  </r>
  <r>
    <s v="SO0002310"/>
    <s v="Domestic"/>
    <s v="362-000512"/>
    <x v="6"/>
    <s v="GLG0195120"/>
    <d v="2019-05-28T15:44:24"/>
    <x v="2"/>
    <s v="Lot 155037"/>
    <n v="585"/>
    <s v="M²"/>
    <n v="8.17"/>
    <n v="4779.45"/>
    <s v="PLN"/>
    <x v="0"/>
    <d v="2019-05-28T00:00:00"/>
    <x v="1"/>
  </r>
  <r>
    <s v="SO0002315"/>
    <s v="Domestic"/>
    <s v="362-000650"/>
    <x v="6"/>
    <s v="GLG0195120"/>
    <d v="2019-06-04T15:56:24"/>
    <x v="3"/>
    <s v="Lot 155639"/>
    <n v="2730"/>
    <s v="M²"/>
    <n v="6.5"/>
    <n v="17745"/>
    <s v="PLN"/>
    <x v="0"/>
    <d v="2019-06-03T00:00:00"/>
    <x v="2"/>
  </r>
  <r>
    <s v="SO0002317"/>
    <s v="Domestic"/>
    <s v="362-000047"/>
    <x v="6"/>
    <s v="GLG0195120"/>
    <d v="2019-06-04T16:29:26"/>
    <x v="3"/>
    <s v="Lot 155695"/>
    <n v="5362.5"/>
    <s v="M²"/>
    <n v="7.5"/>
    <n v="40218.75"/>
    <s v="PLN"/>
    <x v="0"/>
    <d v="2019-06-03T00:00:00"/>
    <x v="2"/>
  </r>
  <r>
    <s v="SO0002318"/>
    <s v="Domestic"/>
    <s v="362-000627"/>
    <x v="6"/>
    <s v="GLG0195120"/>
    <d v="2019-06-04T18:14:49"/>
    <x v="3"/>
    <s v="Lot 156096"/>
    <n v="195"/>
    <s v="M²"/>
    <n v="7.5"/>
    <n v="1462.5"/>
    <s v="PLN"/>
    <x v="0"/>
    <d v="2019-06-04T00:00:00"/>
    <x v="2"/>
  </r>
  <r>
    <s v="SO0002324"/>
    <s v="Domestic"/>
    <s v="362-000643"/>
    <x v="6"/>
    <s v="GLG0195120"/>
    <d v="2019-06-05T17:55:22"/>
    <x v="3"/>
    <s v="Lot 156543"/>
    <n v="7020"/>
    <s v="M²"/>
    <n v="7.5"/>
    <n v="52650"/>
    <s v="PLN"/>
    <x v="0"/>
    <d v="2019-06-05T00:00:00"/>
    <x v="2"/>
  </r>
  <r>
    <s v="SO0002326"/>
    <s v="Domestic"/>
    <s v="362-000540"/>
    <x v="6"/>
    <s v="GLG0195120"/>
    <d v="2019-06-07T14:39:05"/>
    <x v="3"/>
    <s v="Lot 156906"/>
    <n v="15600"/>
    <s v="M²"/>
    <n v="7.5"/>
    <n v="117000"/>
    <s v="PLN"/>
    <x v="0"/>
    <d v="2019-06-06T00:00:00"/>
    <x v="2"/>
  </r>
  <r>
    <s v="SO0002328"/>
    <s v="Domestic"/>
    <s v="362-000595"/>
    <x v="6"/>
    <s v="GLG0195120"/>
    <d v="2019-06-10T14:59:32"/>
    <x v="3"/>
    <s v="Lot 157118"/>
    <n v="877.5"/>
    <s v="M²"/>
    <n v="7.94"/>
    <n v="6967.35"/>
    <s v="PLN"/>
    <x v="0"/>
    <d v="2019-06-10T00:00:00"/>
    <x v="2"/>
  </r>
  <r>
    <s v="SO0002329"/>
    <s v="Domestic"/>
    <s v="362-000650"/>
    <x v="6"/>
    <s v="GLG0195120"/>
    <d v="2019-06-10T15:05:29"/>
    <x v="3"/>
    <s v="Lot 157120"/>
    <n v="2535"/>
    <s v="M²"/>
    <n v="6.5"/>
    <n v="16477.5"/>
    <s v="PLN"/>
    <x v="0"/>
    <d v="2019-06-10T00:00:00"/>
    <x v="2"/>
  </r>
  <r>
    <s v="SO0002330"/>
    <s v="Domestic"/>
    <s v="362-000744"/>
    <x v="6"/>
    <s v="GLG0195120"/>
    <d v="2019-06-10T15:09:34"/>
    <x v="3"/>
    <s v="Lot 157121"/>
    <n v="19207.5"/>
    <s v="M²"/>
    <n v="7"/>
    <n v="134452.5"/>
    <s v="PLN"/>
    <x v="0"/>
    <d v="2019-06-10T00:00:00"/>
    <x v="2"/>
  </r>
  <r>
    <s v="SO0002332"/>
    <s v="Domestic"/>
    <s v="362-000721"/>
    <x v="6"/>
    <s v="GLG0195120"/>
    <d v="2019-06-11T15:10:40"/>
    <x v="3"/>
    <s v="Lot 157342"/>
    <n v="585"/>
    <s v="M²"/>
    <n v="7.76"/>
    <n v="4539.6000000000004"/>
    <s v="PLN"/>
    <x v="0"/>
    <d v="2019-06-11T00:00:00"/>
    <x v="2"/>
  </r>
  <r>
    <s v="SO0002339"/>
    <s v="Domestic"/>
    <s v="362-000652"/>
    <x v="6"/>
    <s v="GLG0195120"/>
    <d v="2019-06-12T18:56:29"/>
    <x v="3"/>
    <s v="Lot 157758"/>
    <n v="9750"/>
    <s v="M²"/>
    <n v="7.5"/>
    <n v="73125"/>
    <s v="PLN"/>
    <x v="0"/>
    <d v="2019-06-12T00:00:00"/>
    <x v="2"/>
  </r>
  <r>
    <s v="SO0002341"/>
    <s v="Domestic"/>
    <s v="362-000717"/>
    <x v="6"/>
    <s v="GLG0195120"/>
    <d v="2019-06-13T20:35:25"/>
    <x v="3"/>
    <s v="Lot 157890"/>
    <n v="15210"/>
    <s v="M²"/>
    <n v="7.5"/>
    <n v="114075"/>
    <s v="PLN"/>
    <x v="0"/>
    <d v="2019-06-13T00:00:00"/>
    <x v="2"/>
  </r>
  <r>
    <s v="SO0002342"/>
    <s v="Domestic"/>
    <s v="362-000545"/>
    <x v="6"/>
    <s v="GLG0195120"/>
    <d v="2019-06-14T17:40:12"/>
    <x v="3"/>
    <s v="Lot 158663"/>
    <n v="3900"/>
    <s v="M²"/>
    <n v="6.5"/>
    <n v="25350"/>
    <s v="PLN"/>
    <x v="0"/>
    <d v="2019-06-14T00:00:00"/>
    <x v="2"/>
  </r>
  <r>
    <s v="SO0002343"/>
    <s v="Domestic"/>
    <s v="362-000529"/>
    <x v="6"/>
    <s v="GLG0195120"/>
    <d v="2019-06-14T18:00:48"/>
    <x v="3"/>
    <s v="Lot 158664"/>
    <n v="1950"/>
    <s v="M²"/>
    <n v="7.5"/>
    <n v="14625"/>
    <s v="PLN"/>
    <x v="0"/>
    <d v="2019-06-14T00:00:00"/>
    <x v="2"/>
  </r>
  <r>
    <s v="SO0002345"/>
    <s v="Domestic"/>
    <s v="362-000510"/>
    <x v="6"/>
    <s v="GLG0195120"/>
    <d v="2019-06-17T20:19:04"/>
    <x v="3"/>
    <s v="Lot 159168"/>
    <n v="877.5"/>
    <s v="M²"/>
    <n v="7"/>
    <n v="6142.5"/>
    <s v="PLN"/>
    <x v="0"/>
    <d v="2019-06-17T00:00:00"/>
    <x v="2"/>
  </r>
  <r>
    <s v="SO0002349"/>
    <s v="Domestic"/>
    <s v="362-000744"/>
    <x v="6"/>
    <s v="GLG0195120"/>
    <d v="2019-06-24T14:08:51"/>
    <x v="3"/>
    <s v="Lot 159757"/>
    <n v="3900"/>
    <s v="M²"/>
    <n v="7"/>
    <n v="27300"/>
    <s v="PLN"/>
    <x v="0"/>
    <d v="2019-06-24T00:00:00"/>
    <x v="2"/>
  </r>
  <r>
    <s v="SO0002350"/>
    <s v="Domestic"/>
    <s v="362-000529"/>
    <x v="6"/>
    <s v="GLG0195120"/>
    <d v="2019-06-24T14:37:38"/>
    <x v="3"/>
    <s v="Lot 159759"/>
    <n v="12285"/>
    <s v="M²"/>
    <n v="7.5"/>
    <n v="92137.5"/>
    <s v="PLN"/>
    <x v="0"/>
    <d v="2019-06-24T00:00:00"/>
    <x v="2"/>
  </r>
  <r>
    <s v="SO0002351"/>
    <s v="Domestic"/>
    <s v="362-000490"/>
    <x v="6"/>
    <s v="GLG0195120"/>
    <d v="2019-06-24T15:28:21"/>
    <x v="3"/>
    <s v="Lot 159760"/>
    <n v="9750"/>
    <s v="M²"/>
    <n v="6"/>
    <n v="58500"/>
    <s v="PLN"/>
    <x v="0"/>
    <d v="2019-06-24T00:00:00"/>
    <x v="2"/>
  </r>
  <r>
    <s v="SO0002352"/>
    <s v="IC-AX"/>
    <s v="362-000418"/>
    <x v="5"/>
    <s v="GLG0195120"/>
    <d v="2019-06-24T20:17:47"/>
    <x v="3"/>
    <s v="Lot 159845"/>
    <n v="-19305"/>
    <s v="M²"/>
    <n v="0.67"/>
    <n v="-12934.35"/>
    <s v="EUR"/>
    <x v="0"/>
    <d v="2019-06-24T00:00:00"/>
    <x v="2"/>
  </r>
  <r>
    <s v="SO0002353"/>
    <s v="Domestic"/>
    <s v="362-000545"/>
    <x v="6"/>
    <s v="GLG0195120"/>
    <d v="2019-06-25T13:41:11"/>
    <x v="3"/>
    <s v="Lot 159854"/>
    <n v="4680"/>
    <s v="M²"/>
    <n v="6.5"/>
    <n v="30420"/>
    <s v="PLN"/>
    <x v="0"/>
    <d v="2019-06-24T00:00:00"/>
    <x v="2"/>
  </r>
  <r>
    <s v="SO0002355"/>
    <s v="Domestic"/>
    <s v="362-000493"/>
    <x v="6"/>
    <s v="GLG0195120"/>
    <d v="2019-06-25T13:48:46"/>
    <x v="3"/>
    <s v="Lot 159856"/>
    <n v="6240"/>
    <s v="M²"/>
    <n v="7.5"/>
    <n v="46800"/>
    <s v="PLN"/>
    <x v="0"/>
    <d v="2019-06-25T00:00:00"/>
    <x v="2"/>
  </r>
  <r>
    <s v="SO0002360"/>
    <s v="Domestic"/>
    <s v="362-000485"/>
    <x v="6"/>
    <s v="GLG0195120"/>
    <d v="2019-07-02T14:51:41"/>
    <x v="4"/>
    <s v="Lot 161769"/>
    <n v="3900"/>
    <s v="M²"/>
    <n v="6"/>
    <n v="23400"/>
    <s v="PLN"/>
    <x v="0"/>
    <d v="2019-07-16T00:00:00"/>
    <x v="9"/>
  </r>
  <r>
    <s v="SO0002361"/>
    <s v="Domestic"/>
    <s v="362-000540"/>
    <x v="6"/>
    <s v="GLG0195120"/>
    <d v="2019-07-02T14:53:37"/>
    <x v="4"/>
    <s v="Lot 161771"/>
    <n v="1755"/>
    <s v="M²"/>
    <n v="7.5"/>
    <n v="13162.5"/>
    <s v="PLN"/>
    <x v="0"/>
    <d v="2019-07-01T00:00:00"/>
    <x v="9"/>
  </r>
  <r>
    <s v="SO0002362"/>
    <s v="Domestic"/>
    <s v="362-000490"/>
    <x v="6"/>
    <s v="GLG0195120"/>
    <d v="2019-07-02T18:11:07"/>
    <x v="4"/>
    <s v="Lot 162259"/>
    <n v="11700"/>
    <s v="M²"/>
    <n v="6"/>
    <n v="70200"/>
    <s v="PLN"/>
    <x v="0"/>
    <d v="2019-07-01T00:00:00"/>
    <x v="9"/>
  </r>
  <r>
    <s v="SO0002365"/>
    <s v="Domestic"/>
    <s v="362-000620"/>
    <x v="6"/>
    <s v="GLG0195120"/>
    <d v="2019-07-03T16:36:39"/>
    <x v="4"/>
    <s v="Lot 162464"/>
    <n v="487.5"/>
    <s v="M²"/>
    <n v="8.3000000000000007"/>
    <n v="4046.25"/>
    <s v="PLN"/>
    <x v="0"/>
    <d v="2019-07-03T00:00:00"/>
    <x v="9"/>
  </r>
  <r>
    <s v="SO0002365"/>
    <s v="Domestic"/>
    <s v="362-000620"/>
    <x v="6"/>
    <s v="GLG0195120"/>
    <d v="2019-07-03T17:19:34"/>
    <x v="4"/>
    <s v="Lot 162466"/>
    <n v="-487.5"/>
    <s v="M²"/>
    <n v="8.3000000000000007"/>
    <n v="-4046.25"/>
    <s v="PLN"/>
    <x v="0"/>
    <d v="2019-07-03T00:00:00"/>
    <x v="9"/>
  </r>
  <r>
    <s v="SO0002366"/>
    <s v="Domestic"/>
    <s v="362-000539"/>
    <x v="6"/>
    <s v="GLG0195120"/>
    <d v="2019-07-03T16:41:00"/>
    <x v="4"/>
    <s v="Lot 162465"/>
    <n v="4485"/>
    <s v="M²"/>
    <n v="7.5"/>
    <n v="33637.5"/>
    <s v="PLN"/>
    <x v="0"/>
    <d v="2019-07-03T00:00:00"/>
    <x v="9"/>
  </r>
  <r>
    <s v="SO0002373"/>
    <s v="Domestic"/>
    <s v="362-000490"/>
    <x v="6"/>
    <s v="GLG0195120"/>
    <d v="2019-07-08T17:16:25"/>
    <x v="4"/>
    <s v="Lot 163084"/>
    <n v="9750"/>
    <s v="M²"/>
    <n v="6"/>
    <n v="58500"/>
    <s v="PLN"/>
    <x v="0"/>
    <d v="2019-07-08T00:00:00"/>
    <x v="9"/>
  </r>
  <r>
    <s v="SO0002374"/>
    <s v="Domestic"/>
    <s v="362-000483"/>
    <x v="6"/>
    <s v="GLG0195120"/>
    <d v="2019-07-08T17:18:36"/>
    <x v="4"/>
    <s v="Lot 163085"/>
    <n v="3997.5"/>
    <s v="M²"/>
    <n v="7.5"/>
    <n v="29981.25"/>
    <s v="PLN"/>
    <x v="0"/>
    <d v="2019-07-08T00:00:00"/>
    <x v="9"/>
  </r>
  <r>
    <s v="SO0002375"/>
    <s v="Domestic"/>
    <s v="362-000508"/>
    <x v="6"/>
    <s v="GLG0195120"/>
    <d v="2019-07-08T17:22:24"/>
    <x v="4"/>
    <s v="Lot 163086"/>
    <n v="3997.5"/>
    <s v="M²"/>
    <n v="7"/>
    <n v="27982.5"/>
    <s v="PLN"/>
    <x v="0"/>
    <d v="2019-07-08T00:00:00"/>
    <x v="9"/>
  </r>
  <r>
    <s v="SO0002376"/>
    <s v="Domestic"/>
    <s v="362-000516"/>
    <x v="6"/>
    <s v="GLG0195120"/>
    <d v="2019-07-08T17:39:56"/>
    <x v="4"/>
    <s v="Lot 163104"/>
    <n v="390"/>
    <s v="M²"/>
    <n v="8.5"/>
    <n v="3315"/>
    <s v="PLN"/>
    <x v="0"/>
    <d v="2019-07-08T00:00:00"/>
    <x v="9"/>
  </r>
  <r>
    <s v="SO0002377"/>
    <s v="Domestic"/>
    <s v="362-000529"/>
    <x v="6"/>
    <s v="GLG0195120"/>
    <d v="2019-07-08T17:44:28"/>
    <x v="4"/>
    <s v="Lot 163105"/>
    <n v="1950"/>
    <s v="M²"/>
    <n v="7.5"/>
    <n v="14625"/>
    <s v="PLN"/>
    <x v="0"/>
    <d v="2019-07-08T00:00:00"/>
    <x v="9"/>
  </r>
  <r>
    <s v="SO0002379"/>
    <s v="Domestic"/>
    <s v="362-000780"/>
    <x v="6"/>
    <s v="GLG0195120"/>
    <d v="2019-07-09T14:39:51"/>
    <x v="4"/>
    <s v="Lot 163131"/>
    <n v="1950"/>
    <s v="M²"/>
    <n v="7.5"/>
    <n v="14625"/>
    <s v="PLN"/>
    <x v="0"/>
    <d v="2019-07-09T00:00:00"/>
    <x v="9"/>
  </r>
  <r>
    <s v="SO0002382"/>
    <s v="Domestic"/>
    <s v="362-000568"/>
    <x v="6"/>
    <s v="GLG0195120"/>
    <d v="2019-07-10T15:28:17"/>
    <x v="4"/>
    <s v="Lot 163862"/>
    <n v="487.5"/>
    <s v="M²"/>
    <n v="8.3000000000000007"/>
    <n v="4046.25"/>
    <s v="PLN"/>
    <x v="0"/>
    <d v="2019-07-09T00:00:00"/>
    <x v="9"/>
  </r>
  <r>
    <s v="SO0002385"/>
    <s v="Domestic"/>
    <s v="362-000508"/>
    <x v="6"/>
    <s v="GLG0195120"/>
    <d v="2019-07-11T20:15:46"/>
    <x v="4"/>
    <s v="Lot 164121"/>
    <n v="5850"/>
    <s v="M²"/>
    <n v="7"/>
    <n v="40950"/>
    <s v="PLN"/>
    <x v="0"/>
    <d v="2019-07-11T00:00:00"/>
    <x v="9"/>
  </r>
  <r>
    <s v="SO0002387"/>
    <s v="Domestic"/>
    <s v="362-000539"/>
    <x v="6"/>
    <s v="GLG0195120"/>
    <d v="2019-07-12T18:50:49"/>
    <x v="4"/>
    <s v="Lot 164265"/>
    <n v="1950"/>
    <s v="M²"/>
    <n v="7.5"/>
    <n v="14625"/>
    <s v="PLN"/>
    <x v="0"/>
    <d v="2019-07-12T00:00:00"/>
    <x v="9"/>
  </r>
  <r>
    <s v="SO0002390"/>
    <s v="Domestic"/>
    <s v="362-000745"/>
    <x v="6"/>
    <s v="GLG0195120"/>
    <d v="2019-07-12T19:57:55"/>
    <x v="4"/>
    <s v="Lot 164275"/>
    <n v="5167.5"/>
    <s v="M²"/>
    <n v="7.2"/>
    <n v="37206"/>
    <s v="PLN"/>
    <x v="0"/>
    <d v="2019-07-12T00:00:00"/>
    <x v="9"/>
  </r>
  <r>
    <s v="SO0002392"/>
    <s v="Domestic"/>
    <s v="362-000490"/>
    <x v="6"/>
    <s v="GLG0195120"/>
    <d v="2019-07-15T14:25:29"/>
    <x v="4"/>
    <s v="Lot 164315"/>
    <n v="5070"/>
    <s v="M²"/>
    <n v="7.5"/>
    <n v="38025"/>
    <s v="PLN"/>
    <x v="0"/>
    <d v="2019-07-12T00:00:00"/>
    <x v="9"/>
  </r>
  <r>
    <s v="SO0002396"/>
    <s v="Domestic"/>
    <s v="362-000583"/>
    <x v="6"/>
    <s v="GLG0195120"/>
    <d v="2019-07-16T15:57:56"/>
    <x v="4"/>
    <s v="Lot 164684"/>
    <n v="25057.5"/>
    <s v="M²"/>
    <n v="7.5"/>
    <n v="187931.25"/>
    <s v="PLN"/>
    <x v="0"/>
    <d v="2019-07-16T00:00:00"/>
    <x v="9"/>
  </r>
  <r>
    <s v="SO0002400"/>
    <s v="Domestic"/>
    <s v="362-000717"/>
    <x v="6"/>
    <s v="GLG0195120"/>
    <d v="2019-07-17T19:25:42"/>
    <x v="4"/>
    <s v="Lot 164900"/>
    <n v="5752.5"/>
    <s v="M²"/>
    <n v="7.5"/>
    <n v="43143.75"/>
    <s v="PLN"/>
    <x v="0"/>
    <d v="2019-07-17T00:00:00"/>
    <x v="9"/>
  </r>
  <r>
    <s v="SO0002408"/>
    <s v="Domestic"/>
    <s v="362-000810"/>
    <x v="6"/>
    <s v="GLG0195120"/>
    <d v="2019-07-22T17:40:03"/>
    <x v="4"/>
    <s v="Lot 165503"/>
    <n v="195"/>
    <s v="M²"/>
    <n v="7.5"/>
    <n v="1462.5"/>
    <s v="PLN"/>
    <x v="0"/>
    <d v="2019-07-18T00:00:00"/>
    <x v="9"/>
  </r>
  <r>
    <s v="SO0002409"/>
    <s v="Domestic"/>
    <s v="362-000518"/>
    <x v="6"/>
    <s v="GLG0195120"/>
    <d v="2019-07-22T17:48:16"/>
    <x v="4"/>
    <s v="Lot 165530"/>
    <n v="6045"/>
    <s v="M²"/>
    <n v="7"/>
    <n v="42315"/>
    <s v="PLN"/>
    <x v="0"/>
    <d v="2019-07-22T00:00:00"/>
    <x v="9"/>
  </r>
  <r>
    <s v="SO0002412"/>
    <s v="Domestic"/>
    <s v="362-000510"/>
    <x v="6"/>
    <s v="GLG0195120"/>
    <d v="2019-07-22T17:58:26"/>
    <x v="4"/>
    <s v="Lot 165581"/>
    <n v="10042.5"/>
    <s v="M²"/>
    <n v="7"/>
    <n v="70297.5"/>
    <s v="PLN"/>
    <x v="0"/>
    <d v="2019-07-24T00:00:00"/>
    <x v="9"/>
  </r>
  <r>
    <s v="SO0002414"/>
    <s v="Domestic"/>
    <s v="362-000613"/>
    <x v="6"/>
    <s v="GLG0195120"/>
    <d v="2019-07-22T19:45:13"/>
    <x v="4"/>
    <s v="Lot 165585"/>
    <n v="1365"/>
    <s v="M²"/>
    <n v="7.7799999999999994"/>
    <n v="10619.7"/>
    <s v="PLN"/>
    <x v="0"/>
    <d v="2019-07-23T00:00:00"/>
    <x v="9"/>
  </r>
  <r>
    <s v="SO0002415"/>
    <s v="Domestic"/>
    <s v="362-000526"/>
    <x v="6"/>
    <s v="GLG0195120"/>
    <d v="2019-07-22T19:54:07"/>
    <x v="4"/>
    <s v="Lot 165587"/>
    <n v="7995"/>
    <s v="M²"/>
    <n v="7.5"/>
    <n v="59962.5"/>
    <s v="PLN"/>
    <x v="0"/>
    <d v="2019-07-24T00:00:00"/>
    <x v="9"/>
  </r>
  <r>
    <s v="SO0002416"/>
    <s v="Domestic"/>
    <s v="362-000485"/>
    <x v="6"/>
    <s v="GLG0195120"/>
    <d v="2019-07-22T20:08:15"/>
    <x v="4"/>
    <s v="Lot 165589"/>
    <n v="12285"/>
    <s v="M²"/>
    <n v="6"/>
    <n v="73710"/>
    <s v="PLN"/>
    <x v="0"/>
    <d v="2019-07-24T00:00:00"/>
    <x v="9"/>
  </r>
  <r>
    <s v="SO0002420"/>
    <s v="Domestic"/>
    <s v="362-000139"/>
    <x v="6"/>
    <s v="GLG0195120"/>
    <d v="2019-07-25T16:07:54"/>
    <x v="4"/>
    <s v="Lot 166287"/>
    <n v="1950"/>
    <s v="M²"/>
    <n v="6.5"/>
    <n v="12675"/>
    <s v="PLN"/>
    <x v="0"/>
    <d v="2019-07-25T00:00:00"/>
    <x v="9"/>
  </r>
  <r>
    <s v="SO0002424"/>
    <s v="Domestic"/>
    <s v="362-000485"/>
    <x v="6"/>
    <s v="GLG0195120"/>
    <d v="2019-07-26T13:39:32"/>
    <x v="4"/>
    <s v="Lot 166344"/>
    <n v="-12285"/>
    <s v="M²"/>
    <n v="6"/>
    <n v="-73710"/>
    <s v="PLN"/>
    <x v="0"/>
    <d v="2019-07-26T00:00:00"/>
    <x v="9"/>
  </r>
  <r>
    <s v="SO0002425"/>
    <s v="Domestic"/>
    <s v="362-000472"/>
    <x v="6"/>
    <s v="GLG0195120"/>
    <d v="2019-07-26T14:22:56"/>
    <x v="4"/>
    <s v="Lot 166346"/>
    <n v="487.5"/>
    <s v="M²"/>
    <n v="7.5"/>
    <n v="3656.25"/>
    <s v="PLN"/>
    <x v="0"/>
    <d v="2019-07-25T00:00:00"/>
    <x v="9"/>
  </r>
  <r>
    <s v="SO0002426"/>
    <s v="Domestic"/>
    <s v="362-000490"/>
    <x v="6"/>
    <s v="GLG0195120"/>
    <d v="2019-07-26T17:56:18"/>
    <x v="4"/>
    <s v="Lot 166499"/>
    <n v="4680"/>
    <s v="M²"/>
    <n v="7.5"/>
    <n v="35100"/>
    <s v="PLN"/>
    <x v="0"/>
    <d v="2019-07-26T00:00:00"/>
    <x v="9"/>
  </r>
  <r>
    <s v="SO0002430"/>
    <s v="Domestic"/>
    <s v="362-000613"/>
    <x v="6"/>
    <s v="GLG0195120"/>
    <d v="2019-07-29T15:20:06"/>
    <x v="4"/>
    <s v="Lot 166507"/>
    <n v="1365"/>
    <s v="M²"/>
    <n v="7.5"/>
    <n v="10237.5"/>
    <s v="PLN"/>
    <x v="0"/>
    <d v="2019-07-26T00:00:00"/>
    <x v="9"/>
  </r>
  <r>
    <s v="SO0002432"/>
    <s v="Domestic"/>
    <s v="362-000562"/>
    <x v="6"/>
    <s v="GLG0195120"/>
    <d v="2019-07-29T19:30:53"/>
    <x v="4"/>
    <s v="Lot 166699"/>
    <n v="6825"/>
    <s v="M²"/>
    <n v="5.9"/>
    <n v="40267.5"/>
    <s v="PLN"/>
    <x v="0"/>
    <d v="2019-07-29T00:00:00"/>
    <x v="9"/>
  </r>
  <r>
    <s v="SO0002434"/>
    <s v="Domestic"/>
    <s v="362-000383"/>
    <x v="6"/>
    <s v="GLG0195120"/>
    <d v="2019-08-01T15:39:49"/>
    <x v="9"/>
    <s v="Lot 167178"/>
    <n v="780"/>
    <s v="M²"/>
    <n v="7.75"/>
    <n v="6045"/>
    <s v="PLN"/>
    <x v="0"/>
    <d v="2019-08-01T00:00:00"/>
    <x v="3"/>
  </r>
  <r>
    <s v="SO0002435"/>
    <s v="Domestic"/>
    <s v="362-000627"/>
    <x v="6"/>
    <s v="GLG0195120"/>
    <d v="2019-08-01T15:43:16"/>
    <x v="9"/>
    <s v="Lot 167179"/>
    <n v="1560"/>
    <s v="M²"/>
    <n v="7.75"/>
    <n v="12090"/>
    <s v="PLN"/>
    <x v="0"/>
    <d v="2019-08-01T00:00:00"/>
    <x v="3"/>
  </r>
  <r>
    <s v="SO0002441"/>
    <s v="Domestic"/>
    <s v="362-000744"/>
    <x v="6"/>
    <s v="GLG0195120"/>
    <d v="2019-08-01T16:20:02"/>
    <x v="9"/>
    <s v="Lot 167338"/>
    <n v="7995"/>
    <s v="M²"/>
    <n v="7"/>
    <n v="55965"/>
    <s v="PLN"/>
    <x v="0"/>
    <d v="2019-08-01T00:00:00"/>
    <x v="3"/>
  </r>
  <r>
    <s v="SO0002442"/>
    <s v="Domestic"/>
    <s v="362-000529"/>
    <x v="6"/>
    <s v="GLG0195120"/>
    <d v="2019-08-01T16:28:54"/>
    <x v="9"/>
    <s v="Lot 167340"/>
    <n v="5850"/>
    <s v="M²"/>
    <n v="7.5"/>
    <n v="43875"/>
    <s v="PLN"/>
    <x v="0"/>
    <d v="2019-08-01T00:00:00"/>
    <x v="3"/>
  </r>
  <r>
    <s v="SO0002445"/>
    <s v="Domestic"/>
    <s v="362-000518"/>
    <x v="6"/>
    <s v="GLG0195120"/>
    <d v="2019-08-01T20:22:48"/>
    <x v="9"/>
    <s v="Lot 167357"/>
    <n v="1755"/>
    <s v="M²"/>
    <n v="7.7200000000000006"/>
    <n v="13548.6"/>
    <s v="PLN"/>
    <x v="0"/>
    <d v="2019-08-01T00:00:00"/>
    <x v="3"/>
  </r>
  <r>
    <s v="SO0002448"/>
    <s v="Domestic"/>
    <s v="362-000514"/>
    <x v="6"/>
    <s v="GLG0195120"/>
    <d v="2019-08-02T15:51:33"/>
    <x v="9"/>
    <s v="Lot 167493"/>
    <n v="4095"/>
    <s v="M²"/>
    <n v="7"/>
    <n v="28665"/>
    <s v="PLN"/>
    <x v="0"/>
    <d v="2019-08-02T00:00:00"/>
    <x v="3"/>
  </r>
  <r>
    <s v="SO0002452"/>
    <s v="Domestic"/>
    <s v="362-000764"/>
    <x v="6"/>
    <s v="GLG0195120"/>
    <d v="2019-08-06T14:21:37"/>
    <x v="9"/>
    <s v="Lot 167940"/>
    <n v="5850"/>
    <s v="M²"/>
    <n v="7"/>
    <n v="40950"/>
    <s v="PLN"/>
    <x v="0"/>
    <d v="2019-08-05T00:00:00"/>
    <x v="3"/>
  </r>
  <r>
    <s v="SO0002452"/>
    <s v="Domestic"/>
    <s v="362-000764"/>
    <x v="6"/>
    <s v="GLG0195120"/>
    <d v="2019-08-06T14:54:40"/>
    <x v="9"/>
    <s v="Lot 167941"/>
    <n v="-5850"/>
    <s v="M²"/>
    <n v="7"/>
    <n v="-40950"/>
    <s v="PLN"/>
    <x v="0"/>
    <d v="2019-08-06T00:00:00"/>
    <x v="3"/>
  </r>
  <r>
    <s v="SO0002453"/>
    <s v="Domestic"/>
    <s v="362-000814"/>
    <x v="6"/>
    <s v="GLG0195120"/>
    <d v="2019-08-06T15:36:18"/>
    <x v="9"/>
    <s v="Lot 168064"/>
    <n v="5850"/>
    <s v="M²"/>
    <n v="7"/>
    <n v="40950"/>
    <s v="PLN"/>
    <x v="0"/>
    <d v="2019-08-05T00:00:00"/>
    <x v="3"/>
  </r>
  <r>
    <s v="SO0002454"/>
    <s v="Domestic"/>
    <s v="362-000643"/>
    <x v="6"/>
    <s v="GLG0195120"/>
    <d v="2019-08-06T16:07:00"/>
    <x v="9"/>
    <s v="Lot 168133"/>
    <n v="5655"/>
    <s v="M²"/>
    <n v="7.5"/>
    <n v="42412.5"/>
    <s v="PLN"/>
    <x v="0"/>
    <d v="2019-08-06T00:00:00"/>
    <x v="3"/>
  </r>
  <r>
    <s v="SO0002456"/>
    <s v="Domestic"/>
    <s v="362-000615"/>
    <x v="6"/>
    <s v="GLG0195120"/>
    <d v="2019-08-06T20:29:07"/>
    <x v="9"/>
    <s v="Lot 168158"/>
    <n v="292.5"/>
    <s v="M²"/>
    <n v="7.5"/>
    <n v="2193.75"/>
    <s v="PLN"/>
    <x v="0"/>
    <d v="2019-08-07T00:00:00"/>
    <x v="3"/>
  </r>
  <r>
    <s v="SO0002459"/>
    <s v="Domestic"/>
    <s v="362-000485"/>
    <x v="6"/>
    <s v="GLG0195120"/>
    <d v="2019-08-07T13:52:30"/>
    <x v="9"/>
    <s v="Lot 168162"/>
    <n v="9750"/>
    <s v="M²"/>
    <n v="6"/>
    <n v="58500"/>
    <s v="PLN"/>
    <x v="0"/>
    <d v="2019-08-07T00:00:00"/>
    <x v="3"/>
  </r>
  <r>
    <s v="SO0002460"/>
    <s v="Domestic"/>
    <s v="362-000814"/>
    <x v="6"/>
    <s v="GLG0195120"/>
    <d v="2019-08-07T14:20:32"/>
    <x v="9"/>
    <s v="Lot 168163"/>
    <n v="-5850"/>
    <s v="M²"/>
    <n v="7"/>
    <n v="-40950"/>
    <s v="PLN"/>
    <x v="0"/>
    <d v="2019-08-07T00:00:00"/>
    <x v="3"/>
  </r>
  <r>
    <s v="SO0002461"/>
    <s v="Domestic"/>
    <s v="362-000508"/>
    <x v="6"/>
    <s v="GLG0195120"/>
    <d v="2019-08-07T15:00:30"/>
    <x v="9"/>
    <s v="Lot 168246"/>
    <n v="8190"/>
    <s v="M²"/>
    <n v="7"/>
    <n v="57330"/>
    <s v="PLN"/>
    <x v="0"/>
    <d v="2019-08-07T00:00:00"/>
    <x v="3"/>
  </r>
  <r>
    <s v="SO0002461"/>
    <s v="Domestic"/>
    <s v="362-000508"/>
    <x v="6"/>
    <s v="GLG0195120"/>
    <d v="2019-08-07T17:32:32"/>
    <x v="9"/>
    <s v="Lot 168337"/>
    <n v="6337.5"/>
    <s v="M²"/>
    <n v="7"/>
    <n v="44362.5"/>
    <s v="PLN"/>
    <x v="0"/>
    <d v="2019-08-07T00:00:00"/>
    <x v="3"/>
  </r>
  <r>
    <s v="SO0002462"/>
    <s v="Domestic"/>
    <s v="362-000497"/>
    <x v="6"/>
    <s v="GLG0195120"/>
    <d v="2019-08-07T20:11:56"/>
    <x v="9"/>
    <s v="Lot 168341"/>
    <n v="4095"/>
    <s v="M²"/>
    <n v="7.5"/>
    <n v="30712.5"/>
    <s v="PLN"/>
    <x v="0"/>
    <d v="2019-08-07T00:00:00"/>
    <x v="3"/>
  </r>
  <r>
    <s v="SO0002463"/>
    <s v="Domestic"/>
    <s v="362-000508"/>
    <x v="6"/>
    <s v="GLG0195120"/>
    <d v="2019-08-08T14:58:34"/>
    <x v="9"/>
    <s v="Lot 168347"/>
    <n v="3120"/>
    <s v="M²"/>
    <n v="7"/>
    <n v="21840"/>
    <s v="PLN"/>
    <x v="0"/>
    <d v="2019-08-08T00:00:00"/>
    <x v="3"/>
  </r>
  <r>
    <s v="SO0002466"/>
    <s v="Domestic"/>
    <s v="362-000539"/>
    <x v="6"/>
    <s v="GLG0195120"/>
    <d v="2019-08-08T19:43:43"/>
    <x v="9"/>
    <s v="Lot 168497"/>
    <n v="3412.5"/>
    <s v="M²"/>
    <n v="7.5"/>
    <n v="25593.75"/>
    <s v="PLN"/>
    <x v="0"/>
    <d v="2019-08-08T00:00:00"/>
    <x v="3"/>
  </r>
  <r>
    <s v="SO0002467"/>
    <s v="Domestic"/>
    <s v="362-000558"/>
    <x v="6"/>
    <s v="GLG0195120"/>
    <d v="2019-08-09T15:10:45"/>
    <x v="9"/>
    <s v="Lot 168568"/>
    <n v="1072.5"/>
    <s v="M²"/>
    <n v="7.82"/>
    <n v="8386.9500000000007"/>
    <s v="PLN"/>
    <x v="0"/>
    <d v="2019-08-09T00:00:00"/>
    <x v="3"/>
  </r>
  <r>
    <s v="SO0002468"/>
    <s v="Domestic"/>
    <s v="362-000576"/>
    <x v="6"/>
    <s v="GLG0195120"/>
    <d v="2019-08-09T15:31:53"/>
    <x v="9"/>
    <s v="Lot 168569"/>
    <n v="3510"/>
    <s v="M²"/>
    <n v="6.7"/>
    <n v="23517"/>
    <s v="PLN"/>
    <x v="0"/>
    <d v="2019-08-09T00:00:00"/>
    <x v="3"/>
  </r>
  <r>
    <s v="SO0002470"/>
    <s v="Domestic"/>
    <s v="362-000494"/>
    <x v="6"/>
    <s v="GLG0195120"/>
    <d v="2019-08-09T17:55:55"/>
    <x v="9"/>
    <s v="Lot 168783"/>
    <n v="6630"/>
    <s v="M²"/>
    <n v="7.5"/>
    <n v="49725"/>
    <s v="PLN"/>
    <x v="0"/>
    <d v="2019-08-12T00:00:00"/>
    <x v="3"/>
  </r>
  <r>
    <s v="SO0002473"/>
    <s v="Domestic"/>
    <s v="362-000485"/>
    <x v="6"/>
    <s v="GLG0195120"/>
    <d v="2019-08-12T18:39:36"/>
    <x v="9"/>
    <s v="Lot 169003"/>
    <n v="-3900"/>
    <s v="M²"/>
    <n v="6"/>
    <n v="-23400"/>
    <s v="PLN"/>
    <x v="0"/>
    <d v="2019-08-12T00:00:00"/>
    <x v="3"/>
  </r>
  <r>
    <s v="SO0002473"/>
    <s v="Domestic"/>
    <s v="362-000485"/>
    <x v="6"/>
    <s v="GLG0195120"/>
    <d v="2019-08-12T18:39:36"/>
    <x v="9"/>
    <s v="Lot 169004"/>
    <n v="1950"/>
    <s v="M²"/>
    <n v="6"/>
    <n v="11700"/>
    <s v="PLN"/>
    <x v="0"/>
    <d v="2019-08-12T00:00:00"/>
    <x v="3"/>
  </r>
  <r>
    <s v="SO0002478"/>
    <s v="Domestic"/>
    <s v="362-000485"/>
    <x v="6"/>
    <s v="GLG0195120"/>
    <d v="2019-08-12T21:07:19"/>
    <x v="9"/>
    <s v="Lot 169034"/>
    <n v="3900"/>
    <s v="M²"/>
    <n v="6"/>
    <n v="23400"/>
    <s v="PLN"/>
    <x v="0"/>
    <d v="2019-08-12T00:00:00"/>
    <x v="3"/>
  </r>
  <r>
    <s v="SO0002478"/>
    <s v="Domestic"/>
    <s v="362-000485"/>
    <x v="6"/>
    <s v="GLG0195120"/>
    <d v="2019-08-12T21:07:19"/>
    <x v="9"/>
    <s v="Lot 169035"/>
    <n v="-1950"/>
    <s v="M²"/>
    <n v="6"/>
    <n v="-11700"/>
    <s v="PLN"/>
    <x v="0"/>
    <d v="2019-08-12T00:00:00"/>
    <x v="3"/>
  </r>
  <r>
    <s v="SO0002481"/>
    <s v="Domestic"/>
    <s v="362-000814"/>
    <x v="6"/>
    <s v="GLG0195120"/>
    <d v="2019-08-19T15:28:18"/>
    <x v="9"/>
    <s v="Lot 169766"/>
    <n v="5850"/>
    <s v="M²"/>
    <n v="7"/>
    <n v="40950"/>
    <s v="PLN"/>
    <x v="0"/>
    <d v="2019-08-14T00:00:00"/>
    <x v="3"/>
  </r>
  <r>
    <s v="SO0002483"/>
    <s v="Domestic"/>
    <s v="362-000543"/>
    <x v="6"/>
    <s v="GLG0195120"/>
    <d v="2019-08-19T15:47:50"/>
    <x v="9"/>
    <s v="Lot 169773"/>
    <n v="3510"/>
    <s v="M²"/>
    <n v="7.5"/>
    <n v="26325"/>
    <s v="PLN"/>
    <x v="0"/>
    <d v="2019-08-14T00:00:00"/>
    <x v="3"/>
  </r>
  <r>
    <s v="SO0002485"/>
    <s v="Domestic"/>
    <s v="362-000744"/>
    <x v="6"/>
    <s v="GLG0195120"/>
    <d v="2019-08-19T16:02:45"/>
    <x v="9"/>
    <s v="Lot 169802"/>
    <n v="10140"/>
    <s v="M²"/>
    <n v="7"/>
    <n v="70980"/>
    <s v="PLN"/>
    <x v="0"/>
    <d v="2019-08-16T00:00:00"/>
    <x v="3"/>
  </r>
  <r>
    <s v="SO0002488"/>
    <s v="Domestic"/>
    <s v="362-000529"/>
    <x v="6"/>
    <s v="GLG0195120"/>
    <d v="2019-08-19T16:16:14"/>
    <x v="9"/>
    <s v="Lot 169836"/>
    <n v="975"/>
    <s v="M²"/>
    <n v="7.5"/>
    <n v="7312.5"/>
    <s v="PLN"/>
    <x v="0"/>
    <d v="2019-08-14T00:00:00"/>
    <x v="3"/>
  </r>
  <r>
    <s v="SO0002491"/>
    <s v="Domestic"/>
    <s v="362-000733"/>
    <x v="6"/>
    <s v="GLG0195120"/>
    <d v="2019-08-19T16:32:07"/>
    <x v="9"/>
    <s v="Lot 169839"/>
    <n v="195"/>
    <s v="M²"/>
    <n v="8.5"/>
    <n v="1657.5"/>
    <s v="PLN"/>
    <x v="0"/>
    <d v="2019-08-14T00:00:00"/>
    <x v="3"/>
  </r>
  <r>
    <s v="SO0002499"/>
    <s v="Domestic"/>
    <s v="362-000572"/>
    <x v="6"/>
    <s v="GLG0195120"/>
    <d v="2019-08-20T19:21:08"/>
    <x v="9"/>
    <s v="Lot 170200"/>
    <n v="7410"/>
    <s v="M²"/>
    <n v="7.5"/>
    <n v="55575"/>
    <s v="PLN"/>
    <x v="0"/>
    <d v="2019-08-20T00:00:00"/>
    <x v="3"/>
  </r>
  <r>
    <s v="SO0002501"/>
    <s v="Domestic"/>
    <s v="362-000540"/>
    <x v="6"/>
    <s v="GLG0195120"/>
    <d v="2019-08-21T17:22:19"/>
    <x v="9"/>
    <s v="Lot 170426"/>
    <n v="3120"/>
    <s v="M²"/>
    <n v="7.5"/>
    <n v="23400"/>
    <s v="PLN"/>
    <x v="0"/>
    <d v="2019-08-21T00:00:00"/>
    <x v="3"/>
  </r>
  <r>
    <s v="SO0002502"/>
    <s v="Domestic"/>
    <s v="362-000383"/>
    <x v="6"/>
    <s v="GLG0195120"/>
    <d v="2019-08-21T18:06:06"/>
    <x v="9"/>
    <s v="Lot 170429"/>
    <n v="2730"/>
    <s v="M²"/>
    <n v="7.5"/>
    <n v="20475"/>
    <s v="PLN"/>
    <x v="0"/>
    <d v="2019-08-21T00:00:00"/>
    <x v="3"/>
  </r>
  <r>
    <s v="SO0002503"/>
    <s v="Domestic"/>
    <s v="362-000383"/>
    <x v="6"/>
    <s v="GLG0195120"/>
    <d v="2019-08-21T18:07:36"/>
    <x v="9"/>
    <s v="Lot 170430"/>
    <n v="390"/>
    <s v="M²"/>
    <n v="7.5"/>
    <n v="2925"/>
    <s v="PLN"/>
    <x v="0"/>
    <d v="2019-08-21T00:00:00"/>
    <x v="3"/>
  </r>
  <r>
    <s v="SO0002504"/>
    <s v="Domestic"/>
    <s v="362-000530"/>
    <x v="6"/>
    <s v="GLG0195120"/>
    <d v="2019-08-21T18:14:27"/>
    <x v="9"/>
    <s v="Lot 170431"/>
    <n v="487.5"/>
    <s v="M²"/>
    <n v="8.3000000000000007"/>
    <n v="4046.25"/>
    <s v="PLN"/>
    <x v="0"/>
    <d v="2019-08-21T00:00:00"/>
    <x v="3"/>
  </r>
  <r>
    <s v="SO0002505"/>
    <s v="Domestic"/>
    <s v="362-000615"/>
    <x v="6"/>
    <s v="GLG0195120"/>
    <d v="2019-08-21T20:13:52"/>
    <x v="9"/>
    <s v="Lot 170444"/>
    <n v="2242.5"/>
    <s v="M²"/>
    <n v="7.5"/>
    <n v="16818.75"/>
    <s v="PLN"/>
    <x v="0"/>
    <d v="2019-08-22T00:00:00"/>
    <x v="3"/>
  </r>
  <r>
    <s v="SO0002506"/>
    <s v="Domestic"/>
    <s v="362-000508"/>
    <x v="6"/>
    <s v="GLG0195120"/>
    <d v="2019-08-22T18:20:35"/>
    <x v="9"/>
    <s v="Lot 170632"/>
    <n v="10530"/>
    <s v="M²"/>
    <n v="7"/>
    <n v="73710"/>
    <s v="PLN"/>
    <x v="0"/>
    <d v="2019-08-22T00:00:00"/>
    <x v="3"/>
  </r>
  <r>
    <s v="SO0002507"/>
    <s v="Domestic"/>
    <s v="362-000620"/>
    <x v="6"/>
    <s v="GLG0195120"/>
    <d v="2019-08-22T18:23:08"/>
    <x v="9"/>
    <s v="Lot 170633"/>
    <n v="6337.5"/>
    <s v="M²"/>
    <n v="7.5"/>
    <n v="47531.25"/>
    <s v="PLN"/>
    <x v="0"/>
    <d v="2019-08-22T00:00:00"/>
    <x v="3"/>
  </r>
  <r>
    <s v="SO0002510"/>
    <s v="Domestic"/>
    <s v="362-000493"/>
    <x v="6"/>
    <s v="GLG0195120"/>
    <d v="2019-08-23T14:22:30"/>
    <x v="9"/>
    <s v="Lot 170704"/>
    <n v="19110"/>
    <s v="M²"/>
    <n v="7.2"/>
    <n v="137592"/>
    <s v="PLN"/>
    <x v="0"/>
    <d v="2019-08-22T00:00:00"/>
    <x v="3"/>
  </r>
  <r>
    <s v="SO0002516"/>
    <s v="Domestic"/>
    <s v="362-000139"/>
    <x v="6"/>
    <s v="GLG0195120"/>
    <d v="2019-08-26T15:20:21"/>
    <x v="9"/>
    <s v="Lot 170911"/>
    <n v="1170"/>
    <s v="M²"/>
    <n v="7.7299999999999995"/>
    <n v="9044.1"/>
    <s v="PLN"/>
    <x v="0"/>
    <d v="2019-08-26T00:00:00"/>
    <x v="3"/>
  </r>
  <r>
    <s v="SO0002517"/>
    <s v="Domestic"/>
    <s v="362-000643"/>
    <x v="6"/>
    <s v="GLG0195120"/>
    <d v="2019-08-26T15:26:39"/>
    <x v="9"/>
    <s v="Lot 170912"/>
    <n v="16672.5"/>
    <s v="M²"/>
    <n v="7.5"/>
    <n v="125043.75"/>
    <s v="PLN"/>
    <x v="0"/>
    <d v="2019-08-27T00:00:00"/>
    <x v="3"/>
  </r>
  <r>
    <s v="SO0002518"/>
    <s v="Domestic"/>
    <s v="362-000483"/>
    <x v="6"/>
    <s v="GLG0195120"/>
    <d v="2019-08-26T15:29:21"/>
    <x v="9"/>
    <s v="Lot 170913"/>
    <n v="4485"/>
    <s v="M²"/>
    <n v="7.5"/>
    <n v="33637.5"/>
    <s v="PLN"/>
    <x v="0"/>
    <d v="2019-08-26T00:00:00"/>
    <x v="3"/>
  </r>
  <r>
    <s v="SO0002519"/>
    <s v="Domestic"/>
    <s v="362-000816"/>
    <x v="6"/>
    <s v="GLG0195120"/>
    <d v="2019-08-26T15:49:12"/>
    <x v="9"/>
    <s v="Lot 170915"/>
    <n v="1170"/>
    <s v="M²"/>
    <n v="7.7200000000000006"/>
    <n v="9032.4"/>
    <s v="PLN"/>
    <x v="0"/>
    <d v="2019-08-16T00:00:00"/>
    <x v="3"/>
  </r>
  <r>
    <s v="SO0002525"/>
    <s v="Domestic"/>
    <s v="362-000821"/>
    <x v="6"/>
    <s v="GLG0195120"/>
    <d v="2019-08-26T17:16:09"/>
    <x v="9"/>
    <s v="Lot 170926"/>
    <n v="2340"/>
    <s v="M²"/>
    <n v="7.5"/>
    <n v="17550"/>
    <s v="PLN"/>
    <x v="0"/>
    <d v="2019-08-14T00:00:00"/>
    <x v="3"/>
  </r>
  <r>
    <s v="SO0002527"/>
    <s v="Domestic"/>
    <s v="362-000518"/>
    <x v="6"/>
    <s v="GLG0195120"/>
    <d v="2019-08-27T16:20:26"/>
    <x v="9"/>
    <s v="Lot 171220"/>
    <n v="18135"/>
    <s v="M²"/>
    <n v="7"/>
    <n v="126945"/>
    <s v="PLN"/>
    <x v="0"/>
    <d v="2019-08-27T00:00:00"/>
    <x v="3"/>
  </r>
  <r>
    <s v="SO0002531"/>
    <s v="Domestic"/>
    <s v="362-000501"/>
    <x v="6"/>
    <s v="GLG0195120"/>
    <d v="2019-08-28T15:51:55"/>
    <x v="9"/>
    <s v="Lot 171753"/>
    <n v="4095"/>
    <s v="M²"/>
    <n v="7.5"/>
    <n v="30712.5"/>
    <s v="PLN"/>
    <x v="0"/>
    <d v="2019-08-28T00:00:00"/>
    <x v="3"/>
  </r>
  <r>
    <s v="SO0002537"/>
    <s v="Domestic"/>
    <s v="362-000556"/>
    <x v="6"/>
    <s v="GLG0195120"/>
    <d v="2019-09-02T16:38:33"/>
    <x v="5"/>
    <s v="Lot 172082"/>
    <n v="487.5"/>
    <s v="M²"/>
    <n v="7.5"/>
    <n v="3656.25"/>
    <s v="PLN"/>
    <x v="0"/>
    <d v="2019-09-02T00:00:00"/>
    <x v="7"/>
  </r>
  <r>
    <s v="SO0002539"/>
    <s v="Domestic"/>
    <s v="362-000512"/>
    <x v="6"/>
    <s v="GLG0195120"/>
    <d v="2019-09-02T17:06:07"/>
    <x v="5"/>
    <s v="Lot 172103"/>
    <n v="975"/>
    <s v="M²"/>
    <n v="7.9"/>
    <n v="7702.5"/>
    <s v="PLN"/>
    <x v="0"/>
    <d v="2019-09-02T00:00:00"/>
    <x v="7"/>
  </r>
  <r>
    <s v="SO0002542"/>
    <s v="Domestic"/>
    <s v="362-000799"/>
    <x v="6"/>
    <s v="GLG0195120"/>
    <d v="2019-09-03T14:30:24"/>
    <x v="5"/>
    <s v="Lot 172346"/>
    <n v="3022.5"/>
    <s v="M²"/>
    <n v="7.5"/>
    <n v="22668.75"/>
    <s v="PLN"/>
    <x v="0"/>
    <d v="2019-09-03T00:00:00"/>
    <x v="7"/>
  </r>
  <r>
    <s v="SO0002543"/>
    <s v="Domestic"/>
    <s v="362-000514"/>
    <x v="6"/>
    <s v="GLG0195120"/>
    <d v="2019-09-03T14:32:18"/>
    <x v="5"/>
    <s v="Lot 172347"/>
    <n v="2145"/>
    <s v="M²"/>
    <n v="7"/>
    <n v="15015"/>
    <s v="PLN"/>
    <x v="0"/>
    <d v="2019-09-03T00:00:00"/>
    <x v="7"/>
  </r>
  <r>
    <s v="SO0002544"/>
    <s v="Domestic"/>
    <s v="362-000643"/>
    <x v="6"/>
    <s v="GLG0195120"/>
    <d v="2019-09-03T15:04:50"/>
    <x v="5"/>
    <s v="Lot 172400"/>
    <n v="4192.5"/>
    <s v="M²"/>
    <n v="7.5"/>
    <n v="31443.75"/>
    <s v="PLN"/>
    <x v="0"/>
    <d v="2019-09-02T00:00:00"/>
    <x v="7"/>
  </r>
  <r>
    <s v="SO0002546"/>
    <s v="Domestic"/>
    <s v="362-000643"/>
    <x v="6"/>
    <s v="GLG0195120"/>
    <d v="2019-09-09T15:17:28"/>
    <x v="5"/>
    <s v="Lot 172702"/>
    <n v="10042.5"/>
    <s v="M²"/>
    <n v="7.5"/>
    <n v="75318.75"/>
    <s v="PLN"/>
    <x v="0"/>
    <d v="2019-09-06T00:00:00"/>
    <x v="7"/>
  </r>
  <r>
    <s v="SO0002548"/>
    <s v="Domestic"/>
    <s v="362-000493"/>
    <x v="6"/>
    <s v="GLG0195120"/>
    <d v="2019-09-10T13:44:08"/>
    <x v="5"/>
    <s v="Lot 173678"/>
    <n v="292.5"/>
    <s v="M²"/>
    <n v="8.5299999999999994"/>
    <n v="2495.0300000000002"/>
    <s v="PLN"/>
    <x v="0"/>
    <d v="2019-09-02T00:00:00"/>
    <x v="7"/>
  </r>
  <r>
    <s v="SO0002554"/>
    <s v="Domestic"/>
    <s v="362-000696"/>
    <x v="6"/>
    <s v="GLG0195120"/>
    <d v="2019-09-10T14:48:30"/>
    <x v="5"/>
    <s v="Lot 173685"/>
    <n v="390"/>
    <s v="M²"/>
    <n v="7.5"/>
    <n v="2925"/>
    <s v="PLN"/>
    <x v="0"/>
    <d v="2019-09-10T00:00:00"/>
    <x v="7"/>
  </r>
  <r>
    <s v="SO0002557"/>
    <s v="Domestic"/>
    <s v="362-000518"/>
    <x v="6"/>
    <s v="GLG0195120"/>
    <d v="2019-09-11T19:54:22"/>
    <x v="5"/>
    <s v="Lot 173938"/>
    <n v="5850"/>
    <s v="M²"/>
    <n v="7.5"/>
    <n v="43875"/>
    <s v="PLN"/>
    <x v="0"/>
    <d v="2019-09-10T00:00:00"/>
    <x v="7"/>
  </r>
  <r>
    <s v="SO0002558"/>
    <s v="Domestic"/>
    <s v="362-000613"/>
    <x v="6"/>
    <s v="GLG0195120"/>
    <d v="2019-09-11T19:57:51"/>
    <x v="5"/>
    <s v="Lot 173940"/>
    <n v="780"/>
    <s v="M²"/>
    <n v="7.5"/>
    <n v="5850"/>
    <s v="PLN"/>
    <x v="0"/>
    <d v="2019-09-10T00:00:00"/>
    <x v="7"/>
  </r>
  <r>
    <s v="SO0002559"/>
    <s v="Domestic"/>
    <s v="362-000497"/>
    <x v="6"/>
    <s v="GLG0195120"/>
    <d v="2019-09-11T20:10:43"/>
    <x v="5"/>
    <s v="Lot 173941"/>
    <n v="7215"/>
    <s v="M²"/>
    <n v="7.5"/>
    <n v="54112.5"/>
    <s v="PLN"/>
    <x v="0"/>
    <d v="2019-09-10T00:00:00"/>
    <x v="7"/>
  </r>
  <r>
    <s v="SO0002561"/>
    <s v="Domestic"/>
    <s v="362-000510"/>
    <x v="6"/>
    <s v="GLG0195120"/>
    <d v="2019-09-11T20:22:34"/>
    <x v="5"/>
    <s v="Lot 173944"/>
    <n v="12967.5"/>
    <s v="M²"/>
    <n v="15.5"/>
    <n v="200996.25"/>
    <s v="PLN"/>
    <x v="0"/>
    <d v="2019-09-11T00:00:00"/>
    <x v="7"/>
  </r>
  <r>
    <s v="SO0002562"/>
    <s v="Domestic"/>
    <s v="362-000493"/>
    <x v="6"/>
    <s v="GLG0195120"/>
    <d v="2019-09-11T20:42:42"/>
    <x v="5"/>
    <s v="Lot 173946"/>
    <n v="1950"/>
    <s v="M²"/>
    <n v="7.2"/>
    <n v="14040"/>
    <s v="PLN"/>
    <x v="0"/>
    <d v="2019-09-11T00:00:00"/>
    <x v="7"/>
  </r>
  <r>
    <s v="SO0002563"/>
    <s v="Domestic"/>
    <s v="362-000627"/>
    <x v="6"/>
    <s v="GLG0195120"/>
    <d v="2019-09-11T20:47:18"/>
    <x v="5"/>
    <s v="Lot 173947"/>
    <n v="1267.5"/>
    <s v="M²"/>
    <n v="7.81"/>
    <n v="9899.18"/>
    <s v="PLN"/>
    <x v="0"/>
    <d v="2019-09-11T00:00:00"/>
    <x v="7"/>
  </r>
  <r>
    <s v="SO0002566"/>
    <s v="Domestic"/>
    <s v="362-000508"/>
    <x v="6"/>
    <s v="GLG0195120"/>
    <d v="2019-09-12T16:23:51"/>
    <x v="5"/>
    <s v="Lot 174252"/>
    <n v="5850"/>
    <s v="M²"/>
    <n v="7"/>
    <n v="40950"/>
    <s v="PLN"/>
    <x v="0"/>
    <d v="2019-09-11T00:00:00"/>
    <x v="7"/>
  </r>
  <r>
    <s v="SO0002569"/>
    <s v="Domestic"/>
    <s v="362-000508"/>
    <x v="6"/>
    <s v="GLG0195120"/>
    <d v="2019-09-12T20:27:21"/>
    <x v="5"/>
    <s v="Lot 174420"/>
    <n v="3900"/>
    <s v="M²"/>
    <n v="7"/>
    <n v="27300"/>
    <s v="PLN"/>
    <x v="0"/>
    <d v="2019-09-12T00:00:00"/>
    <x v="7"/>
  </r>
  <r>
    <s v="SO0002572"/>
    <s v="Domestic"/>
    <s v="362-000568"/>
    <x v="6"/>
    <s v="GLG0195120"/>
    <d v="2019-09-16T15:15:17"/>
    <x v="5"/>
    <s v="Lot 174749"/>
    <n v="390"/>
    <s v="M²"/>
    <n v="7.5"/>
    <n v="2925"/>
    <s v="PLN"/>
    <x v="0"/>
    <d v="2019-09-16T00:00:00"/>
    <x v="7"/>
  </r>
  <r>
    <s v="SO0002574"/>
    <s v="Domestic"/>
    <s v="362-000139"/>
    <x v="6"/>
    <s v="GLG0195120"/>
    <d v="2019-09-16T15:45:12"/>
    <x v="5"/>
    <s v="Lot 174751"/>
    <n v="4192.5"/>
    <s v="M²"/>
    <n v="7.5"/>
    <n v="31443.75"/>
    <s v="PLN"/>
    <x v="0"/>
    <d v="2019-09-16T00:00:00"/>
    <x v="7"/>
  </r>
  <r>
    <s v="SO0002582"/>
    <s v="Domestic"/>
    <s v="362-000139"/>
    <x v="6"/>
    <s v="GLG0195120"/>
    <d v="2019-09-17T18:24:55"/>
    <x v="5"/>
    <s v="Lot 175418"/>
    <n v="2047.5"/>
    <s v="M²"/>
    <n v="6.5"/>
    <n v="13308.75"/>
    <s v="PLN"/>
    <x v="0"/>
    <d v="2019-09-17T00:00:00"/>
    <x v="7"/>
  </r>
  <r>
    <s v="SO0002583"/>
    <s v="Domestic"/>
    <s v="362-000483"/>
    <x v="6"/>
    <s v="GLG0195120"/>
    <d v="2019-09-18T14:36:41"/>
    <x v="5"/>
    <s v="Lot 175442"/>
    <n v="1170"/>
    <s v="M²"/>
    <n v="7.5"/>
    <n v="8775"/>
    <s v="PLN"/>
    <x v="0"/>
    <d v="2019-09-18T00:00:00"/>
    <x v="7"/>
  </r>
  <r>
    <s v="SO0002584"/>
    <s v="Domestic"/>
    <s v="362-000576"/>
    <x v="6"/>
    <s v="GLG0195120"/>
    <d v="2019-09-18T14:42:21"/>
    <x v="5"/>
    <s v="Lot 175443"/>
    <n v="4095"/>
    <s v="M²"/>
    <n v="6.7"/>
    <n v="27436.5"/>
    <s v="PLN"/>
    <x v="0"/>
    <d v="2019-09-18T00:00:00"/>
    <x v="7"/>
  </r>
  <r>
    <s v="SO0002585"/>
    <s v="Domestic"/>
    <s v="362-000529"/>
    <x v="6"/>
    <s v="GLG0195120"/>
    <d v="2019-09-18T15:14:07"/>
    <x v="5"/>
    <s v="Lot 175498"/>
    <n v="11505"/>
    <s v="M²"/>
    <n v="7.5"/>
    <n v="86287.5"/>
    <s v="PLN"/>
    <x v="0"/>
    <d v="2019-09-18T00:00:00"/>
    <x v="7"/>
  </r>
  <r>
    <s v="SO0002588"/>
    <s v="Domestic"/>
    <s v="362-000485"/>
    <x v="6"/>
    <s v="GLG0195120"/>
    <d v="2019-09-20T14:37:46"/>
    <x v="5"/>
    <s v="Lot 175641"/>
    <n v="17550"/>
    <s v="M²"/>
    <n v="6"/>
    <n v="105300"/>
    <s v="PLN"/>
    <x v="0"/>
    <d v="2019-09-19T00:00:00"/>
    <x v="7"/>
  </r>
  <r>
    <s v="SO0002590"/>
    <s v="Domestic"/>
    <s v="362-000793"/>
    <x v="6"/>
    <s v="GLG0195120"/>
    <d v="2019-09-20T16:28:42"/>
    <x v="5"/>
    <s v="Lot 175772"/>
    <n v="1950"/>
    <s v="M²"/>
    <n v="6.5"/>
    <n v="12675"/>
    <s v="PLN"/>
    <x v="0"/>
    <d v="2019-09-19T00:00:00"/>
    <x v="7"/>
  </r>
  <r>
    <s v="SO0002591"/>
    <s v="Domestic"/>
    <s v="362-000512"/>
    <x v="6"/>
    <s v="GLG0195120"/>
    <d v="2019-09-20T16:31:19"/>
    <x v="5"/>
    <s v="Lot 175774"/>
    <n v="7507.5"/>
    <s v="M²"/>
    <n v="7.5"/>
    <n v="56306.25"/>
    <s v="PLN"/>
    <x v="0"/>
    <d v="2019-09-19T00:00:00"/>
    <x v="7"/>
  </r>
  <r>
    <s v="SO0002596"/>
    <s v="Domestic"/>
    <s v="362-000493"/>
    <x v="6"/>
    <s v="GLG0195120"/>
    <d v="2019-09-24T15:57:41"/>
    <x v="5"/>
    <s v="Lot 176797"/>
    <n v="13747.5"/>
    <s v="M²"/>
    <n v="7.2"/>
    <n v="98982"/>
    <s v="PLN"/>
    <x v="0"/>
    <d v="2019-09-24T00:00:00"/>
    <x v="7"/>
  </r>
  <r>
    <s v="SO0002597"/>
    <s v="Domestic"/>
    <s v="362-000483"/>
    <x v="6"/>
    <s v="GLG0195120"/>
    <d v="2019-09-24T15:59:50"/>
    <x v="5"/>
    <s v="Lot 176798"/>
    <n v="3315"/>
    <s v="M²"/>
    <n v="7.5"/>
    <n v="24862.5"/>
    <s v="PLN"/>
    <x v="0"/>
    <d v="2019-09-24T00:00:00"/>
    <x v="7"/>
  </r>
  <r>
    <s v="SO0002598"/>
    <s v="Domestic"/>
    <s v="362-000556"/>
    <x v="6"/>
    <s v="GLG0195120"/>
    <d v="2019-09-24T16:01:55"/>
    <x v="5"/>
    <s v="Lot 176799"/>
    <n v="5557.5"/>
    <s v="M²"/>
    <n v="7.5"/>
    <n v="41681.25"/>
    <s v="PLN"/>
    <x v="0"/>
    <d v="2019-09-24T00:00:00"/>
    <x v="7"/>
  </r>
  <r>
    <s v="SO0002600"/>
    <s v="Domestic"/>
    <s v="362-000595"/>
    <x v="6"/>
    <s v="GLG0195120"/>
    <d v="2019-09-25T16:18:59"/>
    <x v="5"/>
    <s v="Lot 177014"/>
    <n v="1560"/>
    <s v="M²"/>
    <n v="7.5"/>
    <n v="11700"/>
    <s v="PLN"/>
    <x v="0"/>
    <d v="2019-09-25T00:00:00"/>
    <x v="7"/>
  </r>
  <r>
    <s v="SO0002610"/>
    <s v="Domestic"/>
    <s v="362-000518"/>
    <x v="6"/>
    <s v="GLG0195120"/>
    <d v="2019-09-25T19:20:19"/>
    <x v="5"/>
    <s v="Lot 177054"/>
    <n v="975"/>
    <s v="M²"/>
    <n v="7.5"/>
    <n v="7312.5"/>
    <s v="PLN"/>
    <x v="0"/>
    <d v="2019-09-25T00:00:00"/>
    <x v="7"/>
  </r>
  <r>
    <s v="SO0002611"/>
    <s v="Domestic"/>
    <s v="362-000539"/>
    <x v="6"/>
    <s v="GLG0195120"/>
    <d v="2019-09-25T19:28:01"/>
    <x v="5"/>
    <s v="Lot 177055"/>
    <n v="3120"/>
    <s v="M²"/>
    <n v="7.5"/>
    <n v="23400"/>
    <s v="PLN"/>
    <x v="0"/>
    <d v="2019-09-25T00:00:00"/>
    <x v="7"/>
  </r>
  <r>
    <s v="SO0002612"/>
    <s v="Domestic"/>
    <s v="362-000497"/>
    <x v="6"/>
    <s v="GLG0195120"/>
    <d v="2019-09-26T15:47:45"/>
    <x v="5"/>
    <s v="Lot 177278"/>
    <n v="1950"/>
    <s v="M²"/>
    <n v="7.5"/>
    <n v="14625"/>
    <s v="PLN"/>
    <x v="0"/>
    <d v="2019-09-26T00:00:00"/>
    <x v="7"/>
  </r>
  <r>
    <s v="SO0002613"/>
    <s v="Domestic"/>
    <s v="362-000587"/>
    <x v="6"/>
    <s v="GLG0195120"/>
    <d v="2019-09-26T15:53:55"/>
    <x v="5"/>
    <s v="Lot 177279"/>
    <n v="7800"/>
    <s v="M²"/>
    <n v="7"/>
    <n v="54600"/>
    <s v="PLN"/>
    <x v="0"/>
    <d v="2019-09-26T00:00:00"/>
    <x v="7"/>
  </r>
  <r>
    <s v="SO0002616"/>
    <s v="Domestic"/>
    <s v="362-000485"/>
    <x v="6"/>
    <s v="GLG0195120"/>
    <d v="2019-09-27T13:45:27"/>
    <x v="5"/>
    <s v="Lot 177283"/>
    <n v="-17550"/>
    <s v="M²"/>
    <n v="6"/>
    <n v="-105300"/>
    <s v="PLN"/>
    <x v="0"/>
    <d v="2019-09-27T00:00:00"/>
    <x v="7"/>
  </r>
  <r>
    <s v="SO0002616"/>
    <s v="Domestic"/>
    <s v="362-000485"/>
    <x v="6"/>
    <s v="GLG0195120"/>
    <d v="2019-09-27T13:45:27"/>
    <x v="5"/>
    <s v="Lot 177284"/>
    <n v="17550"/>
    <s v="M²"/>
    <n v="6"/>
    <n v="105300"/>
    <s v="PLN"/>
    <x v="0"/>
    <d v="2019-09-27T00:00:00"/>
    <x v="7"/>
  </r>
  <r>
    <s v="SO0002621"/>
    <s v="Domestic"/>
    <s v="362-000529"/>
    <x v="6"/>
    <s v="GLG0195120"/>
    <d v="2019-10-02T18:44:23"/>
    <x v="6"/>
    <s v="Lot 179853"/>
    <n v="10627.5"/>
    <s v="M²"/>
    <n v="7"/>
    <n v="74392.5"/>
    <s v="PLN"/>
    <x v="0"/>
    <d v="2019-10-01T00:00:00"/>
    <x v="5"/>
  </r>
  <r>
    <s v="SO0002622"/>
    <s v="Domestic"/>
    <s v="362-000529"/>
    <x v="6"/>
    <s v="GLG0195120"/>
    <d v="2019-10-02T20:22:44"/>
    <x v="6"/>
    <s v="Lot 179854"/>
    <n v="11505"/>
    <s v="M²"/>
    <n v="7"/>
    <n v="80535"/>
    <s v="PLN"/>
    <x v="0"/>
    <d v="2019-10-01T00:00:00"/>
    <x v="5"/>
  </r>
  <r>
    <s v="SO0002623"/>
    <s v="Domestic"/>
    <s v="362-000717"/>
    <x v="6"/>
    <s v="GLG0195120"/>
    <d v="2019-10-02T20:26:11"/>
    <x v="6"/>
    <s v="Lot 179855"/>
    <n v="2437.5"/>
    <s v="M²"/>
    <n v="7.5"/>
    <n v="18281.25"/>
    <s v="PLN"/>
    <x v="0"/>
    <d v="2019-10-01T00:00:00"/>
    <x v="5"/>
  </r>
  <r>
    <s v="SO0002625"/>
    <s v="Domestic"/>
    <s v="362-000529"/>
    <x v="6"/>
    <s v="GLG0195120"/>
    <d v="2019-10-02T20:38:28"/>
    <x v="6"/>
    <s v="Lot 179879"/>
    <n v="1365"/>
    <s v="M²"/>
    <n v="7"/>
    <n v="9555"/>
    <s v="PLN"/>
    <x v="0"/>
    <d v="2019-10-01T00:00:00"/>
    <x v="5"/>
  </r>
  <r>
    <s v="SO0002626"/>
    <s v="Domestic"/>
    <s v="362-000587"/>
    <x v="6"/>
    <s v="GLG0195120"/>
    <d v="2019-10-02T20:41:04"/>
    <x v="6"/>
    <s v="Lot 179880"/>
    <n v="10237.5"/>
    <s v="M²"/>
    <n v="7"/>
    <n v="71662.5"/>
    <s v="PLN"/>
    <x v="0"/>
    <d v="2019-10-01T00:00:00"/>
    <x v="5"/>
  </r>
  <r>
    <s v="SO0002629"/>
    <s v="Domestic"/>
    <s v="362-000139"/>
    <x v="6"/>
    <s v="GLG0195120"/>
    <d v="2019-10-02T20:54:28"/>
    <x v="6"/>
    <s v="Lot 179883"/>
    <n v="2145"/>
    <s v="M²"/>
    <n v="7"/>
    <n v="15015"/>
    <s v="PLN"/>
    <x v="0"/>
    <d v="2019-10-01T00:00:00"/>
    <x v="5"/>
  </r>
  <r>
    <s v="SO0002633"/>
    <s v="Domestic"/>
    <s v="362-000539"/>
    <x v="6"/>
    <s v="GLG0195120"/>
    <d v="2019-10-03T13:48:42"/>
    <x v="6"/>
    <s v="Lot 179890"/>
    <n v="2925"/>
    <s v="M²"/>
    <n v="7.5"/>
    <n v="21937.5"/>
    <s v="PLN"/>
    <x v="0"/>
    <d v="2019-10-01T00:00:00"/>
    <x v="5"/>
  </r>
  <r>
    <s v="SO0002635"/>
    <s v="Domestic"/>
    <s v="362-000514"/>
    <x v="6"/>
    <s v="GLG0195120"/>
    <d v="2019-10-03T14:14:55"/>
    <x v="6"/>
    <s v="Lot 179893"/>
    <n v="2145"/>
    <s v="M²"/>
    <n v="7"/>
    <n v="15015"/>
    <s v="PLN"/>
    <x v="0"/>
    <d v="2019-10-02T00:00:00"/>
    <x v="5"/>
  </r>
  <r>
    <s v="SO0002637"/>
    <s v="Domestic"/>
    <s v="362-000530"/>
    <x v="6"/>
    <s v="GLG0195120"/>
    <d v="2019-10-03T14:32:23"/>
    <x v="6"/>
    <s v="Lot 179895"/>
    <n v="195"/>
    <s v="M²"/>
    <n v="8.83"/>
    <n v="1721.85"/>
    <s v="PLN"/>
    <x v="0"/>
    <d v="2019-10-02T00:00:00"/>
    <x v="5"/>
  </r>
  <r>
    <s v="SO0002639"/>
    <s v="Domestic"/>
    <s v="362-000139"/>
    <x v="6"/>
    <s v="GLG0195120"/>
    <d v="2019-10-03T15:58:27"/>
    <x v="6"/>
    <s v="Lot 180250"/>
    <n v="5070"/>
    <s v="M²"/>
    <n v="7.5"/>
    <n v="38025"/>
    <s v="PLN"/>
    <x v="0"/>
    <d v="2019-10-03T00:00:00"/>
    <x v="5"/>
  </r>
  <r>
    <s v="SO0002641"/>
    <s v="Domestic"/>
    <s v="362-000526"/>
    <x v="6"/>
    <s v="GLG0195120"/>
    <d v="2019-10-03T18:07:31"/>
    <x v="6"/>
    <s v="Lot 180252"/>
    <n v="2535"/>
    <s v="M²"/>
    <n v="7.5"/>
    <n v="19012.5"/>
    <s v="PLN"/>
    <x v="0"/>
    <d v="2019-10-03T00:00:00"/>
    <x v="5"/>
  </r>
  <r>
    <s v="SO0002644"/>
    <s v="Domestic"/>
    <s v="362-000526"/>
    <x v="6"/>
    <s v="GLG0195120"/>
    <d v="2019-10-04T15:11:42"/>
    <x v="6"/>
    <s v="Lot 180525"/>
    <n v="-2535"/>
    <s v="M²"/>
    <n v="7.5"/>
    <n v="-19012.5"/>
    <s v="PLN"/>
    <x v="0"/>
    <d v="2019-10-04T00:00:00"/>
    <x v="5"/>
  </r>
  <r>
    <s v="SO0002644"/>
    <s v="Domestic"/>
    <s v="362-000526"/>
    <x v="6"/>
    <s v="GLG0195120"/>
    <d v="2019-10-04T15:11:42"/>
    <x v="6"/>
    <s v="Lot 180526"/>
    <n v="2437.5"/>
    <s v="M²"/>
    <n v="7.5"/>
    <n v="18281.25"/>
    <s v="PLN"/>
    <x v="0"/>
    <d v="2019-10-04T00:00:00"/>
    <x v="5"/>
  </r>
  <r>
    <s v="SO0002648"/>
    <s v="Domestic"/>
    <s v="362-000509"/>
    <x v="6"/>
    <s v="GLG0195120"/>
    <d v="2019-10-07T15:08:01"/>
    <x v="6"/>
    <s v="Lot 180695"/>
    <n v="4875"/>
    <s v="M²"/>
    <n v="7.5"/>
    <n v="36562.5"/>
    <s v="PLN"/>
    <x v="0"/>
    <d v="2019-10-07T00:00:00"/>
    <x v="5"/>
  </r>
  <r>
    <s v="SO0002654"/>
    <s v="Domestic"/>
    <s v="362-000745"/>
    <x v="6"/>
    <s v="GLG0195120"/>
    <d v="2019-10-08T15:09:52"/>
    <x v="6"/>
    <s v="Lot 181003"/>
    <n v="1950"/>
    <s v="M²"/>
    <n v="7.2"/>
    <n v="14040"/>
    <s v="PLN"/>
    <x v="0"/>
    <d v="2019-10-08T00:00:00"/>
    <x v="5"/>
  </r>
  <r>
    <s v="SO0002655"/>
    <s v="Domestic"/>
    <s v="362-000493"/>
    <x v="6"/>
    <s v="GLG0195120"/>
    <d v="2019-10-08T15:19:45"/>
    <x v="6"/>
    <s v="Lot 181004"/>
    <n v="6337.5"/>
    <s v="M²"/>
    <n v="7.2"/>
    <n v="45630"/>
    <s v="PLN"/>
    <x v="0"/>
    <d v="2019-10-08T00:00:00"/>
    <x v="5"/>
  </r>
  <r>
    <s v="SO0002656"/>
    <s v="Domestic"/>
    <s v="362-000834"/>
    <x v="6"/>
    <s v="GLG0195120"/>
    <d v="2019-10-08T15:27:48"/>
    <x v="6"/>
    <s v="Lot 181007"/>
    <n v="7897.5"/>
    <s v="M²"/>
    <n v="7"/>
    <n v="55282.5"/>
    <s v="PLN"/>
    <x v="0"/>
    <d v="2019-10-08T00:00:00"/>
    <x v="5"/>
  </r>
  <r>
    <s v="SO0002658"/>
    <s v="Domestic"/>
    <s v="362-000542"/>
    <x v="6"/>
    <s v="GLG0195120"/>
    <d v="2019-10-09T15:07:10"/>
    <x v="6"/>
    <s v="Lot 181126"/>
    <n v="3997.5"/>
    <s v="M²"/>
    <n v="6"/>
    <n v="23985"/>
    <s v="PLN"/>
    <x v="0"/>
    <d v="2019-10-09T00:00:00"/>
    <x v="5"/>
  </r>
  <r>
    <s v="SO0002659"/>
    <s v="Domestic"/>
    <s v="362-000713"/>
    <x v="6"/>
    <s v="GLG0195120"/>
    <d v="2019-10-09T18:40:16"/>
    <x v="6"/>
    <s v="Lot 181370"/>
    <n v="4875"/>
    <s v="M²"/>
    <n v="7.5"/>
    <n v="36562.5"/>
    <s v="PLN"/>
    <x v="0"/>
    <d v="2019-10-09T00:00:00"/>
    <x v="5"/>
  </r>
  <r>
    <s v="SO0002666"/>
    <s v="Domestic"/>
    <s v="362-000566"/>
    <x v="6"/>
    <s v="GLG0195120"/>
    <d v="2019-10-15T13:54:01"/>
    <x v="6"/>
    <s v="Lot 182082"/>
    <n v="2145"/>
    <s v="M²"/>
    <n v="7.5"/>
    <n v="16087.5"/>
    <s v="PLN"/>
    <x v="0"/>
    <d v="2019-10-15T00:00:00"/>
    <x v="5"/>
  </r>
  <r>
    <s v="SO0002666"/>
    <s v="Domestic"/>
    <s v="362-000566"/>
    <x v="6"/>
    <s v="GLG0195120"/>
    <d v="2019-10-15T14:14:08"/>
    <x v="6"/>
    <s v="Lot 182138"/>
    <n v="-2145"/>
    <s v="M²"/>
    <n v="7.5"/>
    <n v="-16087.5"/>
    <s v="PLN"/>
    <x v="0"/>
    <d v="2019-10-15T00:00:00"/>
    <x v="5"/>
  </r>
  <r>
    <s v="SO0002668"/>
    <s v="Domestic"/>
    <s v="362-000485"/>
    <x v="6"/>
    <s v="GLG0195120"/>
    <d v="2019-10-15T15:08:58"/>
    <x v="6"/>
    <s v="Lot 182306"/>
    <n v="7800"/>
    <s v="M²"/>
    <n v="6"/>
    <n v="46800"/>
    <s v="PLN"/>
    <x v="0"/>
    <d v="2019-10-15T00:00:00"/>
    <x v="5"/>
  </r>
  <r>
    <s v="SO0002669"/>
    <s v="Domestic"/>
    <s v="362-000744"/>
    <x v="6"/>
    <s v="GLG0195120"/>
    <d v="2019-10-15T15:12:28"/>
    <x v="6"/>
    <s v="Lot 182319"/>
    <n v="2437.5"/>
    <s v="M²"/>
    <n v="7"/>
    <n v="17062.5"/>
    <s v="PLN"/>
    <x v="0"/>
    <d v="2019-10-15T00:00:00"/>
    <x v="5"/>
  </r>
  <r>
    <s v="SO0002670"/>
    <s v="Domestic"/>
    <s v="362-000493"/>
    <x v="6"/>
    <s v="GLG0195120"/>
    <d v="2019-10-15T15:14:54"/>
    <x v="6"/>
    <s v="Lot 182320"/>
    <n v="8190"/>
    <s v="M²"/>
    <n v="7.2"/>
    <n v="58968"/>
    <s v="PLN"/>
    <x v="0"/>
    <d v="2019-10-15T00:00:00"/>
    <x v="5"/>
  </r>
  <r>
    <s v="SO0002673"/>
    <s v="Domestic"/>
    <s v="362-000624"/>
    <x v="6"/>
    <s v="GLG0195120"/>
    <d v="2019-10-21T18:17:26"/>
    <x v="6"/>
    <s v="Lot 183327"/>
    <n v="975"/>
    <s v="M²"/>
    <n v="7.5"/>
    <n v="7312.5"/>
    <s v="PLN"/>
    <x v="0"/>
    <d v="2019-10-16T00:00:00"/>
    <x v="5"/>
  </r>
  <r>
    <s v="SO0002674"/>
    <s v="Domestic"/>
    <s v="362-000530"/>
    <x v="6"/>
    <s v="GLG0195120"/>
    <d v="2019-10-21T18:28:57"/>
    <x v="6"/>
    <s v="Lot 183329"/>
    <n v="487.5"/>
    <s v="M²"/>
    <n v="8.17"/>
    <n v="3982.88"/>
    <s v="PLN"/>
    <x v="0"/>
    <d v="2019-10-17T00:00:00"/>
    <x v="5"/>
  </r>
  <r>
    <s v="SO0002684"/>
    <s v="Domestic"/>
    <s v="362-000493"/>
    <x v="6"/>
    <s v="GLG0195120"/>
    <d v="2019-10-21T19:55:05"/>
    <x v="6"/>
    <s v="Lot 183353"/>
    <n v="487.5"/>
    <s v="M²"/>
    <n v="8"/>
    <n v="3900"/>
    <s v="PLN"/>
    <x v="0"/>
    <d v="2019-10-21T00:00:00"/>
    <x v="5"/>
  </r>
  <r>
    <s v="SO0002687"/>
    <s v="Domestic"/>
    <s v="362-000643"/>
    <x v="6"/>
    <s v="GLG0195120"/>
    <d v="2019-10-21T20:08:42"/>
    <x v="6"/>
    <s v="Lot 183356"/>
    <n v="6045"/>
    <s v="M²"/>
    <n v="7.5"/>
    <n v="45337.5"/>
    <s v="PLN"/>
    <x v="0"/>
    <d v="2019-10-21T00:00:00"/>
    <x v="5"/>
  </r>
  <r>
    <s v="SO0002688"/>
    <s v="Domestic"/>
    <s v="362-000744"/>
    <x v="6"/>
    <s v="GLG0195120"/>
    <d v="2019-10-21T20:12:37"/>
    <x v="6"/>
    <s v="Lot 183357"/>
    <n v="15307.5"/>
    <s v="M²"/>
    <n v="7"/>
    <n v="107152.5"/>
    <s v="PLN"/>
    <x v="0"/>
    <d v="2019-10-21T00:00:00"/>
    <x v="5"/>
  </r>
  <r>
    <s v="SO0002689"/>
    <s v="Domestic"/>
    <s v="362-000483"/>
    <x v="6"/>
    <s v="GLG0195120"/>
    <d v="2019-10-21T20:14:18"/>
    <x v="6"/>
    <s v="Lot 183358"/>
    <n v="7020"/>
    <s v="M²"/>
    <n v="7.5"/>
    <n v="52650"/>
    <s v="PLN"/>
    <x v="0"/>
    <d v="2019-10-21T00:00:00"/>
    <x v="5"/>
  </r>
  <r>
    <s v="SO0002690"/>
    <s v="Domestic"/>
    <s v="362-000652"/>
    <x v="6"/>
    <s v="GLG0195120"/>
    <d v="2019-10-21T20:18:37"/>
    <x v="6"/>
    <s v="Lot 183359"/>
    <n v="17647.5"/>
    <s v="M²"/>
    <n v="7.5"/>
    <n v="132356.25"/>
    <s v="PLN"/>
    <x v="0"/>
    <d v="2019-10-21T00:00:00"/>
    <x v="5"/>
  </r>
  <r>
    <s v="SO0002700"/>
    <s v="Domestic"/>
    <s v="362-000383"/>
    <x v="6"/>
    <s v="GLG0195120"/>
    <d v="2019-10-22T16:46:05"/>
    <x v="6"/>
    <s v="Lot 183617"/>
    <n v="390"/>
    <s v="M²"/>
    <n v="7.94"/>
    <n v="3096.6"/>
    <s v="PLN"/>
    <x v="0"/>
    <d v="2019-10-22T00:00:00"/>
    <x v="5"/>
  </r>
  <r>
    <s v="SO0002710"/>
    <s v="Domestic"/>
    <s v="362-000526"/>
    <x v="6"/>
    <s v="GLG0195120"/>
    <d v="2019-10-24T16:24:16"/>
    <x v="6"/>
    <s v="Lot 183933"/>
    <n v="9067.5"/>
    <s v="M²"/>
    <n v="7.5"/>
    <n v="68006.25"/>
    <s v="PLN"/>
    <x v="0"/>
    <d v="2019-10-23T00:00:00"/>
    <x v="5"/>
  </r>
  <r>
    <s v="SO0002713"/>
    <s v="Domestic"/>
    <s v="362-000508"/>
    <x v="6"/>
    <s v="GLG0195120"/>
    <d v="2019-10-24T16:52:21"/>
    <x v="6"/>
    <s v="Lot 183936"/>
    <n v="1950"/>
    <s v="M²"/>
    <n v="7"/>
    <n v="13650"/>
    <s v="PLN"/>
    <x v="0"/>
    <d v="2019-10-24T00:00:00"/>
    <x v="5"/>
  </r>
  <r>
    <s v="SO0002719"/>
    <s v="Domestic"/>
    <s v="362-000737"/>
    <x v="6"/>
    <s v="GLG0195120"/>
    <d v="2019-10-28T20:08:26"/>
    <x v="6"/>
    <s v="Lot 184609"/>
    <n v="6045"/>
    <s v="M²"/>
    <n v="7"/>
    <n v="42315"/>
    <s v="PLN"/>
    <x v="0"/>
    <d v="2019-10-28T00:00:00"/>
    <x v="5"/>
  </r>
  <r>
    <s v="SO0002720"/>
    <s v="Domestic"/>
    <s v="362-000643"/>
    <x v="6"/>
    <s v="GLG0195120"/>
    <d v="2019-10-28T20:11:16"/>
    <x v="6"/>
    <s v="Lot 184610"/>
    <n v="7215"/>
    <s v="M²"/>
    <n v="7.5"/>
    <n v="54112.5"/>
    <s v="PLN"/>
    <x v="0"/>
    <d v="2019-10-28T00:00:00"/>
    <x v="5"/>
  </r>
  <r>
    <s v="SO0002721"/>
    <s v="Domestic"/>
    <s v="362-000494"/>
    <x v="6"/>
    <s v="GLG0195120"/>
    <d v="2019-10-28T20:19:10"/>
    <x v="6"/>
    <s v="Lot 184612"/>
    <n v="9457.5"/>
    <s v="M²"/>
    <n v="7.5"/>
    <n v="70931.25"/>
    <s v="PLN"/>
    <x v="0"/>
    <d v="2019-10-28T00:00:00"/>
    <x v="5"/>
  </r>
  <r>
    <s v="SO0002723"/>
    <s v="Domestic"/>
    <s v="362-000508"/>
    <x v="6"/>
    <s v="GLG0195120"/>
    <d v="2019-10-28T20:28:49"/>
    <x v="6"/>
    <s v="Lot 184634"/>
    <n v="1560"/>
    <s v="M²"/>
    <n v="7.25"/>
    <n v="11310"/>
    <s v="PLN"/>
    <x v="0"/>
    <d v="2019-10-28T00:00:00"/>
    <x v="5"/>
  </r>
  <r>
    <s v="SO0002724"/>
    <s v="Domestic"/>
    <s v="362-000762"/>
    <x v="6"/>
    <s v="GLG0195120"/>
    <d v="2019-10-29T16:13:43"/>
    <x v="6"/>
    <s v="Lot 184803"/>
    <n v="1365"/>
    <s v="M²"/>
    <n v="7.7799999999999994"/>
    <n v="10619.7"/>
    <s v="PLN"/>
    <x v="0"/>
    <d v="2019-10-29T00:00:00"/>
    <x v="5"/>
  </r>
  <r>
    <s v="SO0002725"/>
    <s v="Domestic"/>
    <s v="362-000540"/>
    <x v="6"/>
    <s v="GLG0195120"/>
    <d v="2019-10-29T16:15:36"/>
    <x v="6"/>
    <s v="Lot 184816"/>
    <n v="1950"/>
    <s v="M²"/>
    <n v="7.5"/>
    <n v="14625"/>
    <s v="PLN"/>
    <x v="0"/>
    <d v="2019-10-29T00:00:00"/>
    <x v="5"/>
  </r>
  <r>
    <s v="SO0002726"/>
    <s v="Domestic"/>
    <s v="362-000825"/>
    <x v="6"/>
    <s v="GLG0195120"/>
    <d v="2019-10-29T18:22:50"/>
    <x v="6"/>
    <s v="Lot 184832"/>
    <n v="682.5"/>
    <s v="M²"/>
    <n v="7.07"/>
    <n v="4825.28"/>
    <s v="PLN"/>
    <x v="0"/>
    <d v="2019-10-29T00:00:00"/>
    <x v="5"/>
  </r>
  <r>
    <s v="SO0002737"/>
    <s v="Domestic"/>
    <s v="362-000139"/>
    <x v="6"/>
    <s v="GLG0195120"/>
    <d v="2019-11-04T18:02:39"/>
    <x v="10"/>
    <s v="Lot 185485"/>
    <n v="1755"/>
    <s v="M²"/>
    <n v="7.5"/>
    <n v="13162.5"/>
    <s v="PLN"/>
    <x v="0"/>
    <d v="2019-10-31T00:00:00"/>
    <x v="5"/>
  </r>
  <r>
    <s v="SO0002738"/>
    <s v="Domestic"/>
    <s v="362-000595"/>
    <x v="6"/>
    <s v="GLG0195120"/>
    <d v="2019-11-04T18:34:53"/>
    <x v="10"/>
    <s v="Lot 185486"/>
    <n v="585"/>
    <s v="M²"/>
    <n v="8.17"/>
    <n v="4779.45"/>
    <s v="PLN"/>
    <x v="0"/>
    <d v="2019-11-04T00:00:00"/>
    <x v="10"/>
  </r>
  <r>
    <s v="SO0002745"/>
    <s v="Domestic"/>
    <s v="362-000501"/>
    <x v="6"/>
    <s v="GLG0195120"/>
    <d v="2019-11-04T19:32:32"/>
    <x v="10"/>
    <s v="Lot 185568"/>
    <n v="8190"/>
    <s v="M²"/>
    <n v="7.5"/>
    <n v="61425"/>
    <s v="PLN"/>
    <x v="0"/>
    <d v="2019-11-04T00:00:00"/>
    <x v="10"/>
  </r>
  <r>
    <s v="SO0002746"/>
    <s v="Domestic"/>
    <s v="362-000556"/>
    <x v="6"/>
    <s v="GLG0195120"/>
    <d v="2019-11-04T19:45:02"/>
    <x v="10"/>
    <s v="Lot 185569"/>
    <n v="1950"/>
    <s v="M²"/>
    <n v="7.5"/>
    <n v="14625"/>
    <s v="PLN"/>
    <x v="0"/>
    <d v="2019-11-04T00:00:00"/>
    <x v="10"/>
  </r>
  <r>
    <s v="SO0002747"/>
    <s v="Domestic"/>
    <s v="362-000762"/>
    <x v="6"/>
    <s v="GLG0195120"/>
    <d v="2019-11-05T17:27:29"/>
    <x v="10"/>
    <s v="Lot 185751"/>
    <n v="1950"/>
    <s v="M²"/>
    <n v="7.5"/>
    <n v="14625"/>
    <s v="PLN"/>
    <x v="0"/>
    <d v="2019-11-05T00:00:00"/>
    <x v="10"/>
  </r>
  <r>
    <s v="SO0002749"/>
    <s v="Domestic"/>
    <s v="362-000676"/>
    <x v="6"/>
    <s v="GLG0195120"/>
    <d v="2019-11-06T16:35:00"/>
    <x v="10"/>
    <s v="Lot 185983"/>
    <n v="487.5"/>
    <s v="M²"/>
    <n v="7"/>
    <n v="3412.5"/>
    <s v="PLN"/>
    <x v="0"/>
    <d v="2019-11-05T00:00:00"/>
    <x v="10"/>
  </r>
  <r>
    <s v="SO0002751"/>
    <s v="Domestic"/>
    <s v="362-000527"/>
    <x v="6"/>
    <s v="GLG0195120"/>
    <d v="2019-11-06T16:45:42"/>
    <x v="10"/>
    <s v="Lot 185985"/>
    <n v="6045"/>
    <s v="M²"/>
    <n v="7.5"/>
    <n v="45337.5"/>
    <s v="PLN"/>
    <x v="0"/>
    <d v="2019-11-05T00:00:00"/>
    <x v="10"/>
  </r>
  <r>
    <s v="SO0002752"/>
    <s v="Domestic"/>
    <s v="362-000139"/>
    <x v="6"/>
    <s v="GLG0195120"/>
    <d v="2019-11-06T16:55:43"/>
    <x v="10"/>
    <s v="Lot 185986"/>
    <n v="2145"/>
    <s v="M²"/>
    <n v="7"/>
    <n v="15015"/>
    <s v="PLN"/>
    <x v="0"/>
    <d v="2019-11-05T00:00:00"/>
    <x v="10"/>
  </r>
  <r>
    <s v="SO0002753"/>
    <s v="Domestic"/>
    <s v="362-000529"/>
    <x v="6"/>
    <s v="GLG0195120"/>
    <d v="2019-11-06T17:03:16"/>
    <x v="10"/>
    <s v="Lot 185987"/>
    <n v="5070"/>
    <s v="M²"/>
    <n v="7.5"/>
    <n v="38025"/>
    <s v="PLN"/>
    <x v="0"/>
    <d v="2019-11-06T00:00:00"/>
    <x v="10"/>
  </r>
  <r>
    <s v="SO0002754"/>
    <s v="Domestic"/>
    <s v="362-000563"/>
    <x v="6"/>
    <s v="GLG0195120"/>
    <d v="2019-11-06T17:11:59"/>
    <x v="10"/>
    <s v="Lot 185988"/>
    <n v="2535"/>
    <s v="M²"/>
    <n v="7"/>
    <n v="17745"/>
    <s v="PLN"/>
    <x v="0"/>
    <d v="2019-11-06T00:00:00"/>
    <x v="10"/>
  </r>
  <r>
    <s v="SO0002756"/>
    <s v="Domestic"/>
    <s v="362-000508"/>
    <x v="6"/>
    <s v="GLG0195120"/>
    <d v="2019-11-06T17:38:36"/>
    <x v="10"/>
    <s v="Lot 185991"/>
    <n v="15015"/>
    <s v="M²"/>
    <n v="7"/>
    <n v="105105"/>
    <s v="PLN"/>
    <x v="0"/>
    <d v="2019-11-06T00:00:00"/>
    <x v="10"/>
  </r>
  <r>
    <s v="SO0002757"/>
    <s v="Domestic"/>
    <s v="362-000624"/>
    <x v="6"/>
    <s v="GLG0195120"/>
    <d v="2019-11-06T21:51:36"/>
    <x v="10"/>
    <s v="Lot 186064"/>
    <n v="292.5"/>
    <s v="M²"/>
    <n v="7.5"/>
    <n v="2193.75"/>
    <s v="PLN"/>
    <x v="0"/>
    <d v="2019-11-06T00:00:00"/>
    <x v="10"/>
  </r>
  <r>
    <s v="SO0002760"/>
    <s v="Domestic"/>
    <s v="362-000717"/>
    <x v="6"/>
    <s v="GLG0195120"/>
    <d v="2019-11-12T16:07:45"/>
    <x v="10"/>
    <s v="Lot 186321"/>
    <n v="23010"/>
    <s v="M²"/>
    <n v="7.5"/>
    <n v="172575"/>
    <s v="PLN"/>
    <x v="0"/>
    <d v="2019-11-08T00:00:00"/>
    <x v="10"/>
  </r>
  <r>
    <s v="SO0002762"/>
    <s v="Domestic"/>
    <s v="362-000493"/>
    <x v="6"/>
    <s v="GLG0195120"/>
    <d v="2019-11-07T19:26:32"/>
    <x v="10"/>
    <s v="Lot 186204"/>
    <n v="20865"/>
    <s v="M²"/>
    <n v="7"/>
    <n v="146055"/>
    <s v="PLN"/>
    <x v="0"/>
    <d v="2019-11-07T00:00:00"/>
    <x v="10"/>
  </r>
  <r>
    <s v="SO0002766"/>
    <s v="Domestic"/>
    <s v="362-000643"/>
    <x v="6"/>
    <s v="GLG0195120"/>
    <d v="2019-11-12T16:50:56"/>
    <x v="10"/>
    <s v="Lot 186490"/>
    <n v="10920"/>
    <s v="M²"/>
    <n v="7.5"/>
    <n v="81900"/>
    <s v="PLN"/>
    <x v="0"/>
    <d v="2019-11-07T00:00:00"/>
    <x v="10"/>
  </r>
  <r>
    <s v="SO0002768"/>
    <s v="Domestic"/>
    <s v="362-000139"/>
    <x v="6"/>
    <s v="GLG0195120"/>
    <d v="2019-11-13T17:01:44"/>
    <x v="10"/>
    <s v="Lot 186865"/>
    <n v="2340"/>
    <s v="M²"/>
    <n v="7"/>
    <n v="16380"/>
    <s v="PLN"/>
    <x v="0"/>
    <d v="2019-11-13T00:00:00"/>
    <x v="10"/>
  </r>
  <r>
    <s v="SO0002771"/>
    <s v="Domestic"/>
    <s v="362-000526"/>
    <x v="6"/>
    <s v="GLG0195120"/>
    <d v="2019-11-14T15:50:07"/>
    <x v="10"/>
    <s v="Lot 186909"/>
    <n v="3900"/>
    <s v="M²"/>
    <n v="7.5"/>
    <n v="29250"/>
    <s v="PLN"/>
    <x v="0"/>
    <d v="2019-11-14T00:00:00"/>
    <x v="10"/>
  </r>
  <r>
    <s v="SO0002775"/>
    <s v="Domestic"/>
    <s v="362-000643"/>
    <x v="6"/>
    <s v="GLG0195120"/>
    <d v="2019-11-14T17:54:06"/>
    <x v="10"/>
    <s v="Lot 187119"/>
    <n v="1950"/>
    <s v="M²"/>
    <n v="7.5"/>
    <n v="14625"/>
    <s v="PLN"/>
    <x v="0"/>
    <d v="2019-11-14T00:00:00"/>
    <x v="10"/>
  </r>
  <r>
    <s v="SO0002777"/>
    <s v="Domestic"/>
    <s v="362-000744"/>
    <x v="6"/>
    <s v="GLG0195120"/>
    <d v="2019-11-18T15:53:43"/>
    <x v="10"/>
    <s v="Lot 187122"/>
    <n v="2535"/>
    <s v="M²"/>
    <n v="7"/>
    <n v="17745"/>
    <s v="PLN"/>
    <x v="0"/>
    <d v="2019-11-18T00:00:00"/>
    <x v="10"/>
  </r>
  <r>
    <s v="SO0002778"/>
    <s v="Domestic"/>
    <s v="362-000839"/>
    <x v="6"/>
    <s v="GLG0195120"/>
    <d v="2019-11-18T19:32:19"/>
    <x v="10"/>
    <s v="Lot 187595"/>
    <n v="975"/>
    <s v="M²"/>
    <n v="7.5"/>
    <n v="7312.5"/>
    <s v="PLN"/>
    <x v="0"/>
    <d v="2019-11-18T00:00:00"/>
    <x v="10"/>
  </r>
  <r>
    <s v="SO0002779"/>
    <s v="Domestic"/>
    <s v="362-000485"/>
    <x v="6"/>
    <s v="GLG0195120"/>
    <d v="2019-11-18T20:19:03"/>
    <x v="10"/>
    <s v="Lot 187601"/>
    <n v="3900"/>
    <s v="M²"/>
    <n v="6"/>
    <n v="23400"/>
    <s v="PLN"/>
    <x v="0"/>
    <d v="2019-11-21T00:00:00"/>
    <x v="10"/>
  </r>
  <r>
    <s v="SO0002782"/>
    <s v="Domestic"/>
    <s v="362-000139"/>
    <x v="6"/>
    <s v="GLG0195120"/>
    <d v="2019-11-21T14:46:39"/>
    <x v="10"/>
    <s v="Lot 188060"/>
    <n v="292.5"/>
    <s v="M²"/>
    <n v="7.8900000000000006"/>
    <n v="2307.83"/>
    <s v="PLN"/>
    <x v="0"/>
    <d v="2019-11-19T00:00:00"/>
    <x v="10"/>
  </r>
  <r>
    <s v="SO0002783"/>
    <s v="Domestic"/>
    <s v="362-000744"/>
    <x v="6"/>
    <s v="GLG0195120"/>
    <d v="2019-11-21T14:53:18"/>
    <x v="10"/>
    <s v="Lot 188061"/>
    <n v="2340"/>
    <s v="M²"/>
    <n v="7"/>
    <n v="16380"/>
    <s v="PLN"/>
    <x v="0"/>
    <d v="2019-11-19T00:00:00"/>
    <x v="10"/>
  </r>
  <r>
    <s v="SO0002788"/>
    <s v="Domestic"/>
    <s v="362-000643"/>
    <x v="6"/>
    <s v="GLG0195120"/>
    <d v="2019-11-21T15:59:20"/>
    <x v="10"/>
    <s v="Lot 188178"/>
    <n v="2437.5"/>
    <s v="M²"/>
    <n v="7.5"/>
    <n v="18281.25"/>
    <s v="PLN"/>
    <x v="0"/>
    <d v="2019-11-21T00:00:00"/>
    <x v="10"/>
  </r>
  <r>
    <s v="SO0002798"/>
    <s v="Domestic"/>
    <s v="362-000530"/>
    <x v="6"/>
    <s v="GLG0195120"/>
    <d v="2019-11-27T14:43:51"/>
    <x v="10"/>
    <s v="Lot 188915"/>
    <n v="195"/>
    <s v="M²"/>
    <n v="8.5"/>
    <n v="1657.5"/>
    <s v="PLN"/>
    <x v="0"/>
    <d v="2019-11-26T00:00:00"/>
    <x v="10"/>
  </r>
  <r>
    <s v="SO0002799"/>
    <s v="Domestic"/>
    <s v="362-000483"/>
    <x v="6"/>
    <s v="GLG0195120"/>
    <d v="2019-11-27T14:46:56"/>
    <x v="10"/>
    <s v="Lot 188916"/>
    <n v="7995"/>
    <s v="M²"/>
    <n v="7.5"/>
    <n v="59962.5"/>
    <s v="PLN"/>
    <x v="0"/>
    <d v="2019-11-26T00:00:00"/>
    <x v="10"/>
  </r>
  <r>
    <s v="SO0002805"/>
    <s v="Domestic"/>
    <s v="362-000526"/>
    <x v="6"/>
    <s v="GLG0195120"/>
    <d v="2019-11-27T19:24:53"/>
    <x v="10"/>
    <s v="Lot 189169"/>
    <n v="9750"/>
    <s v="M²"/>
    <n v="7.5"/>
    <n v="73125"/>
    <s v="PLN"/>
    <x v="0"/>
    <d v="2019-11-27T00:00:00"/>
    <x v="10"/>
  </r>
  <r>
    <s v="SO0002806"/>
    <s v="Domestic"/>
    <s v="362-000485"/>
    <x v="6"/>
    <s v="GLG0195120"/>
    <d v="2019-11-27T19:29:18"/>
    <x v="10"/>
    <s v="Lot 189170"/>
    <n v="9750"/>
    <s v="M²"/>
    <n v="6"/>
    <n v="58500"/>
    <s v="PLN"/>
    <x v="0"/>
    <d v="2019-11-27T00:00:00"/>
    <x v="10"/>
  </r>
  <r>
    <s v="SO0002807"/>
    <s v="Domestic"/>
    <s v="362-000717"/>
    <x v="6"/>
    <s v="GLG0195120"/>
    <d v="2019-11-27T19:32:17"/>
    <x v="10"/>
    <s v="Lot 189172"/>
    <n v="7800"/>
    <s v="M²"/>
    <n v="7.5"/>
    <n v="58500"/>
    <s v="PLN"/>
    <x v="0"/>
    <d v="2019-11-27T00:00:00"/>
    <x v="10"/>
  </r>
  <r>
    <s v="SO0002809"/>
    <s v="Domestic"/>
    <s v="362-000762"/>
    <x v="6"/>
    <s v="GLG0195120"/>
    <d v="2019-11-27T20:02:56"/>
    <x v="10"/>
    <s v="Lot 189174"/>
    <n v="1950"/>
    <s v="M²"/>
    <n v="7.5"/>
    <n v="14625"/>
    <s v="PLN"/>
    <x v="0"/>
    <d v="2019-11-27T00:00:00"/>
    <x v="10"/>
  </r>
  <r>
    <s v="SO0002810"/>
    <s v="Domestic"/>
    <s v="362-000139"/>
    <x v="6"/>
    <s v="GLG0195120"/>
    <d v="2019-11-27T20:05:55"/>
    <x v="10"/>
    <s v="Lot 189175"/>
    <n v="1170"/>
    <s v="M²"/>
    <n v="6.83"/>
    <n v="7991.1"/>
    <s v="PLN"/>
    <x v="0"/>
    <d v="2019-11-27T00:00:00"/>
    <x v="10"/>
  </r>
  <r>
    <s v="SO0002812"/>
    <s v="Domestic"/>
    <s v="362-000485"/>
    <x v="6"/>
    <s v="GLG0195120"/>
    <d v="2019-11-29T15:47:31"/>
    <x v="10"/>
    <s v="Lot 189376"/>
    <n v="-9750"/>
    <s v="M²"/>
    <n v="6"/>
    <n v="-58500"/>
    <s v="PLN"/>
    <x v="0"/>
    <d v="2019-11-29T00:00:00"/>
    <x v="10"/>
  </r>
  <r>
    <s v="SO0002814"/>
    <s v="Domestic"/>
    <s v="362-000493"/>
    <x v="6"/>
    <s v="GLG0195120"/>
    <d v="2019-12-02T15:04:13"/>
    <x v="11"/>
    <s v="Lot 189572"/>
    <n v="13650"/>
    <s v="M²"/>
    <n v="7"/>
    <n v="95550"/>
    <s v="PLN"/>
    <x v="0"/>
    <d v="2019-12-02T00:00:00"/>
    <x v="11"/>
  </r>
  <r>
    <s v="SO0002815"/>
    <s v="Domestic"/>
    <s v="362-000518"/>
    <x v="6"/>
    <s v="GLG0195120"/>
    <d v="2019-12-02T15:10:12"/>
    <x v="11"/>
    <s v="Lot 189574"/>
    <n v="2827.5"/>
    <s v="M²"/>
    <n v="7.5"/>
    <n v="21206.25"/>
    <s v="PLN"/>
    <x v="0"/>
    <d v="2019-12-02T00:00:00"/>
    <x v="11"/>
  </r>
  <r>
    <s v="SO0002817"/>
    <s v="Domestic"/>
    <s v="362-000572"/>
    <x v="6"/>
    <s v="GLG0195120"/>
    <d v="2019-12-02T15:16:13"/>
    <x v="11"/>
    <s v="Lot 189575"/>
    <n v="1950"/>
    <s v="M²"/>
    <n v="7.5"/>
    <n v="14625"/>
    <s v="PLN"/>
    <x v="0"/>
    <d v="2019-12-02T00:00:00"/>
    <x v="11"/>
  </r>
  <r>
    <s v="SO0002818"/>
    <s v="Domestic"/>
    <s v="362-000624"/>
    <x v="6"/>
    <s v="GLG0195120"/>
    <d v="2019-12-02T15:46:44"/>
    <x v="11"/>
    <s v="Lot 189576"/>
    <n v="780"/>
    <s v="M²"/>
    <n v="7.5"/>
    <n v="5850"/>
    <s v="PLN"/>
    <x v="0"/>
    <d v="2019-12-02T00:00:00"/>
    <x v="11"/>
  </r>
  <r>
    <s v="SO0002820"/>
    <s v="Domestic"/>
    <s v="362-000485"/>
    <x v="6"/>
    <s v="GLG0195120"/>
    <d v="2019-12-03T16:08:37"/>
    <x v="11"/>
    <s v="Lot 189756"/>
    <n v="9750"/>
    <s v="M²"/>
    <n v="6"/>
    <n v="58500"/>
    <s v="PLN"/>
    <x v="0"/>
    <d v="2019-12-02T00:00:00"/>
    <x v="11"/>
  </r>
  <r>
    <s v="SO0002821"/>
    <s v="Domestic"/>
    <s v="362-000620"/>
    <x v="6"/>
    <s v="GLG0195120"/>
    <d v="2019-12-03T16:14:07"/>
    <x v="11"/>
    <s v="Lot 189758"/>
    <n v="1462.5"/>
    <s v="M²"/>
    <n v="7.7700000000000005"/>
    <n v="11363.630000000001"/>
    <s v="PLN"/>
    <x v="0"/>
    <d v="2019-12-03T00:00:00"/>
    <x v="11"/>
  </r>
  <r>
    <s v="SO0002823"/>
    <s v="Domestic"/>
    <s v="362-000518"/>
    <x v="6"/>
    <s v="GLG0195120"/>
    <d v="2019-12-03T16:27:39"/>
    <x v="11"/>
    <s v="Lot 189766"/>
    <n v="4777.5"/>
    <s v="M²"/>
    <n v="7.5"/>
    <n v="35831.25"/>
    <s v="PLN"/>
    <x v="0"/>
    <d v="2019-12-03T00:00:00"/>
    <x v="11"/>
  </r>
  <r>
    <s v="SO0002828"/>
    <s v="Domestic"/>
    <s v="362-000717"/>
    <x v="6"/>
    <s v="GLG0195120"/>
    <d v="2019-12-05T16:39:43"/>
    <x v="11"/>
    <s v="Lot 190321"/>
    <n v="585"/>
    <s v="M²"/>
    <n v="7.76"/>
    <n v="4539.6000000000004"/>
    <s v="PLN"/>
    <x v="0"/>
    <d v="2019-12-04T00:00:00"/>
    <x v="11"/>
  </r>
  <r>
    <s v="SO0002830"/>
    <s v="Domestic"/>
    <s v="362-000526"/>
    <x v="6"/>
    <s v="GLG0195120"/>
    <d v="2019-12-05T16:49:03"/>
    <x v="11"/>
    <s v="Lot 190324"/>
    <n v="10042.5"/>
    <s v="M²"/>
    <n v="7.5"/>
    <n v="75318.75"/>
    <s v="PLN"/>
    <x v="0"/>
    <d v="2019-12-04T00:00:00"/>
    <x v="11"/>
  </r>
  <r>
    <s v="SO0002832"/>
    <s v="Domestic"/>
    <s v="362-000821"/>
    <x v="6"/>
    <s v="GLG0195120"/>
    <d v="2019-12-05T17:23:08"/>
    <x v="11"/>
    <s v="Lot 190326"/>
    <n v="2047.5"/>
    <s v="M²"/>
    <n v="7.5"/>
    <n v="15356.25"/>
    <s v="PLN"/>
    <x v="0"/>
    <d v="2019-12-05T00:00:00"/>
    <x v="11"/>
  </r>
  <r>
    <s v="SO0002832"/>
    <s v="Domestic"/>
    <s v="362-000821"/>
    <x v="6"/>
    <s v="GLG0195120"/>
    <d v="2019-12-05T17:35:07"/>
    <x v="11"/>
    <s v="Lot 190327"/>
    <n v="-97.5"/>
    <s v="M²"/>
    <n v="7.5"/>
    <n v="-731.25"/>
    <s v="PLN"/>
    <x v="0"/>
    <d v="2019-12-05T00:00:00"/>
    <x v="11"/>
  </r>
  <r>
    <s v="SO0002833"/>
    <s v="Domestic"/>
    <s v="362-000624"/>
    <x v="6"/>
    <s v="GLG0195120"/>
    <d v="2019-12-09T15:02:10"/>
    <x v="11"/>
    <s v="Lot 190566"/>
    <n v="195"/>
    <s v="M²"/>
    <n v="7.5"/>
    <n v="1462.5"/>
    <s v="PLN"/>
    <x v="0"/>
    <d v="2019-12-06T00:00:00"/>
    <x v="11"/>
  </r>
  <r>
    <s v="SO0002834"/>
    <s v="Domestic"/>
    <s v="362-000526"/>
    <x v="6"/>
    <s v="GLG0195120"/>
    <d v="2019-12-09T15:16:07"/>
    <x v="11"/>
    <s v="Lot 190567"/>
    <n v="10042.5"/>
    <s v="M²"/>
    <n v="7.5"/>
    <n v="75318.75"/>
    <s v="PLN"/>
    <x v="0"/>
    <d v="2019-12-09T00:00:00"/>
    <x v="11"/>
  </r>
  <r>
    <s v="SO0002835"/>
    <s v="Domestic"/>
    <s v="362-000490"/>
    <x v="6"/>
    <s v="GLG0195120"/>
    <d v="2019-12-11T15:54:00"/>
    <x v="11"/>
    <s v="Lot 191019"/>
    <n v="975"/>
    <s v="M²"/>
    <n v="7.5"/>
    <n v="7312.5"/>
    <s v="PLN"/>
    <x v="0"/>
    <d v="2019-12-11T00:00:00"/>
    <x v="11"/>
  </r>
  <r>
    <s v="SO0002837"/>
    <s v="Domestic"/>
    <s v="362-000845"/>
    <x v="6"/>
    <s v="GLG0195120"/>
    <d v="2019-12-11T20:34:14"/>
    <x v="11"/>
    <s v="Lot 191194"/>
    <n v="780"/>
    <s v="M²"/>
    <n v="8.5"/>
    <n v="6630"/>
    <s v="PLN"/>
    <x v="0"/>
    <d v="2019-12-11T00:00:00"/>
    <x v="11"/>
  </r>
  <r>
    <s v="SO0002838"/>
    <s v="Domestic"/>
    <s v="362-000845"/>
    <x v="6"/>
    <s v="GLG0195120"/>
    <d v="2019-12-11T20:37:49"/>
    <x v="11"/>
    <s v="Lot 191195"/>
    <n v="-780"/>
    <s v="M²"/>
    <n v="8.5"/>
    <n v="-6630"/>
    <s v="PLN"/>
    <x v="0"/>
    <d v="2019-12-11T00:00:00"/>
    <x v="11"/>
  </r>
  <r>
    <s v="SO0002839"/>
    <s v="Domestic"/>
    <s v="362-000845"/>
    <x v="6"/>
    <s v="GLG0195120"/>
    <d v="2019-12-11T20:40:12"/>
    <x v="11"/>
    <s v="Lot 191196"/>
    <n v="780"/>
    <s v="M²"/>
    <n v="8"/>
    <n v="6240"/>
    <s v="PLN"/>
    <x v="0"/>
    <d v="2019-12-11T00:00:00"/>
    <x v="11"/>
  </r>
  <r>
    <s v="SO0002844"/>
    <s v="Domestic"/>
    <s v="362-000530"/>
    <x v="6"/>
    <s v="GLG0195120"/>
    <d v="2019-12-12T17:37:37"/>
    <x v="11"/>
    <s v="Lot 191436"/>
    <n v="1072.5"/>
    <s v="M²"/>
    <n v="7.8599999999999994"/>
    <n v="8429.85"/>
    <s v="PLN"/>
    <x v="0"/>
    <d v="2019-12-12T00:00:00"/>
    <x v="11"/>
  </r>
  <r>
    <s v="SO0002848"/>
    <s v="Domestic"/>
    <s v="362-000485"/>
    <x v="6"/>
    <s v="GLG0195120"/>
    <d v="2019-12-16T15:54:19"/>
    <x v="11"/>
    <s v="Lot 191682"/>
    <n v="12675"/>
    <s v="M²"/>
    <n v="6"/>
    <n v="76050"/>
    <s v="PLN"/>
    <x v="0"/>
    <d v="2019-12-17T00:00:00"/>
    <x v="11"/>
  </r>
  <r>
    <s v="SO0002851"/>
    <s v="Domestic"/>
    <s v="362-000845"/>
    <x v="6"/>
    <s v="GLG0195120"/>
    <d v="2019-12-20T19:28:08"/>
    <x v="11"/>
    <s v="Lot 193295"/>
    <n v="-780"/>
    <s v="M²"/>
    <n v="8"/>
    <n v="-6240"/>
    <s v="PLN"/>
    <x v="0"/>
    <d v="2019-12-20T00:00:00"/>
    <x v="11"/>
  </r>
  <r>
    <s v="360364ApP0000649"/>
    <s v="IC-AX"/>
    <s v="362-000418"/>
    <x v="0"/>
    <s v="GLG0195120GV"/>
    <d v="2019-01-28T17:29:36"/>
    <x v="8"/>
    <s v="Lot 137669"/>
    <n v="11700"/>
    <s v="M²"/>
    <n v="0.63"/>
    <n v="7371"/>
    <s v="EUR"/>
    <x v="0"/>
    <d v="2019-01-28T00:00:00"/>
    <x v="8"/>
  </r>
  <r>
    <s v="360365ApP0000526"/>
    <s v="IC-AX"/>
    <s v="362-000418"/>
    <x v="1"/>
    <s v="GLG0195120GV"/>
    <d v="2019-02-12T22:58:58"/>
    <x v="0"/>
    <s v="Lot 139867"/>
    <n v="4095"/>
    <s v="M²"/>
    <n v="0.63"/>
    <n v="2579.85"/>
    <s v="EUR"/>
    <x v="0"/>
    <d v="2019-02-15T00:00:00"/>
    <x v="4"/>
  </r>
  <r>
    <s v="360365ApP0000530"/>
    <s v="IC-AX"/>
    <s v="362-000418"/>
    <x v="1"/>
    <s v="GLG0195120GV"/>
    <d v="2019-02-14T23:22:27"/>
    <x v="0"/>
    <s v="Lot 140860"/>
    <n v="6435"/>
    <s v="M²"/>
    <n v="0.63"/>
    <n v="4054.05"/>
    <s v="EUR"/>
    <x v="0"/>
    <d v="2019-02-19T00:00:00"/>
    <x v="4"/>
  </r>
  <r>
    <s v="360365ApP0000568"/>
    <s v="IC-AX"/>
    <s v="362-000418"/>
    <x v="1"/>
    <s v="GLG0195120GV"/>
    <d v="2019-04-02T17:16:09"/>
    <x v="1"/>
    <s v="Lot 148369"/>
    <n v="25350"/>
    <s v="M²"/>
    <n v="0.67"/>
    <n v="16984.5"/>
    <s v="EUR"/>
    <x v="0"/>
    <d v="2019-04-03T00:00:00"/>
    <x v="6"/>
  </r>
  <r>
    <s v="360365ApP0000590"/>
    <s v="IC-AX"/>
    <s v="362-000418"/>
    <x v="1"/>
    <s v="GLG0195120GV"/>
    <d v="2019-04-18T21:32:53"/>
    <x v="1"/>
    <s v="Lot 151155"/>
    <n v="27885"/>
    <s v="M²"/>
    <n v="0.64"/>
    <n v="17846.400000000001"/>
    <s v="EUR"/>
    <x v="0"/>
    <d v="2019-04-18T00:00:00"/>
    <x v="6"/>
  </r>
  <r>
    <s v="360365ApP0000677"/>
    <s v="IC-AX"/>
    <s v="362-000418"/>
    <x v="1"/>
    <s v="GLG0195120GV"/>
    <d v="2019-09-04T14:38:33"/>
    <x v="5"/>
    <s v="Lot 172658"/>
    <n v="27885"/>
    <s v="M²"/>
    <n v="0.64"/>
    <n v="17846.400000000001"/>
    <s v="EUR"/>
    <x v="0"/>
    <d v="2019-09-16T00:00:00"/>
    <x v="7"/>
  </r>
  <r>
    <s v="360365ApP0000705"/>
    <s v="IC-AX"/>
    <s v="362-000418"/>
    <x v="1"/>
    <s v="GLG0195120GV"/>
    <d v="2019-10-22T17:31:07"/>
    <x v="6"/>
    <s v="Lot 183628"/>
    <n v="27885"/>
    <s v="M²"/>
    <n v="0.65"/>
    <n v="18125.25"/>
    <s v="EUR"/>
    <x v="0"/>
    <d v="2019-10-28T00:00:00"/>
    <x v="5"/>
  </r>
  <r>
    <s v="360365ApP0000733"/>
    <s v="IC-AX"/>
    <s v="362-000418"/>
    <x v="1"/>
    <s v="GLG0195120GV"/>
    <d v="2019-12-05T19:53:38"/>
    <x v="11"/>
    <s v="Lot 190456"/>
    <n v="11700"/>
    <s v="M²"/>
    <n v="0.65"/>
    <n v="7605"/>
    <s v="EUR"/>
    <x v="0"/>
    <d v="2019-12-06T00:00:00"/>
    <x v="11"/>
  </r>
  <r>
    <s v="360369ApP0000582"/>
    <s v="IC-AX"/>
    <s v="362-000418"/>
    <x v="8"/>
    <s v="GLG0195120GV"/>
    <d v="2019-07-08T15:36:27"/>
    <x v="4"/>
    <s v="Lot 162980"/>
    <n v="9750"/>
    <s v="M²"/>
    <n v="0.64"/>
    <n v="6240"/>
    <s v="EUR"/>
    <x v="0"/>
    <d v="2019-07-31T00:00:00"/>
    <x v="9"/>
  </r>
  <r>
    <s v="SO0002247"/>
    <s v="Domestic"/>
    <s v="362-000650"/>
    <x v="6"/>
    <s v="GLG0195120GV"/>
    <d v="2019-04-16T14:05:35"/>
    <x v="1"/>
    <s v="Lot 150616"/>
    <n v="390"/>
    <s v="M²"/>
    <n v="6.7"/>
    <n v="2613"/>
    <s v="PLN"/>
    <x v="0"/>
    <d v="2019-04-16T00:00:00"/>
    <x v="6"/>
  </r>
  <r>
    <s v="SO0002294"/>
    <s v="Exp_3C"/>
    <s v="362-000502"/>
    <x v="12"/>
    <s v="GLG0195120GV"/>
    <d v="2019-05-20T14:54:19"/>
    <x v="2"/>
    <s v="Lot 153294"/>
    <n v="15600"/>
    <s v="M²"/>
    <n v="1.25"/>
    <n v="19500"/>
    <s v="EUR"/>
    <x v="0"/>
    <d v="2019-05-20T00:00:00"/>
    <x v="1"/>
  </r>
  <r>
    <s v="SO0002356"/>
    <s v="Exp_3C"/>
    <s v="362-000502"/>
    <x v="12"/>
    <s v="GLG0195120GV"/>
    <d v="2019-06-27T16:02:07"/>
    <x v="3"/>
    <s v="Lot 160437"/>
    <n v="3900"/>
    <s v="M²"/>
    <n v="1.25"/>
    <n v="4875"/>
    <s v="EUR"/>
    <x v="0"/>
    <d v="2019-06-27T00:00:00"/>
    <x v="2"/>
  </r>
  <r>
    <s v="SO0002368"/>
    <s v="Domestic"/>
    <s v="362-000799"/>
    <x v="6"/>
    <s v="GLG0195120GV"/>
    <d v="2019-07-05T15:11:55"/>
    <x v="4"/>
    <s v="Lot 162760"/>
    <n v="97.5"/>
    <s v="M²"/>
    <n v="11.5"/>
    <n v="1121.25"/>
    <s v="PLN"/>
    <x v="0"/>
    <d v="2019-07-04T00:00:00"/>
    <x v="9"/>
  </r>
  <r>
    <s v="SO0002389"/>
    <s v="Domestic"/>
    <s v="362-000518"/>
    <x v="6"/>
    <s v="GLG0195120GV"/>
    <d v="2019-07-12T19:51:41"/>
    <x v="4"/>
    <s v="Lot 164271"/>
    <n v="5947.5"/>
    <s v="M²"/>
    <n v="7"/>
    <n v="41632.5"/>
    <s v="PLN"/>
    <x v="0"/>
    <d v="2019-07-12T00:00:00"/>
    <x v="9"/>
  </r>
  <r>
    <s v="SO0002509"/>
    <s v="Domestic"/>
    <s v="362-000659"/>
    <x v="6"/>
    <s v="GLG0195120GV"/>
    <d v="2019-08-22T18:38:57"/>
    <x v="9"/>
    <s v="Lot 170636"/>
    <n v="292.5"/>
    <s v="M²"/>
    <n v="8.83"/>
    <n v="2582.7800000000002"/>
    <s v="PLN"/>
    <x v="0"/>
    <d v="2019-08-22T00:00:00"/>
    <x v="3"/>
  </r>
  <r>
    <s v="SO0002509"/>
    <s v="Domestic"/>
    <s v="362-000659"/>
    <x v="6"/>
    <s v="GLG0195120GV"/>
    <d v="2019-08-23T13:43:15"/>
    <x v="9"/>
    <s v="Lot 170703"/>
    <n v="-292.5"/>
    <s v="M²"/>
    <n v="8.83"/>
    <n v="-2582.7800000000002"/>
    <s v="PLN"/>
    <x v="0"/>
    <d v="2019-08-23T00:00:00"/>
    <x v="3"/>
  </r>
  <r>
    <s v="SO0002718"/>
    <s v="Exp_3C"/>
    <s v="362-000502"/>
    <x v="12"/>
    <s v="GLG0195120GV"/>
    <d v="2019-10-28T15:15:42"/>
    <x v="6"/>
    <s v="Lot 184278"/>
    <n v="6630"/>
    <s v="M²"/>
    <n v="1.25"/>
    <n v="8287.5"/>
    <s v="EUR"/>
    <x v="0"/>
    <d v="2019-10-28T00:00:00"/>
    <x v="5"/>
  </r>
  <r>
    <s v="360364ApP0000665"/>
    <s v="IC-AX"/>
    <s v="362-000418"/>
    <x v="0"/>
    <s v="GLG0195200GV40"/>
    <d v="2019-02-27T18:52:49"/>
    <x v="0"/>
    <s v="Lot 142704"/>
    <n v="8190"/>
    <s v="M²"/>
    <n v="0.77"/>
    <n v="6306.3"/>
    <s v="EUR"/>
    <x v="0"/>
    <d v="2019-03-04T00:00:00"/>
    <x v="0"/>
  </r>
  <r>
    <s v="360364ApP0000669"/>
    <s v="IC-AX"/>
    <s v="362-000418"/>
    <x v="15"/>
    <s v="GLG0195200GV40"/>
    <d v="2019-03-05T18:02:58"/>
    <x v="7"/>
    <s v="Lot 143368"/>
    <n v="15210"/>
    <s v="M²"/>
    <n v="0.77"/>
    <n v="11711.7"/>
    <s v="EUR"/>
    <x v="0"/>
    <d v="2019-03-12T00:00:00"/>
    <x v="0"/>
  </r>
  <r>
    <s v="360364ApP0000672"/>
    <s v="IC-AX"/>
    <s v="362-000418"/>
    <x v="15"/>
    <s v="GLG0195200GV40"/>
    <d v="2019-03-05T18:04:04"/>
    <x v="7"/>
    <s v="Lot 143370"/>
    <n v="2340"/>
    <s v="M²"/>
    <n v="0.77"/>
    <n v="1801.8"/>
    <s v="EUR"/>
    <x v="0"/>
    <d v="2019-03-12T00:00:00"/>
    <x v="0"/>
  </r>
  <r>
    <s v="360364ApP0000768"/>
    <s v="IC-AX"/>
    <s v="362-000418"/>
    <x v="0"/>
    <s v="GLG0195200GV40"/>
    <d v="2019-06-25T21:10:41"/>
    <x v="3"/>
    <s v="Lot 160235"/>
    <n v="4680"/>
    <s v="M²"/>
    <n v="0.77"/>
    <n v="3603.6"/>
    <s v="EUR"/>
    <x v="0"/>
    <d v="2019-07-01T00:00:00"/>
    <x v="9"/>
  </r>
  <r>
    <s v="360364ApP0000785"/>
    <s v="IC-AX"/>
    <s v="362-000418"/>
    <x v="0"/>
    <s v="GLG0195200GV40"/>
    <d v="2019-07-18T17:43:22"/>
    <x v="4"/>
    <s v="Lot 165090"/>
    <n v="2340"/>
    <s v="M²"/>
    <n v="0.77"/>
    <n v="1801.8"/>
    <s v="EUR"/>
    <x v="0"/>
    <d v="2019-08-05T00:00:00"/>
    <x v="3"/>
  </r>
  <r>
    <s v="360364ApP0000824"/>
    <s v="IC-AX"/>
    <s v="362-000418"/>
    <x v="0"/>
    <s v="GLG0195200GV40"/>
    <d v="2019-09-18T15:46:09"/>
    <x v="5"/>
    <s v="Lot 175582"/>
    <n v="5850"/>
    <s v="M²"/>
    <n v="0.76"/>
    <n v="4446"/>
    <s v="EUR"/>
    <x v="0"/>
    <d v="2019-10-07T00:00:00"/>
    <x v="5"/>
  </r>
  <r>
    <s v="SO0002279"/>
    <s v="Domestic"/>
    <s v="362-000765"/>
    <x v="6"/>
    <s v="GLG0195200GV40"/>
    <d v="2019-05-10T19:01:17"/>
    <x v="2"/>
    <s v="Lot 152341"/>
    <n v="780"/>
    <s v="M²"/>
    <n v="8"/>
    <n v="6240"/>
    <s v="PLN"/>
    <x v="0"/>
    <d v="2019-05-10T00:00:00"/>
    <x v="1"/>
  </r>
  <r>
    <s v="SO0002304"/>
    <s v="Domestic"/>
    <s v="362-000648"/>
    <x v="6"/>
    <s v="GLG0195200GV40"/>
    <d v="2019-05-24T19:43:39"/>
    <x v="2"/>
    <s v="Lot 154846"/>
    <n v="5070"/>
    <s v="M²"/>
    <n v="7.5"/>
    <n v="38025"/>
    <s v="PLN"/>
    <x v="0"/>
    <d v="2019-05-24T00:00:00"/>
    <x v="1"/>
  </r>
  <r>
    <s v="SO0002819"/>
    <s v="Domestic"/>
    <s v="362-000645"/>
    <x v="6"/>
    <s v="GLG0195200GV40"/>
    <d v="2019-12-02T21:35:08"/>
    <x v="11"/>
    <s v="Lot 189755"/>
    <n v="156"/>
    <s v="M²"/>
    <n v="7.5"/>
    <n v="1170"/>
    <s v="PLN"/>
    <x v="0"/>
    <d v="2019-12-02T00:00:00"/>
    <x v="11"/>
  </r>
  <r>
    <s v="SO0002842"/>
    <s v="Domestic"/>
    <s v="362-000645"/>
    <x v="6"/>
    <s v="GLG0195200GV40"/>
    <d v="2019-12-12T17:18:06"/>
    <x v="11"/>
    <s v="Lot 191434"/>
    <n v="-156"/>
    <s v="M²"/>
    <n v="7.5"/>
    <n v="-1170"/>
    <s v="PLN"/>
    <x v="0"/>
    <d v="2019-12-12T00:00:00"/>
    <x v="11"/>
  </r>
  <r>
    <s v="SO0002843"/>
    <s v="Domestic"/>
    <s v="362-000767"/>
    <x v="6"/>
    <s v="GLG0195200GV40"/>
    <d v="2019-12-12T17:25:07"/>
    <x v="11"/>
    <s v="Lot 191435"/>
    <n v="78"/>
    <s v="M²"/>
    <n v="7.5"/>
    <n v="585"/>
    <s v="PLN"/>
    <x v="0"/>
    <d v="2019-12-12T00:00:00"/>
    <x v="11"/>
  </r>
  <r>
    <s v="SO0002282"/>
    <s v="Domestic"/>
    <s v="362-000510"/>
    <x v="6"/>
    <s v="GLG2Q"/>
    <d v="2019-05-13T17:51:20"/>
    <x v="2"/>
    <s v="Lot 152551"/>
    <n v="194"/>
    <s v="M²"/>
    <n v="3.5"/>
    <n v="679"/>
    <s v="PLN"/>
    <x v="0"/>
    <d v="2019-05-13T00:00:00"/>
    <x v="1"/>
  </r>
  <r>
    <s v="SO0002343"/>
    <s v="Domestic"/>
    <s v="362-000529"/>
    <x v="6"/>
    <s v="GLG2Q"/>
    <d v="2019-06-14T18:01:17"/>
    <x v="3"/>
    <s v="Lot 158665"/>
    <n v="1500"/>
    <s v="M²"/>
    <n v="4"/>
    <n v="6000"/>
    <s v="PLN"/>
    <x v="0"/>
    <d v="2019-06-14T00:00:00"/>
    <x v="2"/>
  </r>
  <r>
    <s v="SO0002389"/>
    <s v="Domestic"/>
    <s v="362-000518"/>
    <x v="6"/>
    <s v="GLG2Q"/>
    <d v="2019-07-12T19:54:28"/>
    <x v="4"/>
    <s v="Lot 164274"/>
    <n v="1500"/>
    <s v="M²"/>
    <n v="4"/>
    <n v="6000"/>
    <s v="PLN"/>
    <x v="0"/>
    <d v="2019-07-12T00:00:00"/>
    <x v="9"/>
  </r>
  <r>
    <s v="SO0002407"/>
    <s v="Domestic"/>
    <s v="362-000139"/>
    <x v="6"/>
    <s v="GLG2Q"/>
    <d v="2019-07-22T15:29:45"/>
    <x v="4"/>
    <s v="Lot 165393"/>
    <n v="100"/>
    <s v="M²"/>
    <n v="6"/>
    <n v="600"/>
    <s v="PLN"/>
    <x v="0"/>
    <d v="2019-07-19T00:00:00"/>
    <x v="9"/>
  </r>
  <r>
    <s v="SO0002437"/>
    <s v="Domestic"/>
    <s v="362-000139"/>
    <x v="6"/>
    <s v="GLG2Q"/>
    <d v="2019-08-01T16:04:42"/>
    <x v="9"/>
    <s v="Lot 167265"/>
    <n v="40"/>
    <s v="M²"/>
    <n v="6"/>
    <n v="240"/>
    <s v="PLN"/>
    <x v="0"/>
    <d v="2019-08-01T00:00:00"/>
    <x v="3"/>
  </r>
  <r>
    <s v="SO0002482"/>
    <s v="Domestic"/>
    <s v="362-000529"/>
    <x v="6"/>
    <s v="GLG2Q"/>
    <d v="2019-08-19T15:42:21"/>
    <x v="9"/>
    <s v="Lot 169769"/>
    <n v="800"/>
    <s v="M²"/>
    <n v="4"/>
    <n v="3200"/>
    <s v="PLN"/>
    <x v="0"/>
    <d v="2019-08-14T00:00:00"/>
    <x v="3"/>
  </r>
  <r>
    <s v="SO0002482"/>
    <s v="Domestic"/>
    <s v="362-000529"/>
    <x v="6"/>
    <s v="GLG2Q"/>
    <d v="2019-08-19T15:43:01"/>
    <x v="9"/>
    <s v="Lot 169770"/>
    <n v="2000"/>
    <s v="M²"/>
    <n v="4"/>
    <n v="8000"/>
    <s v="PLN"/>
    <x v="0"/>
    <d v="2019-08-14T00:00:00"/>
    <x v="3"/>
  </r>
  <r>
    <s v="SO0002489"/>
    <s v="Domestic"/>
    <s v="362-000139"/>
    <x v="6"/>
    <s v="GLG2Q"/>
    <d v="2019-08-19T16:19:53"/>
    <x v="9"/>
    <s v="Lot 169837"/>
    <n v="30"/>
    <s v="M²"/>
    <n v="6"/>
    <n v="180"/>
    <s v="PLN"/>
    <x v="0"/>
    <d v="2019-08-13T00:00:00"/>
    <x v="3"/>
  </r>
  <r>
    <s v="SO0002538"/>
    <s v="Domestic"/>
    <s v="362-000744"/>
    <x v="6"/>
    <s v="GLG2Q"/>
    <d v="2019-09-02T16:51:32"/>
    <x v="5"/>
    <s v="Lot 172102"/>
    <n v="1300"/>
    <s v="M²"/>
    <n v="5"/>
    <n v="6500"/>
    <s v="PLN"/>
    <x v="0"/>
    <d v="2019-09-02T00:00:00"/>
    <x v="7"/>
  </r>
  <r>
    <s v="SO0002560"/>
    <s v="Domestic"/>
    <s v="362-000480"/>
    <x v="6"/>
    <s v="GLG2Q"/>
    <d v="2019-09-11T20:16:09"/>
    <x v="5"/>
    <s v="Lot 173943"/>
    <n v="194"/>
    <s v="M²"/>
    <n v="7.01"/>
    <n v="1359.94"/>
    <s v="PLN"/>
    <x v="0"/>
    <d v="2019-09-10T00:00:00"/>
    <x v="7"/>
  </r>
  <r>
    <s v="SO0002605"/>
    <s v="Domestic"/>
    <s v="362-000521"/>
    <x v="6"/>
    <s v="GLG2Q"/>
    <d v="2019-09-25T17:12:30"/>
    <x v="5"/>
    <s v="Lot 177021"/>
    <n v="1000"/>
    <s v="M²"/>
    <n v="3.8899999999999997"/>
    <n v="3890"/>
    <s v="PLN"/>
    <x v="0"/>
    <d v="2019-09-24T00:00:00"/>
    <x v="7"/>
  </r>
  <r>
    <s v="SO0002605"/>
    <s v="Domestic"/>
    <s v="362-000521"/>
    <x v="6"/>
    <s v="GLG2Q"/>
    <d v="2019-09-25T17:13:11"/>
    <x v="5"/>
    <s v="Lot 177022"/>
    <n v="1000"/>
    <s v="M²"/>
    <n v="3.8899999999999997"/>
    <n v="3890"/>
    <s v="PLN"/>
    <x v="0"/>
    <d v="2019-09-24T00:00:00"/>
    <x v="7"/>
  </r>
  <r>
    <s v="SO0002645"/>
    <s v="Domestic"/>
    <s v="362-000739"/>
    <x v="6"/>
    <s v="GLG2Q"/>
    <d v="2019-10-04T15:43:22"/>
    <x v="6"/>
    <s v="Lot 180528"/>
    <n v="1500"/>
    <s v="M²"/>
    <n v="6"/>
    <n v="9000"/>
    <s v="PLN"/>
    <x v="0"/>
    <d v="2019-10-04T00:00:00"/>
    <x v="5"/>
  </r>
  <r>
    <s v="SO0002671"/>
    <s v="Domestic"/>
    <s v="362-000518"/>
    <x v="6"/>
    <s v="GLG2Q"/>
    <d v="2019-10-15T16:02:43"/>
    <x v="6"/>
    <s v="Lot 182430"/>
    <n v="80"/>
    <s v="M²"/>
    <n v="7"/>
    <n v="560"/>
    <s v="PLN"/>
    <x v="0"/>
    <d v="2019-10-15T00:00:0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4" indent="0" compact="0" compactData="0" gridDropZones="1" multipleFieldFilters="0">
  <location ref="A1:G26" firstHeaderRow="1" firstDataRow="2" firstDataCol="5"/>
  <pivotFields count="10">
    <pivotField axis="axisRow" compact="0" outline="0" showAll="0">
      <items count="11">
        <item m="1" x="9"/>
        <item m="1" x="5"/>
        <item x="0"/>
        <item m="1" x="1"/>
        <item m="1" x="6"/>
        <item m="1" x="3"/>
        <item m="1" x="8"/>
        <item m="1" x="4"/>
        <item m="1" x="7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axis="axisRow" compact="0" outline="0" showAll="0" defaultSubtotal="0">
      <items count="157">
        <item m="1" x="60"/>
        <item m="1" x="110"/>
        <item m="1" x="64"/>
        <item m="1" x="103"/>
        <item m="1" x="102"/>
        <item m="1" x="114"/>
        <item m="1" x="113"/>
        <item m="1" x="35"/>
        <item m="1" x="144"/>
        <item m="1" x="30"/>
        <item m="1" x="115"/>
        <item m="1" x="48"/>
        <item m="1" x="133"/>
        <item m="1" x="61"/>
        <item m="1" x="27"/>
        <item m="1" x="138"/>
        <item m="1" x="66"/>
        <item m="1" x="128"/>
        <item m="1" x="78"/>
        <item m="1" x="34"/>
        <item m="1" x="59"/>
        <item m="1" x="131"/>
        <item m="1" x="62"/>
        <item m="1" x="94"/>
        <item m="1" x="65"/>
        <item m="1" x="67"/>
        <item m="1" x="100"/>
        <item m="1" x="71"/>
        <item m="1" x="73"/>
        <item m="1" x="45"/>
        <item m="1" x="147"/>
        <item m="1" x="49"/>
        <item m="1" x="53"/>
        <item m="1" x="156"/>
        <item m="1" x="90"/>
        <item m="1" x="41"/>
        <item m="1" x="98"/>
        <item m="1" x="141"/>
        <item m="1" x="57"/>
        <item m="1" x="142"/>
        <item m="1" x="121"/>
        <item m="1" x="86"/>
        <item m="1" x="124"/>
        <item m="1" x="129"/>
        <item m="1" x="36"/>
        <item m="1" x="139"/>
        <item m="1" x="29"/>
        <item m="1" x="70"/>
        <item m="1" x="68"/>
        <item m="1" x="132"/>
        <item m="1" x="148"/>
        <item m="1" x="89"/>
        <item m="1" x="150"/>
        <item m="1" x="82"/>
        <item m="1" x="26"/>
        <item m="1" x="85"/>
        <item m="1" x="37"/>
        <item m="1" x="25"/>
        <item m="1" x="39"/>
        <item m="1" x="54"/>
        <item m="1" x="104"/>
        <item m="1" x="111"/>
        <item m="1" x="32"/>
        <item m="1" x="125"/>
        <item m="1" x="153"/>
        <item m="1" x="93"/>
        <item m="1" x="135"/>
        <item m="1" x="143"/>
        <item m="1" x="52"/>
        <item m="1" x="84"/>
        <item m="1" x="80"/>
        <item x="5"/>
        <item m="1" x="28"/>
        <item m="1" x="75"/>
        <item m="1" x="88"/>
        <item m="1" x="47"/>
        <item m="1" x="130"/>
        <item m="1" x="136"/>
        <item m="1" x="40"/>
        <item m="1" x="145"/>
        <item m="1" x="38"/>
        <item x="2"/>
        <item m="1" x="87"/>
        <item m="1" x="92"/>
        <item m="1" x="79"/>
        <item m="1" x="101"/>
        <item m="1" x="55"/>
        <item m="1" x="134"/>
        <item m="1" x="33"/>
        <item m="1" x="106"/>
        <item m="1" x="69"/>
        <item m="1" x="118"/>
        <item m="1" x="99"/>
        <item m="1" x="42"/>
        <item m="1" x="95"/>
        <item m="1" x="123"/>
        <item m="1" x="46"/>
        <item m="1" x="44"/>
        <item x="10"/>
        <item x="9"/>
        <item m="1" x="77"/>
        <item m="1" x="108"/>
        <item m="1" x="137"/>
        <item m="1" x="154"/>
        <item x="1"/>
        <item x="3"/>
        <item x="4"/>
        <item x="0"/>
        <item m="1" x="72"/>
        <item x="19"/>
        <item x="8"/>
        <item x="6"/>
        <item x="20"/>
        <item x="11"/>
        <item x="14"/>
        <item m="1" x="51"/>
        <item x="21"/>
        <item x="16"/>
        <item x="7"/>
        <item m="1" x="122"/>
        <item m="1" x="119"/>
        <item m="1" x="107"/>
        <item x="13"/>
        <item x="18"/>
        <item m="1" x="22"/>
        <item m="1" x="24"/>
        <item m="1" x="155"/>
        <item x="15"/>
        <item m="1" x="43"/>
        <item m="1" x="31"/>
        <item m="1" x="120"/>
        <item m="1" x="117"/>
        <item x="12"/>
        <item m="1" x="58"/>
        <item x="17"/>
        <item m="1" x="105"/>
        <item m="1" x="127"/>
        <item m="1" x="146"/>
        <item m="1" x="23"/>
        <item m="1" x="112"/>
        <item m="1" x="140"/>
        <item m="1" x="149"/>
        <item m="1" x="91"/>
        <item m="1" x="56"/>
        <item m="1" x="76"/>
        <item m="1" x="81"/>
        <item m="1" x="116"/>
        <item m="1" x="63"/>
        <item m="1" x="97"/>
        <item m="1" x="96"/>
        <item m="1" x="50"/>
        <item m="1" x="83"/>
        <item m="1" x="152"/>
        <item m="1" x="74"/>
        <item m="1" x="151"/>
        <item m="1" x="126"/>
        <item m="1" x="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43">
        <item m="1" x="80"/>
        <item m="1" x="130"/>
        <item m="1" x="135"/>
        <item m="1" x="67"/>
        <item m="1" x="137"/>
        <item m="1" x="20"/>
        <item m="1" x="52"/>
        <item m="1" x="55"/>
        <item m="1" x="16"/>
        <item m="1" x="118"/>
        <item m="1" x="59"/>
        <item m="1" x="31"/>
        <item m="1" x="107"/>
        <item m="1" x="24"/>
        <item m="1" x="111"/>
        <item m="1" x="134"/>
        <item m="1" x="15"/>
        <item m="1" x="99"/>
        <item m="1" x="57"/>
        <item m="1" x="18"/>
        <item m="1" x="100"/>
        <item m="1" x="81"/>
        <item m="1" x="53"/>
        <item m="1" x="104"/>
        <item m="1" x="60"/>
        <item m="1" x="38"/>
        <item m="1" x="115"/>
        <item m="1" x="121"/>
        <item m="1" x="106"/>
        <item m="1" x="58"/>
        <item m="1" x="108"/>
        <item m="1" x="69"/>
        <item m="1" x="76"/>
        <item m="1" x="114"/>
        <item m="1" x="82"/>
        <item m="1" x="88"/>
        <item m="1" x="102"/>
        <item m="1" x="92"/>
        <item m="1" x="63"/>
        <item m="1" x="13"/>
        <item m="1" x="30"/>
        <item m="1" x="11"/>
        <item m="1" x="32"/>
        <item m="1" x="113"/>
        <item m="1" x="17"/>
        <item m="1" x="33"/>
        <item m="1" x="42"/>
        <item m="1" x="136"/>
        <item m="1" x="26"/>
        <item m="1" x="84"/>
        <item m="1" x="140"/>
        <item m="1" x="14"/>
        <item m="1" x="101"/>
        <item m="1" x="109"/>
        <item m="1" x="46"/>
        <item m="1" x="68"/>
        <item m="1" x="37"/>
        <item m="1" x="77"/>
        <item m="1" x="29"/>
        <item m="1" x="120"/>
        <item m="1" x="47"/>
        <item m="1" x="122"/>
        <item m="1" x="62"/>
        <item m="1" x="40"/>
        <item m="1" x="133"/>
        <item m="1" x="87"/>
        <item m="1" x="39"/>
        <item m="1" x="27"/>
        <item m="1" x="116"/>
        <item m="1" x="28"/>
        <item m="1" x="125"/>
        <item x="2"/>
        <item m="1" x="83"/>
        <item m="1" x="141"/>
        <item m="1" x="138"/>
        <item m="1" x="72"/>
        <item m="1" x="128"/>
        <item m="1" x="50"/>
        <item m="1" x="21"/>
        <item x="1"/>
        <item m="1" x="75"/>
        <item m="1" x="74"/>
        <item m="1" x="12"/>
        <item m="1" x="132"/>
        <item m="1" x="123"/>
        <item m="1" x="93"/>
        <item m="1" x="97"/>
        <item m="1" x="23"/>
        <item m="1" x="61"/>
        <item m="1" x="22"/>
        <item m="1" x="36"/>
        <item m="1" x="90"/>
        <item m="1" x="139"/>
        <item m="1" x="110"/>
        <item m="1" x="96"/>
        <item m="1" x="112"/>
        <item m="1" x="98"/>
        <item m="1" x="127"/>
        <item m="1" x="66"/>
        <item x="0"/>
        <item m="1" x="70"/>
        <item x="8"/>
        <item x="4"/>
        <item x="3"/>
        <item x="9"/>
        <item x="6"/>
        <item x="7"/>
        <item x="10"/>
        <item m="1" x="131"/>
        <item m="1" x="119"/>
        <item m="1" x="54"/>
        <item m="1" x="19"/>
        <item m="1" x="49"/>
        <item m="1" x="35"/>
        <item m="1" x="117"/>
        <item m="1" x="45"/>
        <item m="1" x="43"/>
        <item m="1" x="73"/>
        <item x="5"/>
        <item m="1" x="34"/>
        <item m="1" x="142"/>
        <item m="1" x="85"/>
        <item m="1" x="94"/>
        <item m="1" x="103"/>
        <item m="1" x="126"/>
        <item m="1" x="44"/>
        <item m="1" x="129"/>
        <item m="1" x="41"/>
        <item m="1" x="65"/>
        <item m="1" x="105"/>
        <item m="1" x="64"/>
        <item m="1" x="56"/>
        <item m="1" x="124"/>
        <item m="1" x="86"/>
        <item m="1" x="71"/>
        <item m="1" x="51"/>
        <item m="1" x="89"/>
        <item m="1" x="48"/>
        <item m="1" x="78"/>
        <item m="1" x="95"/>
        <item m="1" x="25"/>
        <item m="1" x="79"/>
        <item m="1" x="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/>
    <pivotField dataField="1" compact="0" outline="0" showAll="0"/>
    <pivotField axis="axisRow" compact="0" outline="0" subtotalTop="0" showAll="0" defaultSubtotal="0">
      <items count="21">
        <item m="1" x="16"/>
        <item m="1" x="19"/>
        <item m="1" x="6"/>
        <item m="1" x="1"/>
        <item m="1" x="17"/>
        <item m="1" x="11"/>
        <item m="1" x="4"/>
        <item m="1" x="20"/>
        <item m="1" x="15"/>
        <item m="1" x="9"/>
        <item m="1" x="3"/>
        <item m="1" x="8"/>
        <item m="1" x="12"/>
        <item m="1" x="2"/>
        <item x="0"/>
        <item m="1" x="5"/>
        <item m="1" x="13"/>
        <item m="1" x="7"/>
        <item m="1" x="14"/>
        <item m="1" x="18"/>
        <item m="1" x="10"/>
      </items>
    </pivotField>
    <pivotField dataField="1" compact="0" outline="0" showAll="0"/>
    <pivotField axis="axisRow" compact="0" outline="0" showAll="0">
      <items count="9">
        <item m="1" x="5"/>
        <item m="1" x="3"/>
        <item x="0"/>
        <item m="1" x="4"/>
        <item m="1" x="1"/>
        <item m="1" x="7"/>
        <item m="1" x="6"/>
        <item m="1" x="2"/>
        <item t="default"/>
      </items>
    </pivotField>
    <pivotField compact="0" outline="0" showAll="0"/>
  </pivotFields>
  <rowFields count="5">
    <field x="0"/>
    <field x="2"/>
    <field x="3"/>
    <field x="6"/>
    <field x="8"/>
  </rowFields>
  <rowItems count="24">
    <i>
      <x v="2"/>
      <x v="71"/>
      <x v="71"/>
      <x v="14"/>
      <x v="2"/>
    </i>
    <i r="1">
      <x v="81"/>
      <x v="79"/>
      <x v="14"/>
      <x v="2"/>
    </i>
    <i r="1">
      <x v="98"/>
      <x v="71"/>
      <x v="14"/>
      <x v="2"/>
    </i>
    <i r="1">
      <x v="99"/>
      <x v="71"/>
      <x v="14"/>
      <x v="2"/>
    </i>
    <i r="1">
      <x v="104"/>
      <x v="79"/>
      <x v="14"/>
      <x v="2"/>
    </i>
    <i r="1">
      <x v="105"/>
      <x v="79"/>
      <x v="14"/>
      <x v="2"/>
    </i>
    <i r="1">
      <x v="106"/>
      <x v="99"/>
      <x v="14"/>
      <x v="2"/>
    </i>
    <i r="1">
      <x v="107"/>
      <x v="99"/>
      <x v="14"/>
      <x v="2"/>
    </i>
    <i r="1">
      <x v="109"/>
      <x v="101"/>
      <x v="14"/>
      <x v="2"/>
    </i>
    <i r="1">
      <x v="110"/>
      <x v="102"/>
      <x v="14"/>
      <x v="2"/>
    </i>
    <i r="1">
      <x v="111"/>
      <x v="103"/>
      <x v="14"/>
      <x v="2"/>
    </i>
    <i r="1">
      <x v="112"/>
      <x v="104"/>
      <x v="14"/>
      <x v="2"/>
    </i>
    <i r="1">
      <x v="113"/>
      <x v="103"/>
      <x v="14"/>
      <x v="2"/>
    </i>
    <i r="1">
      <x v="114"/>
      <x v="105"/>
      <x v="14"/>
      <x v="2"/>
    </i>
    <i r="1">
      <x v="116"/>
      <x v="107"/>
      <x v="14"/>
      <x v="2"/>
    </i>
    <i r="1">
      <x v="117"/>
      <x v="102"/>
      <x v="14"/>
      <x v="2"/>
    </i>
    <i r="1">
      <x v="118"/>
      <x v="103"/>
      <x v="14"/>
      <x v="2"/>
    </i>
    <i r="1">
      <x v="122"/>
      <x v="99"/>
      <x v="14"/>
      <x v="2"/>
    </i>
    <i r="1">
      <x v="123"/>
      <x v="106"/>
      <x v="14"/>
      <x v="2"/>
    </i>
    <i r="1">
      <x v="127"/>
      <x v="105"/>
      <x v="14"/>
      <x v="2"/>
    </i>
    <i r="1">
      <x v="132"/>
      <x v="118"/>
      <x v="14"/>
      <x v="2"/>
    </i>
    <i r="1">
      <x v="134"/>
      <x v="102"/>
      <x v="14"/>
      <x v="2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elivered" fld="5" baseField="0" baseItem="0"/>
    <dataField name="Sum of Invent qty delivered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By Shipping date">
  <location ref="A23:O42" firstHeaderRow="1" firstDataRow="2" firstDataCol="1"/>
  <pivotFields count="16">
    <pivotField showAll="0"/>
    <pivotField showAll="0"/>
    <pivotField showAll="0"/>
    <pivotField axis="axisRow" showAll="0">
      <items count="17">
        <item x="13"/>
        <item x="7"/>
        <item x="15"/>
        <item x="5"/>
        <item x="2"/>
        <item x="4"/>
        <item x="10"/>
        <item x="3"/>
        <item x="11"/>
        <item x="0"/>
        <item x="6"/>
        <item x="1"/>
        <item x="12"/>
        <item x="8"/>
        <item x="14"/>
        <item x="9"/>
        <item t="default"/>
      </items>
    </pivotField>
    <pivotField showAll="0"/>
    <pivotField numFmtId="22"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Col" showAll="0">
      <items count="15">
        <item x="6"/>
        <item x="3"/>
        <item x="11"/>
        <item x="4"/>
        <item x="8"/>
        <item x="9"/>
        <item x="2"/>
        <item x="0"/>
        <item x="1"/>
        <item x="10"/>
        <item x="5"/>
        <item x="7"/>
        <item m="1" x="13"/>
        <item x="12"/>
        <item t="default"/>
      </items>
    </pivotField>
  </pivotFields>
  <rowFields count="2">
    <field x="13"/>
    <field x="3"/>
  </rowFields>
  <rowItems count="1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grand">
      <x/>
    </i>
  </rowItems>
  <colFields count="1">
    <field x="1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 t="grand">
      <x/>
    </i>
  </colItems>
  <dataFields count="1">
    <dataField name="求和项:Order qty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By Create Date">
  <location ref="A1:N20" firstHeaderRow="1" firstDataRow="2" firstDataCol="1"/>
  <pivotFields count="16">
    <pivotField showAll="0"/>
    <pivotField showAll="0"/>
    <pivotField showAll="0"/>
    <pivotField axis="axisRow" showAll="0">
      <items count="17">
        <item x="13"/>
        <item x="7"/>
        <item x="15"/>
        <item x="5"/>
        <item x="2"/>
        <item x="4"/>
        <item x="10"/>
        <item x="3"/>
        <item x="11"/>
        <item x="0"/>
        <item x="6"/>
        <item x="1"/>
        <item x="12"/>
        <item x="8"/>
        <item x="14"/>
        <item x="9"/>
        <item t="default"/>
      </items>
    </pivotField>
    <pivotField showAll="0"/>
    <pivotField numFmtId="22" showAll="0"/>
    <pivotField axis="axisCol" showAll="0">
      <items count="13">
        <item x="1"/>
        <item x="9"/>
        <item x="11"/>
        <item x="0"/>
        <item x="8"/>
        <item x="4"/>
        <item x="3"/>
        <item x="7"/>
        <item x="2"/>
        <item x="10"/>
        <item x="6"/>
        <item x="5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</pivotFields>
  <rowFields count="2">
    <field x="13"/>
    <field x="3"/>
  </rowFields>
  <rowItems count="1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grand">
      <x/>
    </i>
  </rowItems>
  <colFields count="1">
    <field x="6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求和项:Order qty" fld="8" baseField="0" baseItem="0" numFmtId="176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7" name="AtlasReport_5_Table_1" displayName="AtlasReport_5_Table_1" ref="A2:P898" totalsRowCount="1">
  <autoFilter ref="A2:P897"/>
  <tableColumns count="16">
    <tableColumn id="1" name="Sales order" totalsRowLabel="Total" dataDxfId="58" totalsRowDxfId="57"/>
    <tableColumn id="2" name="Group" dataDxfId="56" totalsRowDxfId="55"/>
    <tableColumn id="3" name="Customer" dataDxfId="54" totalsRowDxfId="53"/>
    <tableColumn id="4" name="Country/region(distination)" dataDxfId="52" totalsRowDxfId="51"/>
    <tableColumn id="5" name="Item number" dataDxfId="50" totalsRowDxfId="49"/>
    <tableColumn id="6" name="Created date" dataDxfId="48" totalsRowDxfId="47"/>
    <tableColumn id="7" name="Created Month"/>
    <tableColumn id="8" name="Lot ID" dataDxfId="46" totalsRowDxfId="45"/>
    <tableColumn id="9" name="Order qty" totalsRowFunction="sum" dataDxfId="44" totalsRowDxfId="43"/>
    <tableColumn id="10" name="Unit" dataDxfId="42" totalsRowDxfId="41"/>
    <tableColumn id="11" name="Unit price" totalsRowFunction="sum" dataDxfId="40" totalsRowDxfId="39"/>
    <tableColumn id="12" name="Net amount" totalsRowFunction="sum" dataDxfId="38" totalsRowDxfId="37"/>
    <tableColumn id="13" name="Currency" dataDxfId="36" totalsRowDxfId="35"/>
    <tableColumn id="14" name="Line status" dataDxfId="34" totalsRowDxfId="33"/>
    <tableColumn id="15" name="Delivered Date"/>
    <tableColumn id="16" name="Delivered Mon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AtlasReport_3_Table_1" displayName="AtlasReport_3_Table_1" ref="A2:J895" totalsRowCount="1">
  <autoFilter ref="A2:J894"/>
  <tableColumns count="10">
    <tableColumn id="1" name="Company accounts" totalsRowLabel="Total" dataDxfId="32" totalsRowDxfId="31"/>
    <tableColumn id="2" name="Sales order" dataDxfId="30" totalsRowDxfId="29"/>
    <tableColumn id="3" name="Item" dataDxfId="28" totalsRowDxfId="27"/>
    <tableColumn id="4" name="Item name" dataDxfId="26" totalsRowDxfId="25"/>
    <tableColumn id="5" name="Ship date" dataDxfId="24" totalsRowDxfId="23"/>
    <tableColumn id="6" name="Delivered" totalsRowFunction="sum" dataDxfId="22" totalsRowDxfId="21"/>
    <tableColumn id="7" name="Sales unit" dataDxfId="20" totalsRowDxfId="19"/>
    <tableColumn id="8" name="Invent qty delivered" dataDxfId="18" totalsRowDxfId="17">
      <calculatedColumnFormula>SUMIFS(InventTrans!F:F,InventTrans!B:B,AtlasReport_3_Table_1[[#This Row],[Lot ID]],InventTrans!C:C,AtlasReport_3_Table_1[[#This Row],[Ship date]])</calculatedColumnFormula>
    </tableColumn>
    <tableColumn id="9" name="Invent unit" dataDxfId="16" totalsRowDxfId="15"/>
    <tableColumn id="10" name="Lot ID" dataDxfId="14" totalsRow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AtlasReport_4_Table_1" displayName="AtlasReport_4_Table_1" ref="A2:F5113" totalsRowCount="1">
  <autoFilter ref="A2:F5112"/>
  <sortState ref="A3:F5112">
    <sortCondition ref="B3:B5112"/>
    <sortCondition ref="C3:C5112"/>
  </sortState>
  <tableColumns count="6">
    <tableColumn id="1" name="Item number" totalsRowLabel="Total" dataDxfId="12" totalsRowDxfId="11"/>
    <tableColumn id="2" name="Lot ID" dataDxfId="10" totalsRowDxfId="9"/>
    <tableColumn id="3" name="Physical date" dataDxfId="8" totalsRowDxfId="7"/>
    <tableColumn id="4" name="Reference" dataDxfId="6" totalsRowDxfId="5"/>
    <tableColumn id="5" name="Number" dataDxfId="4" totalsRowDxfId="3"/>
    <tableColumn id="6" name="Quantity" totalsRowFunction="sum" dataDxfId="2" totalsRow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/>
  <dimension ref="B2:N13"/>
  <sheetViews>
    <sheetView tabSelected="1" workbookViewId="0">
      <selection activeCell="L4" sqref="L4"/>
    </sheetView>
  </sheetViews>
  <sheetFormatPr defaultRowHeight="13.5" x14ac:dyDescent="0.15"/>
  <cols>
    <col min="2" max="2" width="15.875" bestFit="1" customWidth="1"/>
    <col min="12" max="12" width="10.5" bestFit="1" customWidth="1"/>
  </cols>
  <sheetData>
    <row r="2" spans="2:14" x14ac:dyDescent="0.15">
      <c r="B2" t="s">
        <v>0</v>
      </c>
      <c r="C2">
        <v>362</v>
      </c>
      <c r="L2" t="s">
        <v>29</v>
      </c>
    </row>
    <row r="3" spans="2:14" x14ac:dyDescent="0.15">
      <c r="B3" t="s">
        <v>1</v>
      </c>
      <c r="C3" t="s">
        <v>272</v>
      </c>
      <c r="L3" s="13">
        <v>44439</v>
      </c>
      <c r="M3" t="s">
        <v>30</v>
      </c>
      <c r="N3" t="s">
        <v>31</v>
      </c>
    </row>
    <row r="4" spans="2:14" x14ac:dyDescent="0.15">
      <c r="B4" t="s">
        <v>2</v>
      </c>
      <c r="C4" t="s">
        <v>8737</v>
      </c>
    </row>
    <row r="5" spans="2:14" x14ac:dyDescent="0.15">
      <c r="B5" t="s">
        <v>4</v>
      </c>
      <c r="C5" t="s">
        <v>3</v>
      </c>
    </row>
    <row r="6" spans="2:14" x14ac:dyDescent="0.15">
      <c r="B6" t="s">
        <v>5</v>
      </c>
      <c r="C6" t="s">
        <v>47</v>
      </c>
    </row>
    <row r="7" spans="2:14" x14ac:dyDescent="0.15">
      <c r="B7" t="s">
        <v>6</v>
      </c>
      <c r="C7" t="s">
        <v>3</v>
      </c>
    </row>
    <row r="10" spans="2:14" x14ac:dyDescent="0.15">
      <c r="B10" t="s">
        <v>32</v>
      </c>
    </row>
    <row r="11" spans="2:14" x14ac:dyDescent="0.15">
      <c r="B11" t="s">
        <v>33</v>
      </c>
    </row>
    <row r="12" spans="2:14" x14ac:dyDescent="0.15">
      <c r="B12" t="s">
        <v>34</v>
      </c>
    </row>
    <row r="13" spans="2:14" x14ac:dyDescent="0.15">
      <c r="B13" t="s">
        <v>39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 sizeWithCells="1">
                  <from>
                    <xdr:col>5</xdr:col>
                    <xdr:colOff>666750</xdr:colOff>
                    <xdr:row>1</xdr:row>
                    <xdr:rowOff>152400</xdr:rowOff>
                  </from>
                  <to>
                    <xdr:col>8</xdr:col>
                    <xdr:colOff>19050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alesLines"/>
  <dimension ref="A1:P900"/>
  <sheetViews>
    <sheetView topLeftCell="A2" workbookViewId="0">
      <selection activeCell="P9" sqref="P9"/>
    </sheetView>
  </sheetViews>
  <sheetFormatPr defaultRowHeight="13.5" x14ac:dyDescent="0.15"/>
  <cols>
    <col min="1" max="1" width="19.625" customWidth="1"/>
    <col min="2" max="2" width="9.25" customWidth="1"/>
    <col min="3" max="3" width="11.875" customWidth="1"/>
    <col min="4" max="4" width="17" customWidth="1"/>
    <col min="5" max="5" width="16.125" customWidth="1"/>
    <col min="6" max="6" width="15.875" customWidth="1"/>
    <col min="7" max="7" width="19" bestFit="1" customWidth="1"/>
    <col min="8" max="8" width="11.625" bestFit="1" customWidth="1"/>
    <col min="9" max="9" width="11.75" customWidth="1"/>
    <col min="10" max="10" width="7.125" customWidth="1"/>
    <col min="11" max="11" width="12" customWidth="1"/>
    <col min="12" max="12" width="13.875" customWidth="1"/>
    <col min="13" max="13" width="11.125" customWidth="1"/>
    <col min="14" max="14" width="12.75" customWidth="1"/>
    <col min="15" max="15" width="20.25" bestFit="1" customWidth="1"/>
    <col min="16" max="16" width="18.625" bestFit="1" customWidth="1"/>
  </cols>
  <sheetData>
    <row r="1" spans="1:16" ht="22.5" x14ac:dyDescent="0.25">
      <c r="A1" s="1" t="s">
        <v>1551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15">
      <c r="A2" s="3" t="s">
        <v>16</v>
      </c>
      <c r="B2" s="3" t="s">
        <v>1561</v>
      </c>
      <c r="C2" s="3" t="s">
        <v>1565</v>
      </c>
      <c r="D2" s="3" t="s">
        <v>1708</v>
      </c>
      <c r="E2" s="3" t="s">
        <v>23</v>
      </c>
      <c r="F2" s="11" t="s">
        <v>1709</v>
      </c>
      <c r="G2" t="s">
        <v>1714</v>
      </c>
      <c r="H2" s="3" t="s">
        <v>18</v>
      </c>
      <c r="I2" s="3" t="s">
        <v>1552</v>
      </c>
      <c r="J2" s="3" t="s">
        <v>1713</v>
      </c>
      <c r="K2" s="3" t="s">
        <v>1553</v>
      </c>
      <c r="L2" s="3" t="s">
        <v>1554</v>
      </c>
      <c r="M2" s="3" t="s">
        <v>1555</v>
      </c>
      <c r="N2" s="3" t="s">
        <v>1556</v>
      </c>
      <c r="O2" t="s">
        <v>1715</v>
      </c>
      <c r="P2" t="s">
        <v>1716</v>
      </c>
    </row>
    <row r="3" spans="1:16" x14ac:dyDescent="0.15">
      <c r="A3" s="5" t="s">
        <v>1203</v>
      </c>
      <c r="B3" s="5" t="s">
        <v>1562</v>
      </c>
      <c r="C3" s="5" t="s">
        <v>1566</v>
      </c>
      <c r="D3" s="5" t="s">
        <v>1692</v>
      </c>
      <c r="E3" s="5" t="s">
        <v>41</v>
      </c>
      <c r="F3" s="12">
        <v>43523.786076388889</v>
      </c>
      <c r="G3" t="s">
        <v>8724</v>
      </c>
      <c r="H3" s="5" t="s">
        <v>1204</v>
      </c>
      <c r="I3" s="6">
        <v>7760</v>
      </c>
      <c r="J3" s="5" t="s">
        <v>15</v>
      </c>
      <c r="K3" s="6">
        <v>1.73</v>
      </c>
      <c r="L3" s="6">
        <v>13424.8</v>
      </c>
      <c r="M3" s="5" t="s">
        <v>1557</v>
      </c>
      <c r="N3" s="5" t="s">
        <v>1558</v>
      </c>
      <c r="O3" s="13">
        <v>43528</v>
      </c>
      <c r="P3" t="s">
        <v>8725</v>
      </c>
    </row>
    <row r="4" spans="1:16" x14ac:dyDescent="0.15">
      <c r="A4" s="5" t="s">
        <v>1231</v>
      </c>
      <c r="B4" s="5" t="s">
        <v>1562</v>
      </c>
      <c r="C4" s="5" t="s">
        <v>1566</v>
      </c>
      <c r="D4" s="5" t="s">
        <v>1692</v>
      </c>
      <c r="E4" s="5" t="s">
        <v>41</v>
      </c>
      <c r="F4" s="12">
        <v>43579.67015046296</v>
      </c>
      <c r="G4" t="s">
        <v>8726</v>
      </c>
      <c r="H4" s="5" t="s">
        <v>1232</v>
      </c>
      <c r="I4" s="6">
        <v>3880</v>
      </c>
      <c r="J4" s="5" t="s">
        <v>15</v>
      </c>
      <c r="K4" s="6">
        <v>1.73</v>
      </c>
      <c r="L4" s="6">
        <v>6712.4</v>
      </c>
      <c r="M4" s="5" t="s">
        <v>1557</v>
      </c>
      <c r="N4" s="5" t="s">
        <v>1558</v>
      </c>
      <c r="O4" s="13">
        <v>43598</v>
      </c>
      <c r="P4" t="s">
        <v>8727</v>
      </c>
    </row>
    <row r="5" spans="1:16" x14ac:dyDescent="0.15">
      <c r="A5" s="5" t="s">
        <v>1241</v>
      </c>
      <c r="B5" s="5" t="s">
        <v>1562</v>
      </c>
      <c r="C5" s="5" t="s">
        <v>1566</v>
      </c>
      <c r="D5" s="5" t="s">
        <v>1692</v>
      </c>
      <c r="E5" s="5" t="s">
        <v>41</v>
      </c>
      <c r="F5" s="12">
        <v>43598.925266203703</v>
      </c>
      <c r="G5" t="s">
        <v>8727</v>
      </c>
      <c r="H5" s="5" t="s">
        <v>1242</v>
      </c>
      <c r="I5" s="6">
        <v>3880</v>
      </c>
      <c r="J5" s="5" t="s">
        <v>15</v>
      </c>
      <c r="K5" s="6">
        <v>1.73</v>
      </c>
      <c r="L5" s="6">
        <v>6712.4</v>
      </c>
      <c r="M5" s="5" t="s">
        <v>1557</v>
      </c>
      <c r="N5" s="5" t="s">
        <v>1558</v>
      </c>
      <c r="O5" s="13">
        <v>43598</v>
      </c>
      <c r="P5" t="s">
        <v>8727</v>
      </c>
    </row>
    <row r="6" spans="1:16" x14ac:dyDescent="0.15">
      <c r="A6" s="5" t="s">
        <v>1314</v>
      </c>
      <c r="B6" s="5" t="s">
        <v>1562</v>
      </c>
      <c r="C6" s="5" t="s">
        <v>1566</v>
      </c>
      <c r="D6" s="5" t="s">
        <v>1694</v>
      </c>
      <c r="E6" s="5" t="s">
        <v>41</v>
      </c>
      <c r="F6" s="12">
        <v>43623.789803240739</v>
      </c>
      <c r="G6" t="s">
        <v>8728</v>
      </c>
      <c r="H6" s="5" t="s">
        <v>1318</v>
      </c>
      <c r="I6" s="6">
        <v>2134</v>
      </c>
      <c r="J6" s="5" t="s">
        <v>15</v>
      </c>
      <c r="K6" s="6">
        <v>1.73</v>
      </c>
      <c r="L6" s="6">
        <v>3691.82</v>
      </c>
      <c r="M6" s="5" t="s">
        <v>1557</v>
      </c>
      <c r="N6" s="5" t="s">
        <v>1558</v>
      </c>
      <c r="O6" s="13">
        <v>43633</v>
      </c>
      <c r="P6" t="s">
        <v>8728</v>
      </c>
    </row>
    <row r="7" spans="1:16" x14ac:dyDescent="0.15">
      <c r="A7" s="5" t="s">
        <v>1319</v>
      </c>
      <c r="B7" s="5" t="s">
        <v>1562</v>
      </c>
      <c r="C7" s="5" t="s">
        <v>1566</v>
      </c>
      <c r="D7" s="5" t="s">
        <v>1694</v>
      </c>
      <c r="E7" s="5" t="s">
        <v>41</v>
      </c>
      <c r="F7" s="12">
        <v>43640.956724537034</v>
      </c>
      <c r="G7" t="s">
        <v>8728</v>
      </c>
      <c r="H7" s="5" t="s">
        <v>1323</v>
      </c>
      <c r="I7" s="6">
        <v>2134</v>
      </c>
      <c r="J7" s="5" t="s">
        <v>15</v>
      </c>
      <c r="K7" s="6">
        <v>1.73</v>
      </c>
      <c r="L7" s="6">
        <v>3691.82</v>
      </c>
      <c r="M7" s="5" t="s">
        <v>1557</v>
      </c>
      <c r="N7" s="5" t="s">
        <v>1558</v>
      </c>
      <c r="O7" s="13">
        <v>43641</v>
      </c>
      <c r="P7" t="s">
        <v>8728</v>
      </c>
    </row>
    <row r="8" spans="1:16" x14ac:dyDescent="0.15">
      <c r="A8" s="5" t="s">
        <v>1324</v>
      </c>
      <c r="B8" s="5" t="s">
        <v>1562</v>
      </c>
      <c r="C8" s="5" t="s">
        <v>1566</v>
      </c>
      <c r="D8" s="5" t="s">
        <v>1694</v>
      </c>
      <c r="E8" s="5" t="s">
        <v>41</v>
      </c>
      <c r="F8" s="12">
        <v>43670.625833333332</v>
      </c>
      <c r="G8" t="s">
        <v>8729</v>
      </c>
      <c r="H8" s="5" t="s">
        <v>1326</v>
      </c>
      <c r="I8" s="6">
        <v>6402</v>
      </c>
      <c r="J8" s="5" t="s">
        <v>15</v>
      </c>
      <c r="K8" s="6">
        <v>1.73</v>
      </c>
      <c r="L8" s="6">
        <v>11075.460000000001</v>
      </c>
      <c r="M8" s="5" t="s">
        <v>1557</v>
      </c>
      <c r="N8" s="5" t="s">
        <v>1558</v>
      </c>
      <c r="O8" s="13">
        <v>43686</v>
      </c>
      <c r="P8" t="s">
        <v>8730</v>
      </c>
    </row>
    <row r="9" spans="1:16" x14ac:dyDescent="0.15">
      <c r="A9" s="5" t="s">
        <v>1327</v>
      </c>
      <c r="B9" s="5" t="s">
        <v>1562</v>
      </c>
      <c r="C9" s="5" t="s">
        <v>1566</v>
      </c>
      <c r="D9" s="5" t="s">
        <v>1694</v>
      </c>
      <c r="E9" s="5" t="s">
        <v>41</v>
      </c>
      <c r="F9" s="12">
        <v>43670.626238425924</v>
      </c>
      <c r="G9" t="s">
        <v>8729</v>
      </c>
      <c r="H9" s="5" t="s">
        <v>1329</v>
      </c>
      <c r="I9" s="6">
        <v>6402</v>
      </c>
      <c r="J9" s="5" t="s">
        <v>15</v>
      </c>
      <c r="K9" s="6">
        <v>1.73</v>
      </c>
      <c r="L9" s="6">
        <v>11075.460000000001</v>
      </c>
      <c r="M9" s="5" t="s">
        <v>1557</v>
      </c>
      <c r="N9" s="5" t="s">
        <v>1558</v>
      </c>
      <c r="O9" s="13">
        <v>43697</v>
      </c>
      <c r="P9" t="s">
        <v>8730</v>
      </c>
    </row>
    <row r="10" spans="1:16" x14ac:dyDescent="0.15">
      <c r="A10" s="5" t="s">
        <v>1336</v>
      </c>
      <c r="B10" s="5" t="s">
        <v>1562</v>
      </c>
      <c r="C10" s="5" t="s">
        <v>1566</v>
      </c>
      <c r="D10" s="5" t="s">
        <v>1695</v>
      </c>
      <c r="E10" s="5" t="s">
        <v>41</v>
      </c>
      <c r="F10" s="12">
        <v>43514.886006944442</v>
      </c>
      <c r="G10" t="s">
        <v>8724</v>
      </c>
      <c r="H10" s="5" t="s">
        <v>1339</v>
      </c>
      <c r="I10" s="6">
        <v>1940</v>
      </c>
      <c r="J10" s="5" t="s">
        <v>15</v>
      </c>
      <c r="K10" s="6">
        <v>1.65</v>
      </c>
      <c r="L10" s="6">
        <v>3201</v>
      </c>
      <c r="M10" s="5" t="s">
        <v>1557</v>
      </c>
      <c r="N10" s="5" t="s">
        <v>1558</v>
      </c>
      <c r="O10" s="13">
        <v>43514</v>
      </c>
      <c r="P10" t="s">
        <v>8724</v>
      </c>
    </row>
    <row r="11" spans="1:16" x14ac:dyDescent="0.15">
      <c r="A11" s="5" t="s">
        <v>1351</v>
      </c>
      <c r="B11" s="5" t="s">
        <v>1562</v>
      </c>
      <c r="C11" s="5" t="s">
        <v>1566</v>
      </c>
      <c r="D11" s="5" t="s">
        <v>1695</v>
      </c>
      <c r="E11" s="5" t="s">
        <v>41</v>
      </c>
      <c r="F11" s="12">
        <v>43605.590115740742</v>
      </c>
      <c r="G11" t="s">
        <v>8727</v>
      </c>
      <c r="H11" s="5" t="s">
        <v>1353</v>
      </c>
      <c r="I11" s="6">
        <v>3880</v>
      </c>
      <c r="J11" s="5" t="s">
        <v>15</v>
      </c>
      <c r="K11" s="6">
        <v>1.73</v>
      </c>
      <c r="L11" s="6">
        <v>6712.4</v>
      </c>
      <c r="M11" s="5" t="s">
        <v>1557</v>
      </c>
      <c r="N11" s="5" t="s">
        <v>1558</v>
      </c>
      <c r="O11" s="13">
        <v>43612</v>
      </c>
      <c r="P11" t="s">
        <v>8727</v>
      </c>
    </row>
    <row r="12" spans="1:16" x14ac:dyDescent="0.15">
      <c r="A12" s="5" t="s">
        <v>1386</v>
      </c>
      <c r="B12" s="5" t="s">
        <v>1562</v>
      </c>
      <c r="C12" s="5" t="s">
        <v>1566</v>
      </c>
      <c r="D12" s="5" t="s">
        <v>1695</v>
      </c>
      <c r="E12" s="5" t="s">
        <v>41</v>
      </c>
      <c r="F12" s="12">
        <v>43725.863900462966</v>
      </c>
      <c r="G12" t="s">
        <v>8731</v>
      </c>
      <c r="H12" s="5" t="s">
        <v>1388</v>
      </c>
      <c r="I12" s="6">
        <v>3880</v>
      </c>
      <c r="J12" s="5" t="s">
        <v>15</v>
      </c>
      <c r="K12" s="6">
        <v>1.7</v>
      </c>
      <c r="L12" s="6">
        <v>6596</v>
      </c>
      <c r="M12" s="5" t="s">
        <v>1557</v>
      </c>
      <c r="N12" s="5" t="s">
        <v>1558</v>
      </c>
      <c r="O12" s="13">
        <v>43739</v>
      </c>
      <c r="P12" t="s">
        <v>8732</v>
      </c>
    </row>
    <row r="13" spans="1:16" x14ac:dyDescent="0.15">
      <c r="A13" s="5" t="s">
        <v>1390</v>
      </c>
      <c r="B13" s="5" t="s">
        <v>1562</v>
      </c>
      <c r="C13" s="5" t="s">
        <v>1566</v>
      </c>
      <c r="D13" s="5" t="s">
        <v>1695</v>
      </c>
      <c r="E13" s="5" t="s">
        <v>41</v>
      </c>
      <c r="F13" s="12">
        <v>43748.892222222225</v>
      </c>
      <c r="G13" t="s">
        <v>8732</v>
      </c>
      <c r="H13" s="5" t="s">
        <v>1392</v>
      </c>
      <c r="I13" s="6">
        <v>7760</v>
      </c>
      <c r="J13" s="5" t="s">
        <v>15</v>
      </c>
      <c r="K13" s="6">
        <v>1.7</v>
      </c>
      <c r="L13" s="6">
        <v>13192</v>
      </c>
      <c r="M13" s="5" t="s">
        <v>1557</v>
      </c>
      <c r="N13" s="5" t="s">
        <v>1558</v>
      </c>
      <c r="O13" s="13">
        <v>43752</v>
      </c>
      <c r="P13" t="s">
        <v>8738</v>
      </c>
    </row>
    <row r="14" spans="1:16" x14ac:dyDescent="0.15">
      <c r="A14" s="5" t="s">
        <v>1394</v>
      </c>
      <c r="B14" s="5" t="s">
        <v>1562</v>
      </c>
      <c r="C14" s="5" t="s">
        <v>1566</v>
      </c>
      <c r="D14" s="5" t="s">
        <v>1696</v>
      </c>
      <c r="E14" s="5" t="s">
        <v>41</v>
      </c>
      <c r="F14" s="12">
        <v>43551.983124999999</v>
      </c>
      <c r="G14" t="s">
        <v>8725</v>
      </c>
      <c r="H14" s="5" t="s">
        <v>1397</v>
      </c>
      <c r="I14" s="6">
        <v>1940</v>
      </c>
      <c r="J14" s="5" t="s">
        <v>15</v>
      </c>
      <c r="K14" s="6">
        <v>1.73</v>
      </c>
      <c r="L14" s="6">
        <v>3356.2</v>
      </c>
      <c r="M14" s="5" t="s">
        <v>1557</v>
      </c>
      <c r="N14" s="5" t="s">
        <v>1558</v>
      </c>
      <c r="O14" s="13">
        <v>43556</v>
      </c>
      <c r="P14" t="s">
        <v>8726</v>
      </c>
    </row>
    <row r="15" spans="1:16" x14ac:dyDescent="0.15">
      <c r="A15" s="5" t="s">
        <v>1398</v>
      </c>
      <c r="B15" s="5" t="s">
        <v>1562</v>
      </c>
      <c r="C15" s="5" t="s">
        <v>1566</v>
      </c>
      <c r="D15" s="5" t="s">
        <v>1696</v>
      </c>
      <c r="E15" s="5" t="s">
        <v>41</v>
      </c>
      <c r="F15" s="12">
        <v>43668.553067129629</v>
      </c>
      <c r="G15" t="s">
        <v>8729</v>
      </c>
      <c r="H15" s="5" t="s">
        <v>1401</v>
      </c>
      <c r="I15" s="6">
        <v>1940</v>
      </c>
      <c r="J15" s="5" t="s">
        <v>15</v>
      </c>
      <c r="K15" s="6">
        <v>1.73</v>
      </c>
      <c r="L15" s="6">
        <v>3356.2</v>
      </c>
      <c r="M15" s="5" t="s">
        <v>1557</v>
      </c>
      <c r="N15" s="5" t="s">
        <v>1558</v>
      </c>
      <c r="O15" s="13">
        <v>43724</v>
      </c>
      <c r="P15" t="s">
        <v>8731</v>
      </c>
    </row>
    <row r="16" spans="1:16" x14ac:dyDescent="0.15">
      <c r="A16" s="5" t="s">
        <v>1409</v>
      </c>
      <c r="B16" s="5" t="s">
        <v>1562</v>
      </c>
      <c r="C16" s="5" t="s">
        <v>1566</v>
      </c>
      <c r="D16" s="5" t="s">
        <v>1697</v>
      </c>
      <c r="E16" s="5" t="s">
        <v>41</v>
      </c>
      <c r="F16" s="12">
        <v>43595.647800925923</v>
      </c>
      <c r="G16" t="s">
        <v>8727</v>
      </c>
      <c r="H16" s="5" t="s">
        <v>1410</v>
      </c>
      <c r="I16" s="6">
        <v>7760</v>
      </c>
      <c r="J16" s="5" t="s">
        <v>15</v>
      </c>
      <c r="K16" s="6">
        <v>1.73</v>
      </c>
      <c r="L16" s="6">
        <v>13424.8</v>
      </c>
      <c r="M16" s="5" t="s">
        <v>1557</v>
      </c>
      <c r="N16" s="5" t="s">
        <v>1558</v>
      </c>
      <c r="O16" s="13">
        <v>43598</v>
      </c>
      <c r="P16" t="s">
        <v>8727</v>
      </c>
    </row>
    <row r="17" spans="1:16" x14ac:dyDescent="0.15">
      <c r="A17" s="5" t="s">
        <v>1463</v>
      </c>
      <c r="B17" s="5" t="s">
        <v>1562</v>
      </c>
      <c r="C17" s="5" t="s">
        <v>1566</v>
      </c>
      <c r="D17" s="5" t="s">
        <v>1697</v>
      </c>
      <c r="E17" s="5" t="s">
        <v>41</v>
      </c>
      <c r="F17" s="12">
        <v>43741.812511574077</v>
      </c>
      <c r="G17" t="s">
        <v>8732</v>
      </c>
      <c r="H17" s="5" t="s">
        <v>1464</v>
      </c>
      <c r="I17" s="6">
        <v>1940</v>
      </c>
      <c r="J17" s="5" t="s">
        <v>15</v>
      </c>
      <c r="K17" s="6">
        <v>1.7</v>
      </c>
      <c r="L17" s="6">
        <v>3298</v>
      </c>
      <c r="M17" s="5" t="s">
        <v>1557</v>
      </c>
      <c r="N17" s="5" t="s">
        <v>1558</v>
      </c>
      <c r="O17" s="13">
        <v>43749</v>
      </c>
      <c r="P17" t="s">
        <v>8732</v>
      </c>
    </row>
    <row r="18" spans="1:16" x14ac:dyDescent="0.15">
      <c r="A18" s="5" t="s">
        <v>1480</v>
      </c>
      <c r="B18" s="5" t="s">
        <v>1562</v>
      </c>
      <c r="C18" s="5" t="s">
        <v>1567</v>
      </c>
      <c r="D18" s="5" t="s">
        <v>1698</v>
      </c>
      <c r="E18" s="5" t="s">
        <v>41</v>
      </c>
      <c r="F18" s="12">
        <v>43472.955023148148</v>
      </c>
      <c r="G18" t="s">
        <v>8733</v>
      </c>
      <c r="H18" s="5" t="s">
        <v>1481</v>
      </c>
      <c r="I18" s="6">
        <v>4268</v>
      </c>
      <c r="J18" s="5" t="s">
        <v>15</v>
      </c>
      <c r="K18" s="6">
        <v>1.65</v>
      </c>
      <c r="L18" s="6">
        <v>7042.2</v>
      </c>
      <c r="M18" s="5" t="s">
        <v>1557</v>
      </c>
      <c r="N18" s="5" t="s">
        <v>1558</v>
      </c>
      <c r="O18" s="13">
        <v>43489</v>
      </c>
      <c r="P18" t="s">
        <v>8733</v>
      </c>
    </row>
    <row r="19" spans="1:16" x14ac:dyDescent="0.15">
      <c r="A19" s="5" t="s">
        <v>1492</v>
      </c>
      <c r="B19" s="5" t="s">
        <v>1562</v>
      </c>
      <c r="C19" s="5" t="s">
        <v>1567</v>
      </c>
      <c r="D19" s="5" t="s">
        <v>1698</v>
      </c>
      <c r="E19" s="5" t="s">
        <v>41</v>
      </c>
      <c r="F19" s="12">
        <v>43588.923703703702</v>
      </c>
      <c r="G19" t="s">
        <v>8727</v>
      </c>
      <c r="H19" s="5" t="s">
        <v>1494</v>
      </c>
      <c r="I19" s="6">
        <v>5917</v>
      </c>
      <c r="J19" s="5" t="s">
        <v>15</v>
      </c>
      <c r="K19" s="6">
        <v>1.73</v>
      </c>
      <c r="L19" s="6">
        <v>10236.41</v>
      </c>
      <c r="M19" s="5" t="s">
        <v>1557</v>
      </c>
      <c r="N19" s="5" t="s">
        <v>1558</v>
      </c>
      <c r="O19" s="13">
        <v>43602</v>
      </c>
      <c r="P19" t="s">
        <v>8727</v>
      </c>
    </row>
    <row r="20" spans="1:16" x14ac:dyDescent="0.15">
      <c r="A20" s="5" t="s">
        <v>1498</v>
      </c>
      <c r="B20" s="5" t="s">
        <v>1562</v>
      </c>
      <c r="C20" s="5" t="s">
        <v>1567</v>
      </c>
      <c r="D20" s="5" t="s">
        <v>1698</v>
      </c>
      <c r="E20" s="5" t="s">
        <v>41</v>
      </c>
      <c r="F20" s="12">
        <v>43635.680787037039</v>
      </c>
      <c r="G20" t="s">
        <v>8728</v>
      </c>
      <c r="H20" s="5" t="s">
        <v>1500</v>
      </c>
      <c r="I20" s="6">
        <v>4268</v>
      </c>
      <c r="J20" s="5" t="s">
        <v>15</v>
      </c>
      <c r="K20" s="6">
        <v>1.73</v>
      </c>
      <c r="L20" s="6">
        <v>7383.64</v>
      </c>
      <c r="M20" s="5" t="s">
        <v>1557</v>
      </c>
      <c r="N20" s="5" t="s">
        <v>1558</v>
      </c>
      <c r="O20" s="13">
        <v>43654</v>
      </c>
      <c r="P20" t="s">
        <v>8729</v>
      </c>
    </row>
    <row r="21" spans="1:16" x14ac:dyDescent="0.15">
      <c r="A21" s="5" t="s">
        <v>1507</v>
      </c>
      <c r="B21" s="5" t="s">
        <v>1562</v>
      </c>
      <c r="C21" s="5" t="s">
        <v>1567</v>
      </c>
      <c r="D21" s="5" t="s">
        <v>1698</v>
      </c>
      <c r="E21" s="5" t="s">
        <v>41</v>
      </c>
      <c r="F21" s="12">
        <v>43686.856932870367</v>
      </c>
      <c r="G21" t="s">
        <v>8730</v>
      </c>
      <c r="H21" s="5" t="s">
        <v>1508</v>
      </c>
      <c r="I21" s="6">
        <v>533.5</v>
      </c>
      <c r="J21" s="5" t="s">
        <v>15</v>
      </c>
      <c r="K21" s="6">
        <v>1.73</v>
      </c>
      <c r="L21" s="6">
        <v>922.96</v>
      </c>
      <c r="M21" s="5" t="s">
        <v>1557</v>
      </c>
      <c r="N21" s="5" t="s">
        <v>1558</v>
      </c>
      <c r="O21" s="13">
        <v>43717</v>
      </c>
      <c r="P21" t="s">
        <v>8731</v>
      </c>
    </row>
    <row r="22" spans="1:16" x14ac:dyDescent="0.15">
      <c r="A22" s="5" t="s">
        <v>1512</v>
      </c>
      <c r="B22" s="5" t="s">
        <v>1562</v>
      </c>
      <c r="C22" s="5" t="s">
        <v>1567</v>
      </c>
      <c r="D22" s="5" t="s">
        <v>1698</v>
      </c>
      <c r="E22" s="5" t="s">
        <v>41</v>
      </c>
      <c r="F22" s="12">
        <v>43698.834386574075</v>
      </c>
      <c r="G22" t="s">
        <v>8730</v>
      </c>
      <c r="H22" s="5" t="s">
        <v>1513</v>
      </c>
      <c r="I22" s="6">
        <v>4268</v>
      </c>
      <c r="J22" s="5" t="s">
        <v>15</v>
      </c>
      <c r="K22" s="6">
        <v>1.73</v>
      </c>
      <c r="L22" s="6">
        <v>7383.64</v>
      </c>
      <c r="M22" s="5" t="s">
        <v>1557</v>
      </c>
      <c r="N22" s="5" t="s">
        <v>1558</v>
      </c>
      <c r="O22" s="13">
        <v>43717</v>
      </c>
      <c r="P22" t="s">
        <v>8731</v>
      </c>
    </row>
    <row r="23" spans="1:16" x14ac:dyDescent="0.15">
      <c r="A23" s="5" t="s">
        <v>294</v>
      </c>
      <c r="B23" s="5" t="s">
        <v>1563</v>
      </c>
      <c r="C23" s="5" t="s">
        <v>1568</v>
      </c>
      <c r="D23" s="5" t="s">
        <v>1693</v>
      </c>
      <c r="E23" s="5" t="s">
        <v>41</v>
      </c>
      <c r="F23" s="12">
        <v>43528.822604166664</v>
      </c>
      <c r="G23" t="s">
        <v>8725</v>
      </c>
      <c r="H23" s="5" t="s">
        <v>295</v>
      </c>
      <c r="I23" s="6">
        <v>48.5</v>
      </c>
      <c r="J23" s="5" t="s">
        <v>15</v>
      </c>
      <c r="K23" s="6">
        <v>17</v>
      </c>
      <c r="L23" s="6">
        <v>824.5</v>
      </c>
      <c r="M23" s="5" t="s">
        <v>1560</v>
      </c>
      <c r="N23" s="5" t="s">
        <v>1558</v>
      </c>
      <c r="O23" s="13">
        <v>43529</v>
      </c>
      <c r="P23" t="s">
        <v>8725</v>
      </c>
    </row>
    <row r="24" spans="1:16" x14ac:dyDescent="0.15">
      <c r="A24" s="5" t="s">
        <v>345</v>
      </c>
      <c r="B24" s="5" t="s">
        <v>1563</v>
      </c>
      <c r="C24" s="5" t="s">
        <v>1569</v>
      </c>
      <c r="D24" s="5" t="s">
        <v>1693</v>
      </c>
      <c r="E24" s="5" t="s">
        <v>41</v>
      </c>
      <c r="F24" s="12">
        <v>43564.612650462965</v>
      </c>
      <c r="G24" t="s">
        <v>8726</v>
      </c>
      <c r="H24" s="5" t="s">
        <v>346</v>
      </c>
      <c r="I24" s="6">
        <v>776</v>
      </c>
      <c r="J24" s="5" t="s">
        <v>15</v>
      </c>
      <c r="K24" s="6">
        <v>18</v>
      </c>
      <c r="L24" s="6">
        <v>13968</v>
      </c>
      <c r="M24" s="5" t="s">
        <v>1560</v>
      </c>
      <c r="N24" s="5" t="s">
        <v>1558</v>
      </c>
      <c r="O24" s="13">
        <v>43563</v>
      </c>
      <c r="P24" t="s">
        <v>8726</v>
      </c>
    </row>
    <row r="25" spans="1:16" x14ac:dyDescent="0.15">
      <c r="A25" s="5" t="s">
        <v>378</v>
      </c>
      <c r="B25" s="5" t="s">
        <v>1563</v>
      </c>
      <c r="C25" s="5" t="s">
        <v>1570</v>
      </c>
      <c r="D25" s="5" t="s">
        <v>1693</v>
      </c>
      <c r="E25" s="5" t="s">
        <v>41</v>
      </c>
      <c r="F25" s="12">
        <v>43571.871307870373</v>
      </c>
      <c r="G25" t="s">
        <v>8726</v>
      </c>
      <c r="H25" s="5" t="s">
        <v>379</v>
      </c>
      <c r="I25" s="6">
        <v>1164</v>
      </c>
      <c r="J25" s="5" t="s">
        <v>15</v>
      </c>
      <c r="K25" s="6">
        <v>18</v>
      </c>
      <c r="L25" s="6">
        <v>20952</v>
      </c>
      <c r="M25" s="5" t="s">
        <v>1560</v>
      </c>
      <c r="N25" s="5" t="s">
        <v>1558</v>
      </c>
      <c r="O25" s="13">
        <v>43570</v>
      </c>
      <c r="P25" t="s">
        <v>8726</v>
      </c>
    </row>
    <row r="26" spans="1:16" x14ac:dyDescent="0.15">
      <c r="A26" s="5" t="s">
        <v>394</v>
      </c>
      <c r="B26" s="5" t="s">
        <v>1563</v>
      </c>
      <c r="C26" s="5" t="s">
        <v>1571</v>
      </c>
      <c r="D26" s="5" t="s">
        <v>1693</v>
      </c>
      <c r="E26" s="5" t="s">
        <v>41</v>
      </c>
      <c r="F26" s="12">
        <v>43592.651180555556</v>
      </c>
      <c r="G26" t="s">
        <v>8727</v>
      </c>
      <c r="H26" s="5" t="s">
        <v>395</v>
      </c>
      <c r="I26" s="6">
        <v>2425</v>
      </c>
      <c r="J26" s="5" t="s">
        <v>15</v>
      </c>
      <c r="K26" s="6">
        <v>14</v>
      </c>
      <c r="L26" s="6">
        <v>33950</v>
      </c>
      <c r="M26" s="5" t="s">
        <v>1560</v>
      </c>
      <c r="N26" s="5" t="s">
        <v>1558</v>
      </c>
      <c r="O26" s="13">
        <v>43591</v>
      </c>
      <c r="P26" t="s">
        <v>8727</v>
      </c>
    </row>
    <row r="27" spans="1:16" x14ac:dyDescent="0.15">
      <c r="A27" s="5" t="s">
        <v>434</v>
      </c>
      <c r="B27" s="5" t="s">
        <v>1562</v>
      </c>
      <c r="C27" s="5" t="s">
        <v>1566</v>
      </c>
      <c r="D27" s="5" t="s">
        <v>1698</v>
      </c>
      <c r="E27" s="5" t="s">
        <v>41</v>
      </c>
      <c r="F27" s="12">
        <v>43598.845543981479</v>
      </c>
      <c r="G27" t="s">
        <v>8727</v>
      </c>
      <c r="H27" s="5" t="s">
        <v>1527</v>
      </c>
      <c r="I27" s="6">
        <v>-3880</v>
      </c>
      <c r="J27" s="5" t="s">
        <v>15</v>
      </c>
      <c r="K27" s="6">
        <v>1.73</v>
      </c>
      <c r="L27" s="6">
        <v>-6712.4</v>
      </c>
      <c r="M27" s="5" t="s">
        <v>1557</v>
      </c>
      <c r="N27" s="5" t="s">
        <v>1558</v>
      </c>
      <c r="O27" s="13">
        <v>43598</v>
      </c>
      <c r="P27" t="s">
        <v>8727</v>
      </c>
    </row>
    <row r="28" spans="1:16" x14ac:dyDescent="0.15">
      <c r="A28" s="5" t="s">
        <v>458</v>
      </c>
      <c r="B28" s="5" t="s">
        <v>1563</v>
      </c>
      <c r="C28" s="5" t="s">
        <v>1572</v>
      </c>
      <c r="D28" s="5" t="s">
        <v>1693</v>
      </c>
      <c r="E28" s="5" t="s">
        <v>41</v>
      </c>
      <c r="F28" s="12">
        <v>43613.624155092592</v>
      </c>
      <c r="G28" t="s">
        <v>8727</v>
      </c>
      <c r="H28" s="5" t="s">
        <v>459</v>
      </c>
      <c r="I28" s="6">
        <v>2182.5</v>
      </c>
      <c r="J28" s="5" t="s">
        <v>15</v>
      </c>
      <c r="K28" s="6">
        <v>18</v>
      </c>
      <c r="L28" s="6">
        <v>39285</v>
      </c>
      <c r="M28" s="5" t="s">
        <v>1560</v>
      </c>
      <c r="N28" s="5" t="s">
        <v>1558</v>
      </c>
      <c r="O28" s="13">
        <v>43606</v>
      </c>
      <c r="P28" t="s">
        <v>8727</v>
      </c>
    </row>
    <row r="29" spans="1:16" x14ac:dyDescent="0.15">
      <c r="A29" s="5" t="s">
        <v>524</v>
      </c>
      <c r="B29" s="5" t="s">
        <v>1562</v>
      </c>
      <c r="C29" s="5" t="s">
        <v>1566</v>
      </c>
      <c r="D29" s="5" t="s">
        <v>1698</v>
      </c>
      <c r="E29" s="5" t="s">
        <v>41</v>
      </c>
      <c r="F29" s="12">
        <v>43640.845706018517</v>
      </c>
      <c r="G29" t="s">
        <v>8728</v>
      </c>
      <c r="H29" s="5" t="s">
        <v>1533</v>
      </c>
      <c r="I29" s="6">
        <v>-2134</v>
      </c>
      <c r="J29" s="5" t="s">
        <v>15</v>
      </c>
      <c r="K29" s="6">
        <v>1.73</v>
      </c>
      <c r="L29" s="6">
        <v>-3691.82</v>
      </c>
      <c r="M29" s="5" t="s">
        <v>1557</v>
      </c>
      <c r="N29" s="5" t="s">
        <v>1558</v>
      </c>
      <c r="O29" s="13">
        <v>43640</v>
      </c>
      <c r="P29" t="s">
        <v>8728</v>
      </c>
    </row>
    <row r="30" spans="1:16" x14ac:dyDescent="0.15">
      <c r="A30" s="5" t="s">
        <v>557</v>
      </c>
      <c r="B30" s="5" t="s">
        <v>1563</v>
      </c>
      <c r="C30" s="5" t="s">
        <v>1573</v>
      </c>
      <c r="D30" s="5" t="s">
        <v>1693</v>
      </c>
      <c r="E30" s="5" t="s">
        <v>41</v>
      </c>
      <c r="F30" s="12">
        <v>43654.709687499999</v>
      </c>
      <c r="G30" t="s">
        <v>8729</v>
      </c>
      <c r="H30" s="5" t="s">
        <v>558</v>
      </c>
      <c r="I30" s="6">
        <v>3686</v>
      </c>
      <c r="J30" s="5" t="s">
        <v>15</v>
      </c>
      <c r="K30" s="6">
        <v>18</v>
      </c>
      <c r="L30" s="6">
        <v>66348</v>
      </c>
      <c r="M30" s="5" t="s">
        <v>1560</v>
      </c>
      <c r="N30" s="5" t="s">
        <v>1558</v>
      </c>
      <c r="O30" s="13">
        <v>43654</v>
      </c>
      <c r="P30" t="s">
        <v>8729</v>
      </c>
    </row>
    <row r="31" spans="1:16" x14ac:dyDescent="0.15">
      <c r="A31" s="5" t="s">
        <v>595</v>
      </c>
      <c r="B31" s="5" t="s">
        <v>1563</v>
      </c>
      <c r="C31" s="5" t="s">
        <v>1572</v>
      </c>
      <c r="D31" s="5" t="s">
        <v>1693</v>
      </c>
      <c r="E31" s="5" t="s">
        <v>41</v>
      </c>
      <c r="F31" s="12">
        <v>43663.800625000003</v>
      </c>
      <c r="G31" t="s">
        <v>8729</v>
      </c>
      <c r="H31" s="5" t="s">
        <v>596</v>
      </c>
      <c r="I31" s="6">
        <v>1697.5</v>
      </c>
      <c r="J31" s="5" t="s">
        <v>15</v>
      </c>
      <c r="K31" s="6">
        <v>17.5</v>
      </c>
      <c r="L31" s="6">
        <v>29706.25</v>
      </c>
      <c r="M31" s="5" t="s">
        <v>1560</v>
      </c>
      <c r="N31" s="5" t="s">
        <v>1558</v>
      </c>
      <c r="O31" s="13">
        <v>43663</v>
      </c>
      <c r="P31" t="s">
        <v>8729</v>
      </c>
    </row>
    <row r="32" spans="1:16" x14ac:dyDescent="0.15">
      <c r="A32" s="5" t="s">
        <v>86</v>
      </c>
      <c r="B32" s="5" t="s">
        <v>1563</v>
      </c>
      <c r="C32" s="5" t="s">
        <v>1572</v>
      </c>
      <c r="D32" s="5" t="s">
        <v>1693</v>
      </c>
      <c r="E32" s="5" t="s">
        <v>41</v>
      </c>
      <c r="F32" s="12">
        <v>43668.847719907404</v>
      </c>
      <c r="G32" t="s">
        <v>8729</v>
      </c>
      <c r="H32" s="5" t="s">
        <v>626</v>
      </c>
      <c r="I32" s="6">
        <v>1649</v>
      </c>
      <c r="J32" s="5" t="s">
        <v>15</v>
      </c>
      <c r="K32" s="6">
        <v>17.5</v>
      </c>
      <c r="L32" s="6">
        <v>28857.5</v>
      </c>
      <c r="M32" s="5" t="s">
        <v>1560</v>
      </c>
      <c r="N32" s="5" t="s">
        <v>1558</v>
      </c>
      <c r="O32" s="13">
        <v>43670</v>
      </c>
      <c r="P32" t="s">
        <v>8729</v>
      </c>
    </row>
    <row r="33" spans="1:16" x14ac:dyDescent="0.15">
      <c r="A33" s="5" t="s">
        <v>716</v>
      </c>
      <c r="B33" s="5" t="s">
        <v>1563</v>
      </c>
      <c r="C33" s="5" t="s">
        <v>1574</v>
      </c>
      <c r="D33" s="5" t="s">
        <v>1693</v>
      </c>
      <c r="E33" s="5" t="s">
        <v>41</v>
      </c>
      <c r="F33" s="12">
        <v>43696.655416666668</v>
      </c>
      <c r="G33" t="s">
        <v>8730</v>
      </c>
      <c r="H33" s="5" t="s">
        <v>719</v>
      </c>
      <c r="I33" s="6">
        <v>679</v>
      </c>
      <c r="J33" s="5" t="s">
        <v>15</v>
      </c>
      <c r="K33" s="6">
        <v>18</v>
      </c>
      <c r="L33" s="6">
        <v>12222</v>
      </c>
      <c r="M33" s="5" t="s">
        <v>1560</v>
      </c>
      <c r="N33" s="5" t="s">
        <v>1558</v>
      </c>
      <c r="O33" s="13">
        <v>43691</v>
      </c>
      <c r="P33" t="s">
        <v>8730</v>
      </c>
    </row>
    <row r="34" spans="1:16" x14ac:dyDescent="0.15">
      <c r="A34" s="5" t="s">
        <v>748</v>
      </c>
      <c r="B34" s="5" t="s">
        <v>1563</v>
      </c>
      <c r="C34" s="5" t="s">
        <v>1575</v>
      </c>
      <c r="D34" s="5" t="s">
        <v>1693</v>
      </c>
      <c r="E34" s="5" t="s">
        <v>41</v>
      </c>
      <c r="F34" s="12">
        <v>43698.723530092589</v>
      </c>
      <c r="G34" t="s">
        <v>8730</v>
      </c>
      <c r="H34" s="5" t="s">
        <v>749</v>
      </c>
      <c r="I34" s="6">
        <v>339.5</v>
      </c>
      <c r="J34" s="5" t="s">
        <v>15</v>
      </c>
      <c r="K34" s="6">
        <v>18</v>
      </c>
      <c r="L34" s="6">
        <v>6111</v>
      </c>
      <c r="M34" s="5" t="s">
        <v>1560</v>
      </c>
      <c r="N34" s="5" t="s">
        <v>1558</v>
      </c>
      <c r="O34" s="13">
        <v>43698</v>
      </c>
      <c r="P34" t="s">
        <v>8730</v>
      </c>
    </row>
    <row r="35" spans="1:16" x14ac:dyDescent="0.15">
      <c r="A35" s="5" t="s">
        <v>129</v>
      </c>
      <c r="B35" s="5" t="s">
        <v>1563</v>
      </c>
      <c r="C35" s="5" t="s">
        <v>1576</v>
      </c>
      <c r="D35" s="5" t="s">
        <v>1693</v>
      </c>
      <c r="E35" s="5" t="s">
        <v>41</v>
      </c>
      <c r="F35" s="12">
        <v>43720.669641203705</v>
      </c>
      <c r="G35" t="s">
        <v>8731</v>
      </c>
      <c r="H35" s="5" t="s">
        <v>843</v>
      </c>
      <c r="I35" s="6">
        <v>48.5</v>
      </c>
      <c r="J35" s="5" t="s">
        <v>15</v>
      </c>
      <c r="K35" s="6">
        <v>18.73</v>
      </c>
      <c r="L35" s="6">
        <v>908.41000000000008</v>
      </c>
      <c r="M35" s="5" t="s">
        <v>1560</v>
      </c>
      <c r="N35" s="5" t="s">
        <v>1558</v>
      </c>
      <c r="O35" s="13">
        <v>43719</v>
      </c>
      <c r="P35" t="s">
        <v>8731</v>
      </c>
    </row>
    <row r="36" spans="1:16" x14ac:dyDescent="0.15">
      <c r="A36" s="5" t="s">
        <v>134</v>
      </c>
      <c r="B36" s="5" t="s">
        <v>1563</v>
      </c>
      <c r="C36" s="5" t="s">
        <v>1577</v>
      </c>
      <c r="D36" s="5" t="s">
        <v>1693</v>
      </c>
      <c r="E36" s="5" t="s">
        <v>41</v>
      </c>
      <c r="F36" s="12">
        <v>43721.812905092593</v>
      </c>
      <c r="G36" t="s">
        <v>8731</v>
      </c>
      <c r="H36" s="5" t="s">
        <v>850</v>
      </c>
      <c r="I36" s="6">
        <v>2570.5</v>
      </c>
      <c r="J36" s="5" t="s">
        <v>15</v>
      </c>
      <c r="K36" s="6">
        <v>17.5</v>
      </c>
      <c r="L36" s="6">
        <v>44983.75</v>
      </c>
      <c r="M36" s="5" t="s">
        <v>1560</v>
      </c>
      <c r="N36" s="5" t="s">
        <v>1558</v>
      </c>
      <c r="O36" s="13">
        <v>43721</v>
      </c>
      <c r="P36" t="s">
        <v>8731</v>
      </c>
    </row>
    <row r="37" spans="1:16" x14ac:dyDescent="0.15">
      <c r="A37" s="5" t="s">
        <v>143</v>
      </c>
      <c r="B37" s="5" t="s">
        <v>1563</v>
      </c>
      <c r="C37" s="5" t="s">
        <v>1574</v>
      </c>
      <c r="D37" s="5" t="s">
        <v>1693</v>
      </c>
      <c r="E37" s="5" t="s">
        <v>41</v>
      </c>
      <c r="F37" s="12">
        <v>43731.693703703706</v>
      </c>
      <c r="G37" t="s">
        <v>8731</v>
      </c>
      <c r="H37" s="5" t="s">
        <v>885</v>
      </c>
      <c r="I37" s="6">
        <v>5383.5</v>
      </c>
      <c r="J37" s="5" t="s">
        <v>15</v>
      </c>
      <c r="K37" s="6">
        <v>17.5</v>
      </c>
      <c r="L37" s="6">
        <v>94211.25</v>
      </c>
      <c r="M37" s="5" t="s">
        <v>1560</v>
      </c>
      <c r="N37" s="5" t="s">
        <v>1558</v>
      </c>
      <c r="O37" s="13">
        <v>43731</v>
      </c>
      <c r="P37" t="s">
        <v>8731</v>
      </c>
    </row>
    <row r="38" spans="1:16" x14ac:dyDescent="0.15">
      <c r="A38" s="5" t="s">
        <v>966</v>
      </c>
      <c r="B38" s="5" t="s">
        <v>1563</v>
      </c>
      <c r="C38" s="5" t="s">
        <v>1578</v>
      </c>
      <c r="D38" s="5" t="s">
        <v>1693</v>
      </c>
      <c r="E38" s="5" t="s">
        <v>41</v>
      </c>
      <c r="F38" s="12">
        <v>43753.572129629632</v>
      </c>
      <c r="G38" t="s">
        <v>8732</v>
      </c>
      <c r="H38" s="5" t="s">
        <v>967</v>
      </c>
      <c r="I38" s="6">
        <v>97</v>
      </c>
      <c r="J38" s="5" t="s">
        <v>15</v>
      </c>
      <c r="K38" s="6">
        <v>18</v>
      </c>
      <c r="L38" s="6">
        <v>1746</v>
      </c>
      <c r="M38" s="5" t="s">
        <v>1560</v>
      </c>
      <c r="N38" s="5" t="s">
        <v>1558</v>
      </c>
      <c r="O38" s="13">
        <v>43752</v>
      </c>
      <c r="P38" t="s">
        <v>8732</v>
      </c>
    </row>
    <row r="39" spans="1:16" x14ac:dyDescent="0.15">
      <c r="A39" s="5" t="s">
        <v>188</v>
      </c>
      <c r="B39" s="5" t="s">
        <v>1563</v>
      </c>
      <c r="C39" s="5" t="s">
        <v>1579</v>
      </c>
      <c r="D39" s="5" t="s">
        <v>1693</v>
      </c>
      <c r="E39" s="5" t="s">
        <v>41</v>
      </c>
      <c r="F39" s="12">
        <v>43759.849756944444</v>
      </c>
      <c r="G39" t="s">
        <v>8732</v>
      </c>
      <c r="H39" s="5" t="s">
        <v>999</v>
      </c>
      <c r="I39" s="6">
        <v>2473.5</v>
      </c>
      <c r="J39" s="5" t="s">
        <v>15</v>
      </c>
      <c r="K39" s="6">
        <v>18</v>
      </c>
      <c r="L39" s="6">
        <v>44523</v>
      </c>
      <c r="M39" s="5" t="s">
        <v>1560</v>
      </c>
      <c r="N39" s="5" t="s">
        <v>1558</v>
      </c>
      <c r="O39" s="13">
        <v>43759</v>
      </c>
      <c r="P39" t="s">
        <v>8732</v>
      </c>
    </row>
    <row r="40" spans="1:16" x14ac:dyDescent="0.15">
      <c r="A40" s="5" t="s">
        <v>192</v>
      </c>
      <c r="B40" s="5" t="s">
        <v>1563</v>
      </c>
      <c r="C40" s="5" t="s">
        <v>1580</v>
      </c>
      <c r="D40" s="5" t="s">
        <v>1693</v>
      </c>
      <c r="E40" s="5" t="s">
        <v>41</v>
      </c>
      <c r="F40" s="12">
        <v>43762.705358796295</v>
      </c>
      <c r="G40" t="s">
        <v>8732</v>
      </c>
      <c r="H40" s="5" t="s">
        <v>1012</v>
      </c>
      <c r="I40" s="6">
        <v>3783</v>
      </c>
      <c r="J40" s="5" t="s">
        <v>15</v>
      </c>
      <c r="K40" s="6">
        <v>17</v>
      </c>
      <c r="L40" s="6">
        <v>64311</v>
      </c>
      <c r="M40" s="5" t="s">
        <v>1560</v>
      </c>
      <c r="N40" s="5" t="s">
        <v>1558</v>
      </c>
      <c r="O40" s="13">
        <v>43762</v>
      </c>
      <c r="P40" t="s">
        <v>8732</v>
      </c>
    </row>
    <row r="41" spans="1:16" x14ac:dyDescent="0.15">
      <c r="A41" s="5" t="s">
        <v>202</v>
      </c>
      <c r="B41" s="5" t="s">
        <v>1563</v>
      </c>
      <c r="C41" s="5" t="s">
        <v>1581</v>
      </c>
      <c r="D41" s="5" t="s">
        <v>1693</v>
      </c>
      <c r="E41" s="5" t="s">
        <v>41</v>
      </c>
      <c r="F41" s="12">
        <v>43773.795543981483</v>
      </c>
      <c r="G41" t="s">
        <v>8734</v>
      </c>
      <c r="H41" s="5" t="s">
        <v>1040</v>
      </c>
      <c r="I41" s="6">
        <v>3298</v>
      </c>
      <c r="J41" s="5" t="s">
        <v>15</v>
      </c>
      <c r="K41" s="6">
        <v>14.5</v>
      </c>
      <c r="L41" s="6">
        <v>47821</v>
      </c>
      <c r="M41" s="5" t="s">
        <v>1560</v>
      </c>
      <c r="N41" s="5" t="s">
        <v>1558</v>
      </c>
      <c r="O41" s="13">
        <v>43773</v>
      </c>
      <c r="P41" t="s">
        <v>8734</v>
      </c>
    </row>
    <row r="42" spans="1:16" x14ac:dyDescent="0.15">
      <c r="A42" s="5" t="s">
        <v>1044</v>
      </c>
      <c r="B42" s="5" t="s">
        <v>1563</v>
      </c>
      <c r="C42" s="5" t="s">
        <v>1582</v>
      </c>
      <c r="D42" s="5" t="s">
        <v>1693</v>
      </c>
      <c r="E42" s="5" t="s">
        <v>41</v>
      </c>
      <c r="F42" s="12">
        <v>43773.80133101852</v>
      </c>
      <c r="G42" t="s">
        <v>8734</v>
      </c>
      <c r="H42" s="5" t="s">
        <v>1045</v>
      </c>
      <c r="I42" s="6">
        <v>194</v>
      </c>
      <c r="J42" s="5" t="s">
        <v>15</v>
      </c>
      <c r="K42" s="6">
        <v>18</v>
      </c>
      <c r="L42" s="6">
        <v>3492</v>
      </c>
      <c r="M42" s="5" t="s">
        <v>1560</v>
      </c>
      <c r="N42" s="5" t="s">
        <v>1558</v>
      </c>
      <c r="O42" s="13">
        <v>43773</v>
      </c>
      <c r="P42" t="s">
        <v>8734</v>
      </c>
    </row>
    <row r="43" spans="1:16" x14ac:dyDescent="0.15">
      <c r="A43" s="5" t="s">
        <v>215</v>
      </c>
      <c r="B43" s="5" t="s">
        <v>1563</v>
      </c>
      <c r="C43" s="5" t="s">
        <v>1580</v>
      </c>
      <c r="D43" s="5" t="s">
        <v>1693</v>
      </c>
      <c r="E43" s="5" t="s">
        <v>41</v>
      </c>
      <c r="F43" s="12">
        <v>43781.686412037037</v>
      </c>
      <c r="G43" t="s">
        <v>8734</v>
      </c>
      <c r="H43" s="5" t="s">
        <v>1071</v>
      </c>
      <c r="I43" s="6">
        <v>3492</v>
      </c>
      <c r="J43" s="5" t="s">
        <v>15</v>
      </c>
      <c r="K43" s="6">
        <v>17</v>
      </c>
      <c r="L43" s="6">
        <v>59364</v>
      </c>
      <c r="M43" s="5" t="s">
        <v>1560</v>
      </c>
      <c r="N43" s="5" t="s">
        <v>1558</v>
      </c>
      <c r="O43" s="13">
        <v>43781</v>
      </c>
      <c r="P43" t="s">
        <v>8734</v>
      </c>
    </row>
    <row r="44" spans="1:16" x14ac:dyDescent="0.15">
      <c r="A44" s="5" t="s">
        <v>216</v>
      </c>
      <c r="B44" s="5" t="s">
        <v>1563</v>
      </c>
      <c r="C44" s="5" t="s">
        <v>1576</v>
      </c>
      <c r="D44" s="5" t="s">
        <v>1693</v>
      </c>
      <c r="E44" s="5" t="s">
        <v>41</v>
      </c>
      <c r="F44" s="12">
        <v>43781.690266203703</v>
      </c>
      <c r="G44" t="s">
        <v>8734</v>
      </c>
      <c r="H44" s="5" t="s">
        <v>1072</v>
      </c>
      <c r="I44" s="6">
        <v>339.5</v>
      </c>
      <c r="J44" s="5" t="s">
        <v>15</v>
      </c>
      <c r="K44" s="6">
        <v>16</v>
      </c>
      <c r="L44" s="6">
        <v>5432</v>
      </c>
      <c r="M44" s="5" t="s">
        <v>1560</v>
      </c>
      <c r="N44" s="5" t="s">
        <v>1558</v>
      </c>
      <c r="O44" s="13">
        <v>43781</v>
      </c>
      <c r="P44" t="s">
        <v>8734</v>
      </c>
    </row>
    <row r="45" spans="1:16" x14ac:dyDescent="0.15">
      <c r="A45" s="5" t="s">
        <v>231</v>
      </c>
      <c r="B45" s="5" t="s">
        <v>1563</v>
      </c>
      <c r="C45" s="5" t="s">
        <v>1583</v>
      </c>
      <c r="D45" s="5" t="s">
        <v>1693</v>
      </c>
      <c r="E45" s="5" t="s">
        <v>41</v>
      </c>
      <c r="F45" s="12">
        <v>43790.61246527778</v>
      </c>
      <c r="G45" t="s">
        <v>8734</v>
      </c>
      <c r="H45" s="5" t="s">
        <v>1094</v>
      </c>
      <c r="I45" s="6">
        <v>485</v>
      </c>
      <c r="J45" s="5" t="s">
        <v>15</v>
      </c>
      <c r="K45" s="6">
        <v>18.8</v>
      </c>
      <c r="L45" s="6">
        <v>9118</v>
      </c>
      <c r="M45" s="5" t="s">
        <v>1560</v>
      </c>
      <c r="N45" s="5" t="s">
        <v>1558</v>
      </c>
      <c r="O45" s="13">
        <v>43788</v>
      </c>
      <c r="P45" t="s">
        <v>8734</v>
      </c>
    </row>
    <row r="46" spans="1:16" x14ac:dyDescent="0.15">
      <c r="A46" s="5" t="s">
        <v>1147</v>
      </c>
      <c r="B46" s="5" t="s">
        <v>1563</v>
      </c>
      <c r="C46" s="5" t="s">
        <v>1571</v>
      </c>
      <c r="D46" s="5" t="s">
        <v>1693</v>
      </c>
      <c r="E46" s="5" t="s">
        <v>41</v>
      </c>
      <c r="F46" s="12">
        <v>43803.641979166663</v>
      </c>
      <c r="G46" t="s">
        <v>8735</v>
      </c>
      <c r="H46" s="5" t="s">
        <v>1148</v>
      </c>
      <c r="I46" s="6">
        <v>388</v>
      </c>
      <c r="J46" s="5" t="s">
        <v>15</v>
      </c>
      <c r="K46" s="6">
        <v>19</v>
      </c>
      <c r="L46" s="6">
        <v>7372</v>
      </c>
      <c r="M46" s="5" t="s">
        <v>1560</v>
      </c>
      <c r="N46" s="5" t="s">
        <v>1558</v>
      </c>
      <c r="O46" s="13">
        <v>43802</v>
      </c>
      <c r="P46" t="s">
        <v>8735</v>
      </c>
    </row>
    <row r="47" spans="1:16" x14ac:dyDescent="0.15">
      <c r="A47" s="5" t="s">
        <v>1175</v>
      </c>
      <c r="B47" s="5" t="s">
        <v>1562</v>
      </c>
      <c r="C47" s="5" t="s">
        <v>1584</v>
      </c>
      <c r="D47" s="5" t="s">
        <v>1699</v>
      </c>
      <c r="E47" s="5" t="s">
        <v>46</v>
      </c>
      <c r="F47" s="12">
        <v>43565.671481481484</v>
      </c>
      <c r="G47" t="s">
        <v>8726</v>
      </c>
      <c r="H47" s="5" t="s">
        <v>1176</v>
      </c>
      <c r="I47" s="6">
        <v>533.5</v>
      </c>
      <c r="J47" s="5" t="s">
        <v>15</v>
      </c>
      <c r="K47" s="6">
        <v>2.92</v>
      </c>
      <c r="L47" s="6">
        <v>1557.82</v>
      </c>
      <c r="M47" s="5" t="s">
        <v>1557</v>
      </c>
      <c r="N47" s="5" t="s">
        <v>1558</v>
      </c>
      <c r="O47" s="13">
        <v>43560</v>
      </c>
      <c r="P47" t="s">
        <v>8726</v>
      </c>
    </row>
    <row r="48" spans="1:16" x14ac:dyDescent="0.15">
      <c r="A48" s="5" t="s">
        <v>1185</v>
      </c>
      <c r="B48" s="5" t="s">
        <v>1562</v>
      </c>
      <c r="C48" s="5" t="s">
        <v>1584</v>
      </c>
      <c r="D48" s="5" t="s">
        <v>1699</v>
      </c>
      <c r="E48" s="5" t="s">
        <v>46</v>
      </c>
      <c r="F48" s="12">
        <v>43647.67359953704</v>
      </c>
      <c r="G48" t="s">
        <v>8729</v>
      </c>
      <c r="H48" s="5" t="s">
        <v>1186</v>
      </c>
      <c r="I48" s="6">
        <v>339.5</v>
      </c>
      <c r="J48" s="5" t="s">
        <v>15</v>
      </c>
      <c r="K48" s="6">
        <v>2.92</v>
      </c>
      <c r="L48" s="6">
        <v>991.33999999999992</v>
      </c>
      <c r="M48" s="5" t="s">
        <v>1557</v>
      </c>
      <c r="N48" s="5" t="s">
        <v>1558</v>
      </c>
      <c r="O48" s="13">
        <v>43647</v>
      </c>
      <c r="P48" t="s">
        <v>8729</v>
      </c>
    </row>
    <row r="49" spans="1:16" x14ac:dyDescent="0.15">
      <c r="A49" s="5" t="s">
        <v>1191</v>
      </c>
      <c r="B49" s="5" t="s">
        <v>1562</v>
      </c>
      <c r="C49" s="5" t="s">
        <v>1584</v>
      </c>
      <c r="D49" s="5" t="s">
        <v>1699</v>
      </c>
      <c r="E49" s="5" t="s">
        <v>46</v>
      </c>
      <c r="F49" s="12">
        <v>43767.693564814814</v>
      </c>
      <c r="G49" t="s">
        <v>8732</v>
      </c>
      <c r="H49" s="5" t="s">
        <v>1192</v>
      </c>
      <c r="I49" s="6">
        <v>145.5</v>
      </c>
      <c r="J49" s="5" t="s">
        <v>15</v>
      </c>
      <c r="K49" s="6">
        <v>2.92</v>
      </c>
      <c r="L49" s="6">
        <v>424.86</v>
      </c>
      <c r="M49" s="5" t="s">
        <v>1557</v>
      </c>
      <c r="N49" s="5" t="s">
        <v>1558</v>
      </c>
      <c r="O49" s="13">
        <v>43768</v>
      </c>
      <c r="P49" t="s">
        <v>8732</v>
      </c>
    </row>
    <row r="50" spans="1:16" x14ac:dyDescent="0.15">
      <c r="A50" s="5" t="s">
        <v>1198</v>
      </c>
      <c r="B50" s="5" t="s">
        <v>1562</v>
      </c>
      <c r="C50" s="5" t="s">
        <v>1566</v>
      </c>
      <c r="D50" s="5" t="s">
        <v>1692</v>
      </c>
      <c r="E50" s="5" t="s">
        <v>46</v>
      </c>
      <c r="F50" s="12">
        <v>43508.752928240741</v>
      </c>
      <c r="G50" t="s">
        <v>8724</v>
      </c>
      <c r="H50" s="5" t="s">
        <v>1200</v>
      </c>
      <c r="I50" s="6">
        <v>5820</v>
      </c>
      <c r="J50" s="5" t="s">
        <v>15</v>
      </c>
      <c r="K50" s="6">
        <v>3.1</v>
      </c>
      <c r="L50" s="6">
        <v>18042</v>
      </c>
      <c r="M50" s="5" t="s">
        <v>1557</v>
      </c>
      <c r="N50" s="5" t="s">
        <v>1558</v>
      </c>
      <c r="O50" s="13">
        <v>43511</v>
      </c>
      <c r="P50" t="s">
        <v>8724</v>
      </c>
    </row>
    <row r="51" spans="1:16" x14ac:dyDescent="0.15">
      <c r="A51" s="5" t="s">
        <v>1269</v>
      </c>
      <c r="B51" s="5" t="s">
        <v>1562</v>
      </c>
      <c r="C51" s="5" t="s">
        <v>1566</v>
      </c>
      <c r="D51" s="5" t="s">
        <v>1692</v>
      </c>
      <c r="E51" s="5" t="s">
        <v>46</v>
      </c>
      <c r="F51" s="12">
        <v>43664.73841435185</v>
      </c>
      <c r="G51" t="s">
        <v>8729</v>
      </c>
      <c r="H51" s="5" t="s">
        <v>1270</v>
      </c>
      <c r="I51" s="6">
        <v>3880</v>
      </c>
      <c r="J51" s="5" t="s">
        <v>15</v>
      </c>
      <c r="K51" s="6">
        <v>2.92</v>
      </c>
      <c r="L51" s="6">
        <v>11329.6</v>
      </c>
      <c r="M51" s="5" t="s">
        <v>1557</v>
      </c>
      <c r="N51" s="5" t="s">
        <v>1558</v>
      </c>
      <c r="O51" s="13">
        <v>43682</v>
      </c>
      <c r="P51" t="s">
        <v>8730</v>
      </c>
    </row>
    <row r="52" spans="1:16" x14ac:dyDescent="0.15">
      <c r="A52" s="5" t="s">
        <v>1351</v>
      </c>
      <c r="B52" s="5" t="s">
        <v>1562</v>
      </c>
      <c r="C52" s="5" t="s">
        <v>1566</v>
      </c>
      <c r="D52" s="5" t="s">
        <v>1695</v>
      </c>
      <c r="E52" s="5" t="s">
        <v>46</v>
      </c>
      <c r="F52" s="12">
        <v>43605.58934027778</v>
      </c>
      <c r="G52" t="s">
        <v>8727</v>
      </c>
      <c r="H52" s="5" t="s">
        <v>1352</v>
      </c>
      <c r="I52" s="6">
        <v>2037</v>
      </c>
      <c r="J52" s="5" t="s">
        <v>15</v>
      </c>
      <c r="K52" s="6">
        <v>2.92</v>
      </c>
      <c r="L52" s="6">
        <v>5948.04</v>
      </c>
      <c r="M52" s="5" t="s">
        <v>1557</v>
      </c>
      <c r="N52" s="5" t="s">
        <v>1558</v>
      </c>
      <c r="O52" s="13">
        <v>43612</v>
      </c>
      <c r="P52" t="s">
        <v>8727</v>
      </c>
    </row>
    <row r="53" spans="1:16" x14ac:dyDescent="0.15">
      <c r="A53" s="5" t="s">
        <v>1390</v>
      </c>
      <c r="B53" s="5" t="s">
        <v>1562</v>
      </c>
      <c r="C53" s="5" t="s">
        <v>1566</v>
      </c>
      <c r="D53" s="5" t="s">
        <v>1695</v>
      </c>
      <c r="E53" s="5" t="s">
        <v>46</v>
      </c>
      <c r="F53" s="12">
        <v>43748.892222222225</v>
      </c>
      <c r="G53" t="s">
        <v>8732</v>
      </c>
      <c r="H53" s="5" t="s">
        <v>1393</v>
      </c>
      <c r="I53" s="6">
        <v>1940</v>
      </c>
      <c r="J53" s="5" t="s">
        <v>15</v>
      </c>
      <c r="K53" s="6">
        <v>2.92</v>
      </c>
      <c r="L53" s="6">
        <v>5664.8</v>
      </c>
      <c r="M53" s="5" t="s">
        <v>1557</v>
      </c>
      <c r="N53" s="5" t="s">
        <v>1558</v>
      </c>
      <c r="O53" s="13">
        <v>43752</v>
      </c>
      <c r="P53" t="s">
        <v>8732</v>
      </c>
    </row>
    <row r="54" spans="1:16" x14ac:dyDescent="0.15">
      <c r="A54" s="5" t="s">
        <v>1412</v>
      </c>
      <c r="B54" s="5" t="s">
        <v>1562</v>
      </c>
      <c r="C54" s="5" t="s">
        <v>1566</v>
      </c>
      <c r="D54" s="5" t="s">
        <v>1701</v>
      </c>
      <c r="E54" s="5" t="s">
        <v>46</v>
      </c>
      <c r="F54" s="12">
        <v>43595.868576388886</v>
      </c>
      <c r="G54" t="s">
        <v>8727</v>
      </c>
      <c r="H54" s="5" t="s">
        <v>1415</v>
      </c>
      <c r="I54" s="6">
        <v>3880</v>
      </c>
      <c r="J54" s="5" t="s">
        <v>15</v>
      </c>
      <c r="K54" s="6">
        <v>2.92</v>
      </c>
      <c r="L54" s="6">
        <v>11329.6</v>
      </c>
      <c r="M54" s="5" t="s">
        <v>1557</v>
      </c>
      <c r="N54" s="5" t="s">
        <v>1558</v>
      </c>
      <c r="O54" s="13">
        <v>43600</v>
      </c>
      <c r="P54" t="s">
        <v>8727</v>
      </c>
    </row>
    <row r="55" spans="1:16" x14ac:dyDescent="0.15">
      <c r="A55" s="5" t="s">
        <v>1463</v>
      </c>
      <c r="B55" s="5" t="s">
        <v>1562</v>
      </c>
      <c r="C55" s="5" t="s">
        <v>1566</v>
      </c>
      <c r="D55" s="5" t="s">
        <v>1697</v>
      </c>
      <c r="E55" s="5" t="s">
        <v>46</v>
      </c>
      <c r="F55" s="12">
        <v>43741.812534722223</v>
      </c>
      <c r="G55" t="s">
        <v>8732</v>
      </c>
      <c r="H55" s="5" t="s">
        <v>1467</v>
      </c>
      <c r="I55" s="6">
        <v>1940</v>
      </c>
      <c r="J55" s="5" t="s">
        <v>15</v>
      </c>
      <c r="K55" s="6">
        <v>2.92</v>
      </c>
      <c r="L55" s="6">
        <v>5664.8</v>
      </c>
      <c r="M55" s="5" t="s">
        <v>1557</v>
      </c>
      <c r="N55" s="5" t="s">
        <v>1558</v>
      </c>
      <c r="O55" s="13">
        <v>43749</v>
      </c>
      <c r="P55" t="s">
        <v>8732</v>
      </c>
    </row>
    <row r="56" spans="1:16" x14ac:dyDescent="0.15">
      <c r="A56" s="5" t="s">
        <v>1516</v>
      </c>
      <c r="B56" s="5" t="s">
        <v>1562</v>
      </c>
      <c r="C56" s="5" t="s">
        <v>1567</v>
      </c>
      <c r="D56" s="5" t="s">
        <v>1702</v>
      </c>
      <c r="E56" s="5" t="s">
        <v>46</v>
      </c>
      <c r="F56" s="12">
        <v>43507.97111111111</v>
      </c>
      <c r="G56" t="s">
        <v>8724</v>
      </c>
      <c r="H56" s="5" t="s">
        <v>1517</v>
      </c>
      <c r="I56" s="6">
        <v>533.5</v>
      </c>
      <c r="J56" s="5" t="s">
        <v>15</v>
      </c>
      <c r="K56" s="6">
        <v>3.1</v>
      </c>
      <c r="L56" s="6">
        <v>1653.85</v>
      </c>
      <c r="M56" s="5" t="s">
        <v>1557</v>
      </c>
      <c r="N56" s="5" t="s">
        <v>1558</v>
      </c>
      <c r="O56" s="13">
        <v>43509</v>
      </c>
      <c r="P56" t="s">
        <v>8724</v>
      </c>
    </row>
    <row r="57" spans="1:16" x14ac:dyDescent="0.15">
      <c r="A57" s="5" t="s">
        <v>1541</v>
      </c>
      <c r="B57" s="5" t="s">
        <v>1562</v>
      </c>
      <c r="C57" s="5" t="s">
        <v>1584</v>
      </c>
      <c r="D57" s="5" t="s">
        <v>1698</v>
      </c>
      <c r="E57" s="5" t="s">
        <v>46</v>
      </c>
      <c r="F57" s="12">
        <v>43803.715983796297</v>
      </c>
      <c r="G57" t="s">
        <v>8735</v>
      </c>
      <c r="H57" s="5" t="s">
        <v>1542</v>
      </c>
      <c r="I57" s="6">
        <v>-145.5</v>
      </c>
      <c r="J57" s="5" t="s">
        <v>15</v>
      </c>
      <c r="K57" s="6">
        <v>0</v>
      </c>
      <c r="L57" s="6">
        <v>-424.86</v>
      </c>
      <c r="M57" s="5" t="s">
        <v>1557</v>
      </c>
      <c r="N57" s="5" t="s">
        <v>1558</v>
      </c>
      <c r="O57" s="13">
        <v>43799</v>
      </c>
      <c r="P57" t="s">
        <v>8734</v>
      </c>
    </row>
    <row r="58" spans="1:16" x14ac:dyDescent="0.15">
      <c r="A58" s="5" t="s">
        <v>1541</v>
      </c>
      <c r="B58" s="5" t="s">
        <v>1562</v>
      </c>
      <c r="C58" s="5" t="s">
        <v>1584</v>
      </c>
      <c r="D58" s="5" t="s">
        <v>1698</v>
      </c>
      <c r="E58" s="5" t="s">
        <v>46</v>
      </c>
      <c r="F58" s="12">
        <v>43803.717222222222</v>
      </c>
      <c r="G58" t="s">
        <v>8735</v>
      </c>
      <c r="H58" s="5" t="s">
        <v>1544</v>
      </c>
      <c r="I58" s="6">
        <v>145.5</v>
      </c>
      <c r="J58" s="5" t="s">
        <v>15</v>
      </c>
      <c r="K58" s="6">
        <v>0</v>
      </c>
      <c r="L58" s="6">
        <v>424.86</v>
      </c>
      <c r="M58" s="5" t="s">
        <v>1557</v>
      </c>
      <c r="N58" s="5" t="s">
        <v>1558</v>
      </c>
      <c r="O58" s="13">
        <v>43799</v>
      </c>
      <c r="P58" t="s">
        <v>8734</v>
      </c>
    </row>
    <row r="59" spans="1:16" x14ac:dyDescent="0.15">
      <c r="A59" s="5" t="s">
        <v>1546</v>
      </c>
      <c r="B59" s="5" t="s">
        <v>1562</v>
      </c>
      <c r="C59" s="5" t="s">
        <v>1566</v>
      </c>
      <c r="D59" s="5" t="s">
        <v>1698</v>
      </c>
      <c r="E59" s="5" t="s">
        <v>46</v>
      </c>
      <c r="F59" s="12">
        <v>43803.724594907406</v>
      </c>
      <c r="G59" t="s">
        <v>8735</v>
      </c>
      <c r="H59" s="5" t="s">
        <v>1548</v>
      </c>
      <c r="I59" s="6">
        <v>-3880</v>
      </c>
      <c r="J59" s="5" t="s">
        <v>15</v>
      </c>
      <c r="K59" s="6">
        <v>2.92</v>
      </c>
      <c r="L59" s="6">
        <v>-11329.6</v>
      </c>
      <c r="M59" s="5" t="s">
        <v>1557</v>
      </c>
      <c r="N59" s="5" t="s">
        <v>1558</v>
      </c>
      <c r="O59" s="13">
        <v>43799</v>
      </c>
      <c r="P59" t="s">
        <v>8734</v>
      </c>
    </row>
    <row r="60" spans="1:16" x14ac:dyDescent="0.15">
      <c r="A60" s="5" t="s">
        <v>1546</v>
      </c>
      <c r="B60" s="5" t="s">
        <v>1562</v>
      </c>
      <c r="C60" s="5" t="s">
        <v>1566</v>
      </c>
      <c r="D60" s="5" t="s">
        <v>1698</v>
      </c>
      <c r="E60" s="5" t="s">
        <v>46</v>
      </c>
      <c r="F60" s="12">
        <v>43803.725243055553</v>
      </c>
      <c r="G60" t="s">
        <v>8735</v>
      </c>
      <c r="H60" s="5" t="s">
        <v>1550</v>
      </c>
      <c r="I60" s="6">
        <v>3880</v>
      </c>
      <c r="J60" s="5" t="s">
        <v>15</v>
      </c>
      <c r="K60" s="6">
        <v>2.92</v>
      </c>
      <c r="L60" s="6">
        <v>11329.6</v>
      </c>
      <c r="M60" s="5" t="s">
        <v>1557</v>
      </c>
      <c r="N60" s="5" t="s">
        <v>1558</v>
      </c>
      <c r="O60" s="13">
        <v>43799</v>
      </c>
      <c r="P60" t="s">
        <v>8734</v>
      </c>
    </row>
    <row r="61" spans="1:16" x14ac:dyDescent="0.15">
      <c r="A61" s="5" t="s">
        <v>1245</v>
      </c>
      <c r="B61" s="5" t="s">
        <v>1562</v>
      </c>
      <c r="C61" s="5" t="s">
        <v>1566</v>
      </c>
      <c r="D61" s="5" t="s">
        <v>1692</v>
      </c>
      <c r="E61" s="5" t="s">
        <v>63</v>
      </c>
      <c r="F61" s="12">
        <v>43608.74145833333</v>
      </c>
      <c r="G61" t="s">
        <v>8727</v>
      </c>
      <c r="H61" s="5" t="s">
        <v>1248</v>
      </c>
      <c r="I61" s="6">
        <v>3880</v>
      </c>
      <c r="J61" s="5" t="s">
        <v>15</v>
      </c>
      <c r="K61" s="6">
        <v>1.7</v>
      </c>
      <c r="L61" s="6">
        <v>6596</v>
      </c>
      <c r="M61" s="5" t="s">
        <v>1557</v>
      </c>
      <c r="N61" s="5" t="s">
        <v>1558</v>
      </c>
      <c r="O61" s="13">
        <v>43619</v>
      </c>
      <c r="P61" t="s">
        <v>8728</v>
      </c>
    </row>
    <row r="62" spans="1:16" x14ac:dyDescent="0.15">
      <c r="A62" s="5" t="s">
        <v>1289</v>
      </c>
      <c r="B62" s="5" t="s">
        <v>1562</v>
      </c>
      <c r="C62" s="5" t="s">
        <v>1566</v>
      </c>
      <c r="D62" s="5" t="s">
        <v>1692</v>
      </c>
      <c r="E62" s="5" t="s">
        <v>63</v>
      </c>
      <c r="F62" s="12">
        <v>43731.837638888886</v>
      </c>
      <c r="G62" t="s">
        <v>8731</v>
      </c>
      <c r="H62" s="5" t="s">
        <v>1291</v>
      </c>
      <c r="I62" s="6">
        <v>1940</v>
      </c>
      <c r="J62" s="5" t="s">
        <v>15</v>
      </c>
      <c r="K62" s="6">
        <v>1.67</v>
      </c>
      <c r="L62" s="6">
        <v>3239.8</v>
      </c>
      <c r="M62" s="5" t="s">
        <v>1557</v>
      </c>
      <c r="N62" s="5" t="s">
        <v>1558</v>
      </c>
      <c r="O62" s="13">
        <v>43745</v>
      </c>
      <c r="P62" t="s">
        <v>8732</v>
      </c>
    </row>
    <row r="63" spans="1:16" x14ac:dyDescent="0.15">
      <c r="A63" s="5" t="s">
        <v>1203</v>
      </c>
      <c r="B63" s="5" t="s">
        <v>1562</v>
      </c>
      <c r="C63" s="5" t="s">
        <v>1566</v>
      </c>
      <c r="D63" s="5" t="s">
        <v>1692</v>
      </c>
      <c r="E63" s="5" t="s">
        <v>40</v>
      </c>
      <c r="F63" s="12">
        <v>43523.786087962966</v>
      </c>
      <c r="G63" t="s">
        <v>8724</v>
      </c>
      <c r="H63" s="5" t="s">
        <v>1205</v>
      </c>
      <c r="I63" s="6">
        <v>4500</v>
      </c>
      <c r="J63" s="5" t="s">
        <v>15</v>
      </c>
      <c r="K63" s="6">
        <v>1.7399999999999998</v>
      </c>
      <c r="L63" s="6">
        <v>7830</v>
      </c>
      <c r="M63" s="5" t="s">
        <v>1557</v>
      </c>
      <c r="N63" s="5" t="s">
        <v>1558</v>
      </c>
      <c r="O63" s="13">
        <v>43528</v>
      </c>
      <c r="P63" t="s">
        <v>8725</v>
      </c>
    </row>
    <row r="64" spans="1:16" x14ac:dyDescent="0.15">
      <c r="A64" s="5" t="s">
        <v>1231</v>
      </c>
      <c r="B64" s="5" t="s">
        <v>1562</v>
      </c>
      <c r="C64" s="5" t="s">
        <v>1566</v>
      </c>
      <c r="D64" s="5" t="s">
        <v>1692</v>
      </c>
      <c r="E64" s="5" t="s">
        <v>40</v>
      </c>
      <c r="F64" s="12">
        <v>43579.670162037037</v>
      </c>
      <c r="G64" t="s">
        <v>8726</v>
      </c>
      <c r="H64" s="5" t="s">
        <v>1233</v>
      </c>
      <c r="I64" s="6">
        <v>6000</v>
      </c>
      <c r="J64" s="5" t="s">
        <v>15</v>
      </c>
      <c r="K64" s="6">
        <v>1.7399999999999998</v>
      </c>
      <c r="L64" s="6">
        <v>10440</v>
      </c>
      <c r="M64" s="5" t="s">
        <v>1557</v>
      </c>
      <c r="N64" s="5" t="s">
        <v>1558</v>
      </c>
      <c r="O64" s="13">
        <v>43598</v>
      </c>
      <c r="P64" t="s">
        <v>8727</v>
      </c>
    </row>
    <row r="65" spans="1:16" x14ac:dyDescent="0.15">
      <c r="A65" s="5" t="s">
        <v>1241</v>
      </c>
      <c r="B65" s="5" t="s">
        <v>1562</v>
      </c>
      <c r="C65" s="5" t="s">
        <v>1566</v>
      </c>
      <c r="D65" s="5" t="s">
        <v>1692</v>
      </c>
      <c r="E65" s="5" t="s">
        <v>40</v>
      </c>
      <c r="F65" s="12">
        <v>43598.92527777778</v>
      </c>
      <c r="G65" t="s">
        <v>8727</v>
      </c>
      <c r="H65" s="5" t="s">
        <v>1243</v>
      </c>
      <c r="I65" s="6">
        <v>6000</v>
      </c>
      <c r="J65" s="5" t="s">
        <v>15</v>
      </c>
      <c r="K65" s="6">
        <v>1.7399999999999998</v>
      </c>
      <c r="L65" s="6">
        <v>10440</v>
      </c>
      <c r="M65" s="5" t="s">
        <v>1557</v>
      </c>
      <c r="N65" s="5" t="s">
        <v>1558</v>
      </c>
      <c r="O65" s="13">
        <v>43598</v>
      </c>
      <c r="P65" t="s">
        <v>8727</v>
      </c>
    </row>
    <row r="66" spans="1:16" x14ac:dyDescent="0.15">
      <c r="A66" s="5" t="s">
        <v>1262</v>
      </c>
      <c r="B66" s="5" t="s">
        <v>1562</v>
      </c>
      <c r="C66" s="5" t="s">
        <v>1566</v>
      </c>
      <c r="D66" s="5" t="s">
        <v>1692</v>
      </c>
      <c r="E66" s="5" t="s">
        <v>40</v>
      </c>
      <c r="F66" s="12">
        <v>43641.882430555554</v>
      </c>
      <c r="G66" t="s">
        <v>8728</v>
      </c>
      <c r="H66" s="5" t="s">
        <v>1265</v>
      </c>
      <c r="I66" s="6">
        <v>6000</v>
      </c>
      <c r="J66" s="5" t="s">
        <v>15</v>
      </c>
      <c r="K66" s="6">
        <v>1.7399999999999998</v>
      </c>
      <c r="L66" s="6">
        <v>10440</v>
      </c>
      <c r="M66" s="5" t="s">
        <v>1557</v>
      </c>
      <c r="N66" s="5" t="s">
        <v>1558</v>
      </c>
      <c r="O66" s="13">
        <v>43647</v>
      </c>
      <c r="P66" t="s">
        <v>8729</v>
      </c>
    </row>
    <row r="67" spans="1:16" x14ac:dyDescent="0.15">
      <c r="A67" s="5" t="s">
        <v>1281</v>
      </c>
      <c r="B67" s="5" t="s">
        <v>1562</v>
      </c>
      <c r="C67" s="5" t="s">
        <v>1566</v>
      </c>
      <c r="D67" s="5" t="s">
        <v>1692</v>
      </c>
      <c r="E67" s="5" t="s">
        <v>40</v>
      </c>
      <c r="F67" s="12">
        <v>43726.656261574077</v>
      </c>
      <c r="G67" t="s">
        <v>8731</v>
      </c>
      <c r="H67" s="5" t="s">
        <v>1282</v>
      </c>
      <c r="I67" s="6">
        <v>7500</v>
      </c>
      <c r="J67" s="5" t="s">
        <v>15</v>
      </c>
      <c r="K67" s="6">
        <v>1.73</v>
      </c>
      <c r="L67" s="6">
        <v>12975</v>
      </c>
      <c r="M67" s="5" t="s">
        <v>1557</v>
      </c>
      <c r="N67" s="5" t="s">
        <v>1558</v>
      </c>
      <c r="O67" s="13">
        <v>43745</v>
      </c>
      <c r="P67" t="s">
        <v>8732</v>
      </c>
    </row>
    <row r="68" spans="1:16" x14ac:dyDescent="0.15">
      <c r="A68" s="5" t="s">
        <v>1394</v>
      </c>
      <c r="B68" s="5" t="s">
        <v>1562</v>
      </c>
      <c r="C68" s="5" t="s">
        <v>1566</v>
      </c>
      <c r="D68" s="5" t="s">
        <v>1696</v>
      </c>
      <c r="E68" s="5" t="s">
        <v>40</v>
      </c>
      <c r="F68" s="12">
        <v>43551.983124999999</v>
      </c>
      <c r="G68" t="s">
        <v>8725</v>
      </c>
      <c r="H68" s="5" t="s">
        <v>1396</v>
      </c>
      <c r="I68" s="6">
        <v>3000</v>
      </c>
      <c r="J68" s="5" t="s">
        <v>15</v>
      </c>
      <c r="K68" s="6">
        <v>1.7399999999999998</v>
      </c>
      <c r="L68" s="6">
        <v>5220</v>
      </c>
      <c r="M68" s="5" t="s">
        <v>1557</v>
      </c>
      <c r="N68" s="5" t="s">
        <v>1558</v>
      </c>
      <c r="O68" s="13">
        <v>43556</v>
      </c>
      <c r="P68" t="s">
        <v>8726</v>
      </c>
    </row>
    <row r="69" spans="1:16" x14ac:dyDescent="0.15">
      <c r="A69" s="5" t="s">
        <v>1463</v>
      </c>
      <c r="B69" s="5" t="s">
        <v>1562</v>
      </c>
      <c r="C69" s="5" t="s">
        <v>1566</v>
      </c>
      <c r="D69" s="5" t="s">
        <v>1697</v>
      </c>
      <c r="E69" s="5" t="s">
        <v>40</v>
      </c>
      <c r="F69" s="12">
        <v>43741.812523148146</v>
      </c>
      <c r="G69" t="s">
        <v>8732</v>
      </c>
      <c r="H69" s="5" t="s">
        <v>1465</v>
      </c>
      <c r="I69" s="6">
        <v>1500</v>
      </c>
      <c r="J69" s="5" t="s">
        <v>15</v>
      </c>
      <c r="K69" s="6">
        <v>1.73</v>
      </c>
      <c r="L69" s="6">
        <v>2595</v>
      </c>
      <c r="M69" s="5" t="s">
        <v>1557</v>
      </c>
      <c r="N69" s="5" t="s">
        <v>1558</v>
      </c>
      <c r="O69" s="13">
        <v>43749</v>
      </c>
      <c r="P69" t="s">
        <v>8732</v>
      </c>
    </row>
    <row r="70" spans="1:16" x14ac:dyDescent="0.15">
      <c r="A70" s="5" t="s">
        <v>1490</v>
      </c>
      <c r="B70" s="5" t="s">
        <v>1562</v>
      </c>
      <c r="C70" s="5" t="s">
        <v>1567</v>
      </c>
      <c r="D70" s="5" t="s">
        <v>1698</v>
      </c>
      <c r="E70" s="5" t="s">
        <v>40</v>
      </c>
      <c r="F70" s="12">
        <v>43606.892141203702</v>
      </c>
      <c r="G70" t="s">
        <v>8727</v>
      </c>
      <c r="H70" s="5" t="s">
        <v>1491</v>
      </c>
      <c r="I70" s="6">
        <v>4500</v>
      </c>
      <c r="J70" s="5" t="s">
        <v>15</v>
      </c>
      <c r="K70" s="6">
        <v>1.7399999999999998</v>
      </c>
      <c r="L70" s="6">
        <v>7830</v>
      </c>
      <c r="M70" s="5" t="s">
        <v>1557</v>
      </c>
      <c r="N70" s="5" t="s">
        <v>1558</v>
      </c>
      <c r="O70" s="13">
        <v>43607</v>
      </c>
      <c r="P70" t="s">
        <v>8727</v>
      </c>
    </row>
    <row r="71" spans="1:16" x14ac:dyDescent="0.15">
      <c r="A71" s="5" t="s">
        <v>1507</v>
      </c>
      <c r="B71" s="5" t="s">
        <v>1562</v>
      </c>
      <c r="C71" s="5" t="s">
        <v>1567</v>
      </c>
      <c r="D71" s="5" t="s">
        <v>1698</v>
      </c>
      <c r="E71" s="5" t="s">
        <v>40</v>
      </c>
      <c r="F71" s="12">
        <v>43686.857083333336</v>
      </c>
      <c r="G71" t="s">
        <v>8730</v>
      </c>
      <c r="H71" s="5" t="s">
        <v>1509</v>
      </c>
      <c r="I71" s="6">
        <v>9000</v>
      </c>
      <c r="J71" s="5" t="s">
        <v>15</v>
      </c>
      <c r="K71" s="6">
        <v>1.7399999999999998</v>
      </c>
      <c r="L71" s="6">
        <v>15660</v>
      </c>
      <c r="M71" s="5" t="s">
        <v>1557</v>
      </c>
      <c r="N71" s="5" t="s">
        <v>1558</v>
      </c>
      <c r="O71" s="13">
        <v>43717</v>
      </c>
      <c r="P71" t="s">
        <v>8731</v>
      </c>
    </row>
    <row r="72" spans="1:16" x14ac:dyDescent="0.15">
      <c r="A72" s="5" t="s">
        <v>294</v>
      </c>
      <c r="B72" s="5" t="s">
        <v>1563</v>
      </c>
      <c r="C72" s="5" t="s">
        <v>1568</v>
      </c>
      <c r="D72" s="5" t="s">
        <v>1693</v>
      </c>
      <c r="E72" s="5" t="s">
        <v>40</v>
      </c>
      <c r="F72" s="12">
        <v>43528.822789351849</v>
      </c>
      <c r="G72" t="s">
        <v>8725</v>
      </c>
      <c r="H72" s="5" t="s">
        <v>296</v>
      </c>
      <c r="I72" s="6">
        <v>825</v>
      </c>
      <c r="J72" s="5" t="s">
        <v>15</v>
      </c>
      <c r="K72" s="6">
        <v>17</v>
      </c>
      <c r="L72" s="6">
        <v>14025</v>
      </c>
      <c r="M72" s="5" t="s">
        <v>1560</v>
      </c>
      <c r="N72" s="5" t="s">
        <v>1558</v>
      </c>
      <c r="O72" s="13">
        <v>43529</v>
      </c>
      <c r="P72" t="s">
        <v>8725</v>
      </c>
    </row>
    <row r="73" spans="1:16" x14ac:dyDescent="0.15">
      <c r="A73" s="5" t="s">
        <v>298</v>
      </c>
      <c r="B73" s="5" t="s">
        <v>1563</v>
      </c>
      <c r="C73" s="5" t="s">
        <v>1585</v>
      </c>
      <c r="D73" s="5" t="s">
        <v>1693</v>
      </c>
      <c r="E73" s="5" t="s">
        <v>40</v>
      </c>
      <c r="F73" s="12">
        <v>43530.756550925929</v>
      </c>
      <c r="G73" t="s">
        <v>8725</v>
      </c>
      <c r="H73" s="5" t="s">
        <v>299</v>
      </c>
      <c r="I73" s="6">
        <v>6825</v>
      </c>
      <c r="J73" s="5" t="s">
        <v>15</v>
      </c>
      <c r="K73" s="6">
        <v>16</v>
      </c>
      <c r="L73" s="6">
        <v>109200</v>
      </c>
      <c r="M73" s="5" t="s">
        <v>1560</v>
      </c>
      <c r="N73" s="5" t="s">
        <v>1558</v>
      </c>
      <c r="O73" s="13">
        <v>43530</v>
      </c>
      <c r="P73" t="s">
        <v>8725</v>
      </c>
    </row>
    <row r="74" spans="1:16" x14ac:dyDescent="0.15">
      <c r="A74" s="5" t="s">
        <v>339</v>
      </c>
      <c r="B74" s="5" t="s">
        <v>1563</v>
      </c>
      <c r="C74" s="5" t="s">
        <v>1586</v>
      </c>
      <c r="D74" s="5" t="s">
        <v>1693</v>
      </c>
      <c r="E74" s="5" t="s">
        <v>40</v>
      </c>
      <c r="F74" s="12">
        <v>43557.59479166667</v>
      </c>
      <c r="G74" t="s">
        <v>8726</v>
      </c>
      <c r="H74" s="5" t="s">
        <v>340</v>
      </c>
      <c r="I74" s="6">
        <v>15000</v>
      </c>
      <c r="J74" s="5" t="s">
        <v>15</v>
      </c>
      <c r="K74" s="6">
        <v>14.5</v>
      </c>
      <c r="L74" s="6">
        <v>217500</v>
      </c>
      <c r="M74" s="5" t="s">
        <v>1560</v>
      </c>
      <c r="N74" s="5" t="s">
        <v>1558</v>
      </c>
      <c r="O74" s="13">
        <v>43556</v>
      </c>
      <c r="P74" t="s">
        <v>8726</v>
      </c>
    </row>
    <row r="75" spans="1:16" x14ac:dyDescent="0.15">
      <c r="A75" s="5" t="s">
        <v>343</v>
      </c>
      <c r="B75" s="5" t="s">
        <v>1563</v>
      </c>
      <c r="C75" s="5" t="s">
        <v>1586</v>
      </c>
      <c r="D75" s="5" t="s">
        <v>1693</v>
      </c>
      <c r="E75" s="5" t="s">
        <v>40</v>
      </c>
      <c r="F75" s="12">
        <v>43560.687418981484</v>
      </c>
      <c r="G75" t="s">
        <v>8726</v>
      </c>
      <c r="H75" s="5" t="s">
        <v>344</v>
      </c>
      <c r="I75" s="6">
        <v>5025</v>
      </c>
      <c r="J75" s="5" t="s">
        <v>15</v>
      </c>
      <c r="K75" s="6">
        <v>14.5</v>
      </c>
      <c r="L75" s="6">
        <v>72862.5</v>
      </c>
      <c r="M75" s="5" t="s">
        <v>1560</v>
      </c>
      <c r="N75" s="5" t="s">
        <v>1558</v>
      </c>
      <c r="O75" s="13">
        <v>43559</v>
      </c>
      <c r="P75" t="s">
        <v>8726</v>
      </c>
    </row>
    <row r="76" spans="1:16" x14ac:dyDescent="0.15">
      <c r="A76" s="5" t="s">
        <v>357</v>
      </c>
      <c r="B76" s="5" t="s">
        <v>1563</v>
      </c>
      <c r="C76" s="5" t="s">
        <v>1587</v>
      </c>
      <c r="D76" s="5" t="s">
        <v>1693</v>
      </c>
      <c r="E76" s="5" t="s">
        <v>40</v>
      </c>
      <c r="F76" s="12">
        <v>43567.852800925924</v>
      </c>
      <c r="G76" t="s">
        <v>8726</v>
      </c>
      <c r="H76" s="5" t="s">
        <v>358</v>
      </c>
      <c r="I76" s="6">
        <v>1125</v>
      </c>
      <c r="J76" s="5" t="s">
        <v>15</v>
      </c>
      <c r="K76" s="6">
        <v>18</v>
      </c>
      <c r="L76" s="6">
        <v>20250</v>
      </c>
      <c r="M76" s="5" t="s">
        <v>1560</v>
      </c>
      <c r="N76" s="5" t="s">
        <v>1558</v>
      </c>
      <c r="O76" s="13">
        <v>43566</v>
      </c>
      <c r="P76" t="s">
        <v>8726</v>
      </c>
    </row>
    <row r="77" spans="1:16" x14ac:dyDescent="0.15">
      <c r="A77" s="5" t="s">
        <v>383</v>
      </c>
      <c r="B77" s="5" t="s">
        <v>1563</v>
      </c>
      <c r="C77" s="5" t="s">
        <v>1573</v>
      </c>
      <c r="D77" s="5" t="s">
        <v>1693</v>
      </c>
      <c r="E77" s="5" t="s">
        <v>40</v>
      </c>
      <c r="F77" s="12">
        <v>43573.602824074071</v>
      </c>
      <c r="G77" t="s">
        <v>8726</v>
      </c>
      <c r="H77" s="5" t="s">
        <v>385</v>
      </c>
      <c r="I77" s="6">
        <v>3000</v>
      </c>
      <c r="J77" s="5" t="s">
        <v>15</v>
      </c>
      <c r="K77" s="6">
        <v>18</v>
      </c>
      <c r="L77" s="6">
        <v>54000</v>
      </c>
      <c r="M77" s="5" t="s">
        <v>1560</v>
      </c>
      <c r="N77" s="5" t="s">
        <v>1558</v>
      </c>
      <c r="O77" s="13">
        <v>43572</v>
      </c>
      <c r="P77" t="s">
        <v>8726</v>
      </c>
    </row>
    <row r="78" spans="1:16" x14ac:dyDescent="0.15">
      <c r="A78" s="5" t="s">
        <v>434</v>
      </c>
      <c r="B78" s="5" t="s">
        <v>1562</v>
      </c>
      <c r="C78" s="5" t="s">
        <v>1566</v>
      </c>
      <c r="D78" s="5" t="s">
        <v>1698</v>
      </c>
      <c r="E78" s="5" t="s">
        <v>40</v>
      </c>
      <c r="F78" s="12">
        <v>43598.845555555556</v>
      </c>
      <c r="G78" t="s">
        <v>8727</v>
      </c>
      <c r="H78" s="5" t="s">
        <v>1528</v>
      </c>
      <c r="I78" s="6">
        <v>-6000</v>
      </c>
      <c r="J78" s="5" t="s">
        <v>15</v>
      </c>
      <c r="K78" s="6">
        <v>1.7399999999999998</v>
      </c>
      <c r="L78" s="6">
        <v>-10440</v>
      </c>
      <c r="M78" s="5" t="s">
        <v>1557</v>
      </c>
      <c r="N78" s="5" t="s">
        <v>1558</v>
      </c>
      <c r="O78" s="13">
        <v>43598</v>
      </c>
      <c r="P78" t="s">
        <v>8727</v>
      </c>
    </row>
    <row r="79" spans="1:16" x14ac:dyDescent="0.15">
      <c r="A79" s="5" t="s">
        <v>477</v>
      </c>
      <c r="B79" s="5" t="s">
        <v>1563</v>
      </c>
      <c r="C79" s="5" t="s">
        <v>1588</v>
      </c>
      <c r="D79" s="5" t="s">
        <v>1693</v>
      </c>
      <c r="E79" s="5" t="s">
        <v>40</v>
      </c>
      <c r="F79" s="12">
        <v>43621.743263888886</v>
      </c>
      <c r="G79" t="s">
        <v>8728</v>
      </c>
      <c r="H79" s="5" t="s">
        <v>478</v>
      </c>
      <c r="I79" s="6">
        <v>1050</v>
      </c>
      <c r="J79" s="5" t="s">
        <v>15</v>
      </c>
      <c r="K79" s="6">
        <v>18</v>
      </c>
      <c r="L79" s="6">
        <v>18900</v>
      </c>
      <c r="M79" s="5" t="s">
        <v>1560</v>
      </c>
      <c r="N79" s="5" t="s">
        <v>1558</v>
      </c>
      <c r="O79" s="13">
        <v>43621</v>
      </c>
      <c r="P79" t="s">
        <v>8728</v>
      </c>
    </row>
    <row r="80" spans="1:16" x14ac:dyDescent="0.15">
      <c r="A80" s="5" t="s">
        <v>595</v>
      </c>
      <c r="B80" s="5" t="s">
        <v>1563</v>
      </c>
      <c r="C80" s="5" t="s">
        <v>1572</v>
      </c>
      <c r="D80" s="5" t="s">
        <v>1693</v>
      </c>
      <c r="E80" s="5" t="s">
        <v>40</v>
      </c>
      <c r="F80" s="12">
        <v>43663.800810185188</v>
      </c>
      <c r="G80" t="s">
        <v>8729</v>
      </c>
      <c r="H80" s="5" t="s">
        <v>597</v>
      </c>
      <c r="I80" s="6">
        <v>3975</v>
      </c>
      <c r="J80" s="5" t="s">
        <v>15</v>
      </c>
      <c r="K80" s="6">
        <v>17.5</v>
      </c>
      <c r="L80" s="6">
        <v>69562.5</v>
      </c>
      <c r="M80" s="5" t="s">
        <v>1560</v>
      </c>
      <c r="N80" s="5" t="s">
        <v>1558</v>
      </c>
      <c r="O80" s="13">
        <v>43663</v>
      </c>
      <c r="P80" t="s">
        <v>8729</v>
      </c>
    </row>
    <row r="81" spans="1:16" x14ac:dyDescent="0.15">
      <c r="A81" s="5" t="s">
        <v>81</v>
      </c>
      <c r="B81" s="5" t="s">
        <v>1563</v>
      </c>
      <c r="C81" s="5" t="s">
        <v>1572</v>
      </c>
      <c r="D81" s="5" t="s">
        <v>1693</v>
      </c>
      <c r="E81" s="5" t="s">
        <v>40</v>
      </c>
      <c r="F81" s="12">
        <v>43663.804016203707</v>
      </c>
      <c r="G81" t="s">
        <v>8729</v>
      </c>
      <c r="H81" s="5" t="s">
        <v>599</v>
      </c>
      <c r="I81" s="6">
        <v>4050</v>
      </c>
      <c r="J81" s="5" t="s">
        <v>15</v>
      </c>
      <c r="K81" s="6">
        <v>17.5</v>
      </c>
      <c r="L81" s="6">
        <v>70875</v>
      </c>
      <c r="M81" s="5" t="s">
        <v>1560</v>
      </c>
      <c r="N81" s="5" t="s">
        <v>1558</v>
      </c>
      <c r="O81" s="13">
        <v>43663</v>
      </c>
      <c r="P81" t="s">
        <v>8729</v>
      </c>
    </row>
    <row r="82" spans="1:16" x14ac:dyDescent="0.15">
      <c r="A82" s="5" t="s">
        <v>617</v>
      </c>
      <c r="B82" s="5" t="s">
        <v>1563</v>
      </c>
      <c r="C82" s="5" t="s">
        <v>1589</v>
      </c>
      <c r="D82" s="5" t="s">
        <v>1693</v>
      </c>
      <c r="E82" s="5" t="s">
        <v>40</v>
      </c>
      <c r="F82" s="12">
        <v>43668.749097222222</v>
      </c>
      <c r="G82" t="s">
        <v>8729</v>
      </c>
      <c r="H82" s="5" t="s">
        <v>619</v>
      </c>
      <c r="I82" s="6">
        <v>6000</v>
      </c>
      <c r="J82" s="5" t="s">
        <v>15</v>
      </c>
      <c r="K82" s="6">
        <v>15.5</v>
      </c>
      <c r="L82" s="6">
        <v>93000</v>
      </c>
      <c r="M82" s="5" t="s">
        <v>1560</v>
      </c>
      <c r="N82" s="5" t="s">
        <v>1558</v>
      </c>
      <c r="O82" s="13">
        <v>43670</v>
      </c>
      <c r="P82" t="s">
        <v>8729</v>
      </c>
    </row>
    <row r="83" spans="1:16" x14ac:dyDescent="0.15">
      <c r="A83" s="5" t="s">
        <v>86</v>
      </c>
      <c r="B83" s="5" t="s">
        <v>1563</v>
      </c>
      <c r="C83" s="5" t="s">
        <v>1572</v>
      </c>
      <c r="D83" s="5" t="s">
        <v>1693</v>
      </c>
      <c r="E83" s="5" t="s">
        <v>40</v>
      </c>
      <c r="F83" s="12">
        <v>43668.848263888889</v>
      </c>
      <c r="G83" t="s">
        <v>8729</v>
      </c>
      <c r="H83" s="5" t="s">
        <v>627</v>
      </c>
      <c r="I83" s="6">
        <v>3975</v>
      </c>
      <c r="J83" s="5" t="s">
        <v>15</v>
      </c>
      <c r="K83" s="6">
        <v>17.5</v>
      </c>
      <c r="L83" s="6">
        <v>69562.5</v>
      </c>
      <c r="M83" s="5" t="s">
        <v>1560</v>
      </c>
      <c r="N83" s="5" t="s">
        <v>1558</v>
      </c>
      <c r="O83" s="13">
        <v>43670</v>
      </c>
      <c r="P83" t="s">
        <v>8729</v>
      </c>
    </row>
    <row r="84" spans="1:16" x14ac:dyDescent="0.15">
      <c r="A84" s="5" t="s">
        <v>90</v>
      </c>
      <c r="B84" s="5" t="s">
        <v>1563</v>
      </c>
      <c r="C84" s="5" t="s">
        <v>1572</v>
      </c>
      <c r="D84" s="5" t="s">
        <v>1693</v>
      </c>
      <c r="E84" s="5" t="s">
        <v>40</v>
      </c>
      <c r="F84" s="12">
        <v>43671.73946759259</v>
      </c>
      <c r="G84" t="s">
        <v>8729</v>
      </c>
      <c r="H84" s="5" t="s">
        <v>634</v>
      </c>
      <c r="I84" s="6">
        <v>-2700</v>
      </c>
      <c r="J84" s="5" t="s">
        <v>15</v>
      </c>
      <c r="K84" s="6">
        <v>17.5</v>
      </c>
      <c r="L84" s="6">
        <v>-47250</v>
      </c>
      <c r="M84" s="5" t="s">
        <v>1560</v>
      </c>
      <c r="N84" s="5" t="s">
        <v>1558</v>
      </c>
      <c r="O84" s="13">
        <v>43671</v>
      </c>
      <c r="P84" t="s">
        <v>8729</v>
      </c>
    </row>
    <row r="85" spans="1:16" x14ac:dyDescent="0.15">
      <c r="A85" s="5" t="s">
        <v>658</v>
      </c>
      <c r="B85" s="5" t="s">
        <v>1563</v>
      </c>
      <c r="C85" s="5" t="s">
        <v>1588</v>
      </c>
      <c r="D85" s="5" t="s">
        <v>1693</v>
      </c>
      <c r="E85" s="5" t="s">
        <v>40</v>
      </c>
      <c r="F85" s="12">
        <v>43678.676736111112</v>
      </c>
      <c r="G85" t="s">
        <v>8730</v>
      </c>
      <c r="H85" s="5" t="s">
        <v>660</v>
      </c>
      <c r="I85" s="6">
        <v>600</v>
      </c>
      <c r="J85" s="5" t="s">
        <v>15</v>
      </c>
      <c r="K85" s="6">
        <v>18</v>
      </c>
      <c r="L85" s="6">
        <v>10800</v>
      </c>
      <c r="M85" s="5" t="s">
        <v>1560</v>
      </c>
      <c r="N85" s="5" t="s">
        <v>1558</v>
      </c>
      <c r="O85" s="13">
        <v>43678</v>
      </c>
      <c r="P85" t="s">
        <v>8730</v>
      </c>
    </row>
    <row r="86" spans="1:16" x14ac:dyDescent="0.15">
      <c r="A86" s="5" t="s">
        <v>661</v>
      </c>
      <c r="B86" s="5" t="s">
        <v>1563</v>
      </c>
      <c r="C86" s="5" t="s">
        <v>1585</v>
      </c>
      <c r="D86" s="5" t="s">
        <v>1693</v>
      </c>
      <c r="E86" s="5" t="s">
        <v>40</v>
      </c>
      <c r="F86" s="12">
        <v>43678.678935185184</v>
      </c>
      <c r="G86" t="s">
        <v>8730</v>
      </c>
      <c r="H86" s="5" t="s">
        <v>662</v>
      </c>
      <c r="I86" s="6">
        <v>2700</v>
      </c>
      <c r="J86" s="5" t="s">
        <v>15</v>
      </c>
      <c r="K86" s="6">
        <v>18</v>
      </c>
      <c r="L86" s="6">
        <v>48600</v>
      </c>
      <c r="M86" s="5" t="s">
        <v>1560</v>
      </c>
      <c r="N86" s="5" t="s">
        <v>1558</v>
      </c>
      <c r="O86" s="13">
        <v>43678</v>
      </c>
      <c r="P86" t="s">
        <v>8730</v>
      </c>
    </row>
    <row r="87" spans="1:16" x14ac:dyDescent="0.15">
      <c r="A87" s="5" t="s">
        <v>674</v>
      </c>
      <c r="B87" s="5" t="s">
        <v>1563</v>
      </c>
      <c r="C87" s="5" t="s">
        <v>1590</v>
      </c>
      <c r="D87" s="5" t="s">
        <v>1693</v>
      </c>
      <c r="E87" s="5" t="s">
        <v>40</v>
      </c>
      <c r="F87" s="12">
        <v>43679.657534722224</v>
      </c>
      <c r="G87" t="s">
        <v>8730</v>
      </c>
      <c r="H87" s="5" t="s">
        <v>675</v>
      </c>
      <c r="I87" s="6">
        <v>3450</v>
      </c>
      <c r="J87" s="5" t="s">
        <v>15</v>
      </c>
      <c r="K87" s="6">
        <v>16</v>
      </c>
      <c r="L87" s="6">
        <v>55200</v>
      </c>
      <c r="M87" s="5" t="s">
        <v>1560</v>
      </c>
      <c r="N87" s="5" t="s">
        <v>1558</v>
      </c>
      <c r="O87" s="13">
        <v>43678</v>
      </c>
      <c r="P87" t="s">
        <v>8730</v>
      </c>
    </row>
    <row r="88" spans="1:16" x14ac:dyDescent="0.15">
      <c r="A88" s="5" t="s">
        <v>109</v>
      </c>
      <c r="B88" s="5" t="s">
        <v>1563</v>
      </c>
      <c r="C88" s="5" t="s">
        <v>1591</v>
      </c>
      <c r="D88" s="5" t="s">
        <v>1693</v>
      </c>
      <c r="E88" s="5" t="s">
        <v>40</v>
      </c>
      <c r="F88" s="12">
        <v>43696.693043981482</v>
      </c>
      <c r="G88" t="s">
        <v>8730</v>
      </c>
      <c r="H88" s="5" t="s">
        <v>736</v>
      </c>
      <c r="I88" s="6">
        <v>300</v>
      </c>
      <c r="J88" s="5" t="s">
        <v>15</v>
      </c>
      <c r="K88" s="6">
        <v>18</v>
      </c>
      <c r="L88" s="6">
        <v>5400</v>
      </c>
      <c r="M88" s="5" t="s">
        <v>1560</v>
      </c>
      <c r="N88" s="5" t="s">
        <v>1558</v>
      </c>
      <c r="O88" s="13">
        <v>43689</v>
      </c>
      <c r="P88" t="s">
        <v>8730</v>
      </c>
    </row>
    <row r="89" spans="1:16" x14ac:dyDescent="0.15">
      <c r="A89" s="5" t="s">
        <v>773</v>
      </c>
      <c r="B89" s="5" t="s">
        <v>1563</v>
      </c>
      <c r="C89" s="5" t="s">
        <v>1583</v>
      </c>
      <c r="D89" s="5" t="s">
        <v>1693</v>
      </c>
      <c r="E89" s="5" t="s">
        <v>40</v>
      </c>
      <c r="F89" s="12">
        <v>43703.634826388887</v>
      </c>
      <c r="G89" t="s">
        <v>8730</v>
      </c>
      <c r="H89" s="5" t="s">
        <v>774</v>
      </c>
      <c r="I89" s="6">
        <v>300</v>
      </c>
      <c r="J89" s="5" t="s">
        <v>15</v>
      </c>
      <c r="K89" s="6">
        <v>18</v>
      </c>
      <c r="L89" s="6">
        <v>5400</v>
      </c>
      <c r="M89" s="5" t="s">
        <v>1560</v>
      </c>
      <c r="N89" s="5" t="s">
        <v>1558</v>
      </c>
      <c r="O89" s="13">
        <v>43703</v>
      </c>
      <c r="P89" t="s">
        <v>8730</v>
      </c>
    </row>
    <row r="90" spans="1:16" x14ac:dyDescent="0.15">
      <c r="A90" s="5" t="s">
        <v>128</v>
      </c>
      <c r="B90" s="5" t="s">
        <v>1563</v>
      </c>
      <c r="C90" s="5" t="s">
        <v>1589</v>
      </c>
      <c r="D90" s="5" t="s">
        <v>1693</v>
      </c>
      <c r="E90" s="5" t="s">
        <v>40</v>
      </c>
      <c r="F90" s="12">
        <v>43719.849317129629</v>
      </c>
      <c r="G90" t="s">
        <v>8731</v>
      </c>
      <c r="H90" s="5" t="s">
        <v>837</v>
      </c>
      <c r="I90" s="6">
        <v>5025</v>
      </c>
      <c r="J90" s="5" t="s">
        <v>15</v>
      </c>
      <c r="K90" s="6">
        <v>15.5</v>
      </c>
      <c r="L90" s="6">
        <v>77887.5</v>
      </c>
      <c r="M90" s="5" t="s">
        <v>1560</v>
      </c>
      <c r="N90" s="5" t="s">
        <v>1558</v>
      </c>
      <c r="O90" s="13">
        <v>43719</v>
      </c>
      <c r="P90" t="s">
        <v>8731</v>
      </c>
    </row>
    <row r="91" spans="1:16" x14ac:dyDescent="0.15">
      <c r="A91" s="5" t="s">
        <v>898</v>
      </c>
      <c r="B91" s="5" t="s">
        <v>1563</v>
      </c>
      <c r="C91" s="5" t="s">
        <v>1592</v>
      </c>
      <c r="D91" s="5" t="s">
        <v>1693</v>
      </c>
      <c r="E91" s="5" t="s">
        <v>40</v>
      </c>
      <c r="F91" s="12">
        <v>43733.707638888889</v>
      </c>
      <c r="G91" t="s">
        <v>8731</v>
      </c>
      <c r="H91" s="5" t="s">
        <v>900</v>
      </c>
      <c r="I91" s="6">
        <v>375</v>
      </c>
      <c r="J91" s="5" t="s">
        <v>15</v>
      </c>
      <c r="K91" s="6">
        <v>18</v>
      </c>
      <c r="L91" s="6">
        <v>6750</v>
      </c>
      <c r="M91" s="5" t="s">
        <v>1560</v>
      </c>
      <c r="N91" s="5" t="s">
        <v>1558</v>
      </c>
      <c r="O91" s="13">
        <v>43733</v>
      </c>
      <c r="P91" t="s">
        <v>8731</v>
      </c>
    </row>
    <row r="92" spans="1:16" x14ac:dyDescent="0.15">
      <c r="A92" s="5" t="s">
        <v>150</v>
      </c>
      <c r="B92" s="5" t="s">
        <v>1563</v>
      </c>
      <c r="C92" s="5" t="s">
        <v>1593</v>
      </c>
      <c r="D92" s="5" t="s">
        <v>1693</v>
      </c>
      <c r="E92" s="5" t="s">
        <v>40</v>
      </c>
      <c r="F92" s="12">
        <v>43740.767025462963</v>
      </c>
      <c r="G92" t="s">
        <v>8732</v>
      </c>
      <c r="H92" s="5" t="s">
        <v>917</v>
      </c>
      <c r="I92" s="6">
        <v>4575</v>
      </c>
      <c r="J92" s="5" t="s">
        <v>15</v>
      </c>
      <c r="K92" s="6">
        <v>17.5</v>
      </c>
      <c r="L92" s="6">
        <v>80062.5</v>
      </c>
      <c r="M92" s="5" t="s">
        <v>1560</v>
      </c>
      <c r="N92" s="5" t="s">
        <v>1558</v>
      </c>
      <c r="O92" s="13">
        <v>43740</v>
      </c>
      <c r="P92" t="s">
        <v>8732</v>
      </c>
    </row>
    <row r="93" spans="1:16" x14ac:dyDescent="0.15">
      <c r="A93" s="5" t="s">
        <v>160</v>
      </c>
      <c r="B93" s="5" t="s">
        <v>1563</v>
      </c>
      <c r="C93" s="5" t="s">
        <v>1583</v>
      </c>
      <c r="D93" s="5" t="s">
        <v>1693</v>
      </c>
      <c r="E93" s="5" t="s">
        <v>40</v>
      </c>
      <c r="F93" s="12">
        <v>43740.875034722223</v>
      </c>
      <c r="G93" t="s">
        <v>8732</v>
      </c>
      <c r="H93" s="5" t="s">
        <v>932</v>
      </c>
      <c r="I93" s="6">
        <v>1500</v>
      </c>
      <c r="J93" s="5" t="s">
        <v>15</v>
      </c>
      <c r="K93" s="6">
        <v>18</v>
      </c>
      <c r="L93" s="6">
        <v>27000</v>
      </c>
      <c r="M93" s="5" t="s">
        <v>1560</v>
      </c>
      <c r="N93" s="5" t="s">
        <v>1558</v>
      </c>
      <c r="O93" s="13">
        <v>43739</v>
      </c>
      <c r="P93" t="s">
        <v>8732</v>
      </c>
    </row>
    <row r="94" spans="1:16" x14ac:dyDescent="0.15">
      <c r="A94" s="5" t="s">
        <v>966</v>
      </c>
      <c r="B94" s="5" t="s">
        <v>1563</v>
      </c>
      <c r="C94" s="5" t="s">
        <v>1578</v>
      </c>
      <c r="D94" s="5" t="s">
        <v>1693</v>
      </c>
      <c r="E94" s="5" t="s">
        <v>40</v>
      </c>
      <c r="F94" s="12">
        <v>43753.572326388887</v>
      </c>
      <c r="G94" t="s">
        <v>8732</v>
      </c>
      <c r="H94" s="5" t="s">
        <v>968</v>
      </c>
      <c r="I94" s="6">
        <v>4650</v>
      </c>
      <c r="J94" s="5" t="s">
        <v>15</v>
      </c>
      <c r="K94" s="6">
        <v>18</v>
      </c>
      <c r="L94" s="6">
        <v>83700</v>
      </c>
      <c r="M94" s="5" t="s">
        <v>1560</v>
      </c>
      <c r="N94" s="5" t="s">
        <v>1558</v>
      </c>
      <c r="O94" s="13">
        <v>43752</v>
      </c>
      <c r="P94" t="s">
        <v>8732</v>
      </c>
    </row>
    <row r="95" spans="1:16" x14ac:dyDescent="0.15">
      <c r="A95" s="5" t="s">
        <v>197</v>
      </c>
      <c r="B95" s="5" t="s">
        <v>1563</v>
      </c>
      <c r="C95" s="5" t="s">
        <v>1571</v>
      </c>
      <c r="D95" s="5" t="s">
        <v>1693</v>
      </c>
      <c r="E95" s="5" t="s">
        <v>40</v>
      </c>
      <c r="F95" s="12">
        <v>43766.850798611114</v>
      </c>
      <c r="G95" t="s">
        <v>8732</v>
      </c>
      <c r="H95" s="5" t="s">
        <v>1025</v>
      </c>
      <c r="I95" s="6">
        <v>3750</v>
      </c>
      <c r="J95" s="5" t="s">
        <v>15</v>
      </c>
      <c r="K95" s="6">
        <v>18</v>
      </c>
      <c r="L95" s="6">
        <v>67500</v>
      </c>
      <c r="M95" s="5" t="s">
        <v>1560</v>
      </c>
      <c r="N95" s="5" t="s">
        <v>1558</v>
      </c>
      <c r="O95" s="13">
        <v>43766</v>
      </c>
      <c r="P95" t="s">
        <v>8732</v>
      </c>
    </row>
    <row r="96" spans="1:16" x14ac:dyDescent="0.15">
      <c r="A96" s="5" t="s">
        <v>201</v>
      </c>
      <c r="B96" s="5" t="s">
        <v>1563</v>
      </c>
      <c r="C96" s="5" t="s">
        <v>1579</v>
      </c>
      <c r="D96" s="5" t="s">
        <v>1693</v>
      </c>
      <c r="E96" s="5" t="s">
        <v>40</v>
      </c>
      <c r="F96" s="12">
        <v>43773.779502314814</v>
      </c>
      <c r="G96" t="s">
        <v>8734</v>
      </c>
      <c r="H96" s="5" t="s">
        <v>1038</v>
      </c>
      <c r="I96" s="6">
        <v>3750</v>
      </c>
      <c r="J96" s="5" t="s">
        <v>15</v>
      </c>
      <c r="K96" s="6">
        <v>18</v>
      </c>
      <c r="L96" s="6">
        <v>67500</v>
      </c>
      <c r="M96" s="5" t="s">
        <v>1560</v>
      </c>
      <c r="N96" s="5" t="s">
        <v>1558</v>
      </c>
      <c r="O96" s="13">
        <v>43773</v>
      </c>
      <c r="P96" t="s">
        <v>8734</v>
      </c>
    </row>
    <row r="97" spans="1:16" x14ac:dyDescent="0.15">
      <c r="A97" s="5" t="s">
        <v>227</v>
      </c>
      <c r="B97" s="5" t="s">
        <v>1563</v>
      </c>
      <c r="C97" s="5" t="s">
        <v>1594</v>
      </c>
      <c r="D97" s="5" t="s">
        <v>1693</v>
      </c>
      <c r="E97" s="5" t="s">
        <v>40</v>
      </c>
      <c r="F97" s="12">
        <v>43787.664305555554</v>
      </c>
      <c r="G97" t="s">
        <v>8734</v>
      </c>
      <c r="H97" s="5" t="s">
        <v>1089</v>
      </c>
      <c r="I97" s="6">
        <v>300</v>
      </c>
      <c r="J97" s="5" t="s">
        <v>15</v>
      </c>
      <c r="K97" s="6">
        <v>18</v>
      </c>
      <c r="L97" s="6">
        <v>5400</v>
      </c>
      <c r="M97" s="5" t="s">
        <v>1560</v>
      </c>
      <c r="N97" s="5" t="s">
        <v>1558</v>
      </c>
      <c r="O97" s="13">
        <v>43787</v>
      </c>
      <c r="P97" t="s">
        <v>8734</v>
      </c>
    </row>
    <row r="98" spans="1:16" x14ac:dyDescent="0.15">
      <c r="A98" s="5" t="s">
        <v>1245</v>
      </c>
      <c r="B98" s="5" t="s">
        <v>1562</v>
      </c>
      <c r="C98" s="5" t="s">
        <v>1566</v>
      </c>
      <c r="D98" s="5" t="s">
        <v>1692</v>
      </c>
      <c r="E98" s="5" t="s">
        <v>174</v>
      </c>
      <c r="F98" s="12">
        <v>43608.74145833333</v>
      </c>
      <c r="G98" t="s">
        <v>8727</v>
      </c>
      <c r="H98" s="5" t="s">
        <v>1249</v>
      </c>
      <c r="I98" s="6">
        <v>4500</v>
      </c>
      <c r="J98" s="5" t="s">
        <v>15</v>
      </c>
      <c r="K98" s="6">
        <v>1.73</v>
      </c>
      <c r="L98" s="6">
        <v>7785</v>
      </c>
      <c r="M98" s="5" t="s">
        <v>1557</v>
      </c>
      <c r="N98" s="5" t="s">
        <v>1558</v>
      </c>
      <c r="O98" s="13">
        <v>43619</v>
      </c>
      <c r="P98" t="s">
        <v>8728</v>
      </c>
    </row>
    <row r="99" spans="1:16" x14ac:dyDescent="0.15">
      <c r="A99" s="5" t="s">
        <v>1281</v>
      </c>
      <c r="B99" s="5" t="s">
        <v>1562</v>
      </c>
      <c r="C99" s="5" t="s">
        <v>1566</v>
      </c>
      <c r="D99" s="5" t="s">
        <v>1692</v>
      </c>
      <c r="E99" s="5" t="s">
        <v>174</v>
      </c>
      <c r="F99" s="12">
        <v>43726.656284722223</v>
      </c>
      <c r="G99" t="s">
        <v>8731</v>
      </c>
      <c r="H99" s="5" t="s">
        <v>1283</v>
      </c>
      <c r="I99" s="6">
        <v>4500</v>
      </c>
      <c r="J99" s="5" t="s">
        <v>15</v>
      </c>
      <c r="K99" s="6">
        <v>1.7</v>
      </c>
      <c r="L99" s="6">
        <v>7650</v>
      </c>
      <c r="M99" s="5" t="s">
        <v>1557</v>
      </c>
      <c r="N99" s="5" t="s">
        <v>1558</v>
      </c>
      <c r="O99" s="13">
        <v>43745</v>
      </c>
      <c r="P99" t="s">
        <v>8732</v>
      </c>
    </row>
    <row r="100" spans="1:16" x14ac:dyDescent="0.15">
      <c r="A100" s="5" t="s">
        <v>1289</v>
      </c>
      <c r="B100" s="5" t="s">
        <v>1562</v>
      </c>
      <c r="C100" s="5" t="s">
        <v>1566</v>
      </c>
      <c r="D100" s="5" t="s">
        <v>1692</v>
      </c>
      <c r="E100" s="5" t="s">
        <v>174</v>
      </c>
      <c r="F100" s="12">
        <v>43731.837650462963</v>
      </c>
      <c r="G100" t="s">
        <v>8731</v>
      </c>
      <c r="H100" s="5" t="s">
        <v>1292</v>
      </c>
      <c r="I100" s="6">
        <v>1500</v>
      </c>
      <c r="J100" s="5" t="s">
        <v>15</v>
      </c>
      <c r="K100" s="6">
        <v>1.7</v>
      </c>
      <c r="L100" s="6">
        <v>2550</v>
      </c>
      <c r="M100" s="5" t="s">
        <v>1557</v>
      </c>
      <c r="N100" s="5" t="s">
        <v>1558</v>
      </c>
      <c r="O100" s="13">
        <v>43745</v>
      </c>
      <c r="P100" t="s">
        <v>8732</v>
      </c>
    </row>
    <row r="101" spans="1:16" x14ac:dyDescent="0.15">
      <c r="A101" s="5" t="s">
        <v>1296</v>
      </c>
      <c r="B101" s="5" t="s">
        <v>1562</v>
      </c>
      <c r="C101" s="5" t="s">
        <v>1566</v>
      </c>
      <c r="D101" s="5" t="s">
        <v>1692</v>
      </c>
      <c r="E101" s="5" t="s">
        <v>174</v>
      </c>
      <c r="F101" s="12">
        <v>43762.744201388887</v>
      </c>
      <c r="G101" t="s">
        <v>8732</v>
      </c>
      <c r="H101" s="5" t="s">
        <v>1297</v>
      </c>
      <c r="I101" s="6">
        <v>7500</v>
      </c>
      <c r="J101" s="5" t="s">
        <v>15</v>
      </c>
      <c r="K101" s="6">
        <v>1.7</v>
      </c>
      <c r="L101" s="6">
        <v>12750</v>
      </c>
      <c r="M101" s="5" t="s">
        <v>1557</v>
      </c>
      <c r="N101" s="5" t="s">
        <v>1558</v>
      </c>
      <c r="O101" s="13">
        <v>43766</v>
      </c>
      <c r="P101" t="s">
        <v>8732</v>
      </c>
    </row>
    <row r="102" spans="1:16" x14ac:dyDescent="0.15">
      <c r="A102" s="5" t="s">
        <v>1195</v>
      </c>
      <c r="B102" s="5" t="s">
        <v>1562</v>
      </c>
      <c r="C102" s="5" t="s">
        <v>1566</v>
      </c>
      <c r="D102" s="5" t="s">
        <v>1692</v>
      </c>
      <c r="E102" s="5" t="s">
        <v>35</v>
      </c>
      <c r="F102" s="12">
        <v>43493.728865740741</v>
      </c>
      <c r="G102" t="s">
        <v>8733</v>
      </c>
      <c r="H102" s="5" t="s">
        <v>1196</v>
      </c>
      <c r="I102" s="6">
        <v>13650</v>
      </c>
      <c r="J102" s="5" t="s">
        <v>15</v>
      </c>
      <c r="K102" s="6">
        <v>1.7</v>
      </c>
      <c r="L102" s="6">
        <v>23205</v>
      </c>
      <c r="M102" s="5" t="s">
        <v>1557</v>
      </c>
      <c r="N102" s="5" t="s">
        <v>1558</v>
      </c>
      <c r="O102" s="13">
        <v>43493</v>
      </c>
      <c r="P102" t="s">
        <v>8733</v>
      </c>
    </row>
    <row r="103" spans="1:16" x14ac:dyDescent="0.15">
      <c r="A103" s="5" t="s">
        <v>1227</v>
      </c>
      <c r="B103" s="5" t="s">
        <v>1562</v>
      </c>
      <c r="C103" s="5" t="s">
        <v>1566</v>
      </c>
      <c r="D103" s="5" t="s">
        <v>1692</v>
      </c>
      <c r="E103" s="5" t="s">
        <v>35</v>
      </c>
      <c r="F103" s="12">
        <v>43553.833958333336</v>
      </c>
      <c r="G103" t="s">
        <v>8725</v>
      </c>
      <c r="H103" s="5" t="s">
        <v>1230</v>
      </c>
      <c r="I103" s="6">
        <v>13650</v>
      </c>
      <c r="J103" s="5" t="s">
        <v>15</v>
      </c>
      <c r="K103" s="6">
        <v>1.73</v>
      </c>
      <c r="L103" s="6">
        <v>23614.5</v>
      </c>
      <c r="M103" s="5" t="s">
        <v>1557</v>
      </c>
      <c r="N103" s="5" t="s">
        <v>1558</v>
      </c>
      <c r="O103" s="13">
        <v>43563</v>
      </c>
      <c r="P103" t="s">
        <v>8726</v>
      </c>
    </row>
    <row r="104" spans="1:16" x14ac:dyDescent="0.15">
      <c r="A104" s="5" t="s">
        <v>1231</v>
      </c>
      <c r="B104" s="5" t="s">
        <v>1562</v>
      </c>
      <c r="C104" s="5" t="s">
        <v>1566</v>
      </c>
      <c r="D104" s="5" t="s">
        <v>1692</v>
      </c>
      <c r="E104" s="5" t="s">
        <v>35</v>
      </c>
      <c r="F104" s="12">
        <v>43579.670162037037</v>
      </c>
      <c r="G104" t="s">
        <v>8726</v>
      </c>
      <c r="H104" s="5" t="s">
        <v>1234</v>
      </c>
      <c r="I104" s="6">
        <v>13650</v>
      </c>
      <c r="J104" s="5" t="s">
        <v>15</v>
      </c>
      <c r="K104" s="6">
        <v>1.73</v>
      </c>
      <c r="L104" s="6">
        <v>23614.5</v>
      </c>
      <c r="M104" s="5" t="s">
        <v>1557</v>
      </c>
      <c r="N104" s="5" t="s">
        <v>1558</v>
      </c>
      <c r="O104" s="13">
        <v>43598</v>
      </c>
      <c r="P104" t="s">
        <v>8727</v>
      </c>
    </row>
    <row r="105" spans="1:16" x14ac:dyDescent="0.15">
      <c r="A105" s="5" t="s">
        <v>1239</v>
      </c>
      <c r="B105" s="5" t="s">
        <v>1562</v>
      </c>
      <c r="C105" s="5" t="s">
        <v>1566</v>
      </c>
      <c r="D105" s="5" t="s">
        <v>1692</v>
      </c>
      <c r="E105" s="5" t="s">
        <v>35</v>
      </c>
      <c r="F105" s="12">
        <v>43588.891168981485</v>
      </c>
      <c r="G105" t="s">
        <v>8727</v>
      </c>
      <c r="H105" s="5" t="s">
        <v>1240</v>
      </c>
      <c r="I105" s="6">
        <v>25350</v>
      </c>
      <c r="J105" s="5" t="s">
        <v>15</v>
      </c>
      <c r="K105" s="6">
        <v>1.73</v>
      </c>
      <c r="L105" s="6">
        <v>43855.5</v>
      </c>
      <c r="M105" s="5" t="s">
        <v>1557</v>
      </c>
      <c r="N105" s="5" t="s">
        <v>1558</v>
      </c>
      <c r="O105" s="13">
        <v>43592</v>
      </c>
      <c r="P105" t="s">
        <v>8727</v>
      </c>
    </row>
    <row r="106" spans="1:16" x14ac:dyDescent="0.15">
      <c r="A106" s="5" t="s">
        <v>1241</v>
      </c>
      <c r="B106" s="5" t="s">
        <v>1562</v>
      </c>
      <c r="C106" s="5" t="s">
        <v>1566</v>
      </c>
      <c r="D106" s="5" t="s">
        <v>1692</v>
      </c>
      <c r="E106" s="5" t="s">
        <v>35</v>
      </c>
      <c r="F106" s="12">
        <v>43598.92528935185</v>
      </c>
      <c r="G106" t="s">
        <v>8727</v>
      </c>
      <c r="H106" s="5" t="s">
        <v>1244</v>
      </c>
      <c r="I106" s="6">
        <v>13650</v>
      </c>
      <c r="J106" s="5" t="s">
        <v>15</v>
      </c>
      <c r="K106" s="6">
        <v>1.73</v>
      </c>
      <c r="L106" s="6">
        <v>23614.5</v>
      </c>
      <c r="M106" s="5" t="s">
        <v>1557</v>
      </c>
      <c r="N106" s="5" t="s">
        <v>1558</v>
      </c>
      <c r="O106" s="13">
        <v>43598</v>
      </c>
      <c r="P106" t="s">
        <v>8727</v>
      </c>
    </row>
    <row r="107" spans="1:16" x14ac:dyDescent="0.15">
      <c r="A107" s="5" t="s">
        <v>1277</v>
      </c>
      <c r="B107" s="5" t="s">
        <v>1562</v>
      </c>
      <c r="C107" s="5" t="s">
        <v>1566</v>
      </c>
      <c r="D107" s="5" t="s">
        <v>1692</v>
      </c>
      <c r="E107" s="5" t="s">
        <v>35</v>
      </c>
      <c r="F107" s="12">
        <v>43672.73028935185</v>
      </c>
      <c r="G107" t="s">
        <v>8729</v>
      </c>
      <c r="H107" s="5" t="s">
        <v>1278</v>
      </c>
      <c r="I107" s="6">
        <v>9750</v>
      </c>
      <c r="J107" s="5" t="s">
        <v>15</v>
      </c>
      <c r="K107" s="6">
        <v>1.73</v>
      </c>
      <c r="L107" s="6">
        <v>16867.5</v>
      </c>
      <c r="M107" s="5" t="s">
        <v>1557</v>
      </c>
      <c r="N107" s="5" t="s">
        <v>1558</v>
      </c>
      <c r="O107" s="13">
        <v>43682</v>
      </c>
      <c r="P107" t="s">
        <v>8730</v>
      </c>
    </row>
    <row r="108" spans="1:16" x14ac:dyDescent="0.15">
      <c r="A108" s="5" t="s">
        <v>1279</v>
      </c>
      <c r="B108" s="5" t="s">
        <v>1562</v>
      </c>
      <c r="C108" s="5" t="s">
        <v>1566</v>
      </c>
      <c r="D108" s="5" t="s">
        <v>1692</v>
      </c>
      <c r="E108" s="5" t="s">
        <v>35</v>
      </c>
      <c r="F108" s="12">
        <v>43682.707696759258</v>
      </c>
      <c r="G108" t="s">
        <v>8730</v>
      </c>
      <c r="H108" s="5" t="s">
        <v>1280</v>
      </c>
      <c r="I108" s="6">
        <v>25350</v>
      </c>
      <c r="J108" s="5" t="s">
        <v>15</v>
      </c>
      <c r="K108" s="6">
        <v>1.73</v>
      </c>
      <c r="L108" s="6">
        <v>43855.5</v>
      </c>
      <c r="M108" s="5" t="s">
        <v>1557</v>
      </c>
      <c r="N108" s="5" t="s">
        <v>1558</v>
      </c>
      <c r="O108" s="13">
        <v>43710</v>
      </c>
      <c r="P108" t="s">
        <v>8731</v>
      </c>
    </row>
    <row r="109" spans="1:16" x14ac:dyDescent="0.15">
      <c r="A109" s="5" t="s">
        <v>1281</v>
      </c>
      <c r="B109" s="5" t="s">
        <v>1562</v>
      </c>
      <c r="C109" s="5" t="s">
        <v>1566</v>
      </c>
      <c r="D109" s="5" t="s">
        <v>1692</v>
      </c>
      <c r="E109" s="5" t="s">
        <v>35</v>
      </c>
      <c r="F109" s="12">
        <v>43726.656284722223</v>
      </c>
      <c r="G109" t="s">
        <v>8731</v>
      </c>
      <c r="H109" s="5" t="s">
        <v>1284</v>
      </c>
      <c r="I109" s="6">
        <v>9750</v>
      </c>
      <c r="J109" s="5" t="s">
        <v>15</v>
      </c>
      <c r="K109" s="6">
        <v>1.7100000000000002</v>
      </c>
      <c r="L109" s="6">
        <v>16672.5</v>
      </c>
      <c r="M109" s="5" t="s">
        <v>1557</v>
      </c>
      <c r="N109" s="5" t="s">
        <v>1558</v>
      </c>
      <c r="O109" s="13">
        <v>43745</v>
      </c>
      <c r="P109" t="s">
        <v>8732</v>
      </c>
    </row>
    <row r="110" spans="1:16" x14ac:dyDescent="0.15">
      <c r="A110" s="5" t="s">
        <v>1324</v>
      </c>
      <c r="B110" s="5" t="s">
        <v>1562</v>
      </c>
      <c r="C110" s="5" t="s">
        <v>1566</v>
      </c>
      <c r="D110" s="5" t="s">
        <v>1694</v>
      </c>
      <c r="E110" s="5" t="s">
        <v>35</v>
      </c>
      <c r="F110" s="12">
        <v>43670.625821759262</v>
      </c>
      <c r="G110" t="s">
        <v>8729</v>
      </c>
      <c r="H110" s="5" t="s">
        <v>1325</v>
      </c>
      <c r="I110" s="6">
        <v>21450</v>
      </c>
      <c r="J110" s="5" t="s">
        <v>15</v>
      </c>
      <c r="K110" s="6">
        <v>1.73</v>
      </c>
      <c r="L110" s="6">
        <v>37108.5</v>
      </c>
      <c r="M110" s="5" t="s">
        <v>1557</v>
      </c>
      <c r="N110" s="5" t="s">
        <v>1558</v>
      </c>
      <c r="O110" s="13">
        <v>43686</v>
      </c>
      <c r="P110" t="s">
        <v>8730</v>
      </c>
    </row>
    <row r="111" spans="1:16" x14ac:dyDescent="0.15">
      <c r="A111" s="5" t="s">
        <v>1327</v>
      </c>
      <c r="B111" s="5" t="s">
        <v>1562</v>
      </c>
      <c r="C111" s="5" t="s">
        <v>1566</v>
      </c>
      <c r="D111" s="5" t="s">
        <v>1694</v>
      </c>
      <c r="E111" s="5" t="s">
        <v>35</v>
      </c>
      <c r="F111" s="12">
        <v>43670.626226851855</v>
      </c>
      <c r="G111" t="s">
        <v>8729</v>
      </c>
      <c r="H111" s="5" t="s">
        <v>1328</v>
      </c>
      <c r="I111" s="6">
        <v>21450</v>
      </c>
      <c r="J111" s="5" t="s">
        <v>15</v>
      </c>
      <c r="K111" s="6">
        <v>1.73</v>
      </c>
      <c r="L111" s="6">
        <v>37108.5</v>
      </c>
      <c r="M111" s="5" t="s">
        <v>1557</v>
      </c>
      <c r="N111" s="5" t="s">
        <v>1558</v>
      </c>
      <c r="O111" s="13">
        <v>43697</v>
      </c>
      <c r="P111" t="s">
        <v>8730</v>
      </c>
    </row>
    <row r="112" spans="1:16" x14ac:dyDescent="0.15">
      <c r="A112" s="5" t="s">
        <v>1336</v>
      </c>
      <c r="B112" s="5" t="s">
        <v>1562</v>
      </c>
      <c r="C112" s="5" t="s">
        <v>1566</v>
      </c>
      <c r="D112" s="5" t="s">
        <v>1695</v>
      </c>
      <c r="E112" s="5" t="s">
        <v>35</v>
      </c>
      <c r="F112" s="12">
        <v>43514.886018518519</v>
      </c>
      <c r="G112" t="s">
        <v>8724</v>
      </c>
      <c r="H112" s="5" t="s">
        <v>1340</v>
      </c>
      <c r="I112" s="6">
        <v>1950</v>
      </c>
      <c r="J112" s="5" t="s">
        <v>15</v>
      </c>
      <c r="K112" s="6">
        <v>1.7</v>
      </c>
      <c r="L112" s="6">
        <v>3315</v>
      </c>
      <c r="M112" s="5" t="s">
        <v>1557</v>
      </c>
      <c r="N112" s="5" t="s">
        <v>1558</v>
      </c>
      <c r="O112" s="13">
        <v>43514</v>
      </c>
      <c r="P112" t="s">
        <v>8724</v>
      </c>
    </row>
    <row r="113" spans="1:16" x14ac:dyDescent="0.15">
      <c r="A113" s="5" t="s">
        <v>1351</v>
      </c>
      <c r="B113" s="5" t="s">
        <v>1562</v>
      </c>
      <c r="C113" s="5" t="s">
        <v>1566</v>
      </c>
      <c r="D113" s="5" t="s">
        <v>1695</v>
      </c>
      <c r="E113" s="5" t="s">
        <v>35</v>
      </c>
      <c r="F113" s="12">
        <v>43605.590127314812</v>
      </c>
      <c r="G113" t="s">
        <v>8727</v>
      </c>
      <c r="H113" s="5" t="s">
        <v>1354</v>
      </c>
      <c r="I113" s="6">
        <v>3900</v>
      </c>
      <c r="J113" s="5" t="s">
        <v>15</v>
      </c>
      <c r="K113" s="6">
        <v>1.73</v>
      </c>
      <c r="L113" s="6">
        <v>6747</v>
      </c>
      <c r="M113" s="5" t="s">
        <v>1557</v>
      </c>
      <c r="N113" s="5" t="s">
        <v>1558</v>
      </c>
      <c r="O113" s="13">
        <v>43612</v>
      </c>
      <c r="P113" t="s">
        <v>8727</v>
      </c>
    </row>
    <row r="114" spans="1:16" x14ac:dyDescent="0.15">
      <c r="A114" s="5" t="s">
        <v>1386</v>
      </c>
      <c r="B114" s="5" t="s">
        <v>1562</v>
      </c>
      <c r="C114" s="5" t="s">
        <v>1566</v>
      </c>
      <c r="D114" s="5" t="s">
        <v>1695</v>
      </c>
      <c r="E114" s="5" t="s">
        <v>35</v>
      </c>
      <c r="F114" s="12">
        <v>43725.863900462966</v>
      </c>
      <c r="G114" t="s">
        <v>8731</v>
      </c>
      <c r="H114" s="5" t="s">
        <v>1389</v>
      </c>
      <c r="I114" s="6">
        <v>3900</v>
      </c>
      <c r="J114" s="5" t="s">
        <v>15</v>
      </c>
      <c r="K114" s="6">
        <v>1.7100000000000002</v>
      </c>
      <c r="L114" s="6">
        <v>6669</v>
      </c>
      <c r="M114" s="5" t="s">
        <v>1557</v>
      </c>
      <c r="N114" s="5" t="s">
        <v>1558</v>
      </c>
      <c r="O114" s="13">
        <v>43739</v>
      </c>
      <c r="P114" t="s">
        <v>8732</v>
      </c>
    </row>
    <row r="115" spans="1:16" x14ac:dyDescent="0.15">
      <c r="A115" s="5" t="s">
        <v>1394</v>
      </c>
      <c r="B115" s="5" t="s">
        <v>1562</v>
      </c>
      <c r="C115" s="5" t="s">
        <v>1566</v>
      </c>
      <c r="D115" s="5" t="s">
        <v>1696</v>
      </c>
      <c r="E115" s="5" t="s">
        <v>35</v>
      </c>
      <c r="F115" s="12">
        <v>43551.983113425929</v>
      </c>
      <c r="G115" t="s">
        <v>8725</v>
      </c>
      <c r="H115" s="5" t="s">
        <v>1395</v>
      </c>
      <c r="I115" s="6">
        <v>5850</v>
      </c>
      <c r="J115" s="5" t="s">
        <v>15</v>
      </c>
      <c r="K115" s="6">
        <v>1.73</v>
      </c>
      <c r="L115" s="6">
        <v>10120.5</v>
      </c>
      <c r="M115" s="5" t="s">
        <v>1557</v>
      </c>
      <c r="N115" s="5" t="s">
        <v>1558</v>
      </c>
      <c r="O115" s="13">
        <v>43556</v>
      </c>
      <c r="P115" t="s">
        <v>8726</v>
      </c>
    </row>
    <row r="116" spans="1:16" x14ac:dyDescent="0.15">
      <c r="A116" s="5" t="s">
        <v>1398</v>
      </c>
      <c r="B116" s="5" t="s">
        <v>1562</v>
      </c>
      <c r="C116" s="5" t="s">
        <v>1566</v>
      </c>
      <c r="D116" s="5" t="s">
        <v>1696</v>
      </c>
      <c r="E116" s="5" t="s">
        <v>35</v>
      </c>
      <c r="F116" s="12">
        <v>43668.553067129629</v>
      </c>
      <c r="G116" t="s">
        <v>8729</v>
      </c>
      <c r="H116" s="5" t="s">
        <v>1402</v>
      </c>
      <c r="I116" s="6">
        <v>7800</v>
      </c>
      <c r="J116" s="5" t="s">
        <v>15</v>
      </c>
      <c r="K116" s="6">
        <v>1.73</v>
      </c>
      <c r="L116" s="6">
        <v>13494</v>
      </c>
      <c r="M116" s="5" t="s">
        <v>1557</v>
      </c>
      <c r="N116" s="5" t="s">
        <v>1558</v>
      </c>
      <c r="O116" s="13">
        <v>43724</v>
      </c>
      <c r="P116" t="s">
        <v>8731</v>
      </c>
    </row>
    <row r="117" spans="1:16" x14ac:dyDescent="0.15">
      <c r="A117" s="5" t="s">
        <v>1463</v>
      </c>
      <c r="B117" s="5" t="s">
        <v>1562</v>
      </c>
      <c r="C117" s="5" t="s">
        <v>1566</v>
      </c>
      <c r="D117" s="5" t="s">
        <v>1697</v>
      </c>
      <c r="E117" s="5" t="s">
        <v>35</v>
      </c>
      <c r="F117" s="12">
        <v>43741.812523148146</v>
      </c>
      <c r="G117" t="s">
        <v>8732</v>
      </c>
      <c r="H117" s="5" t="s">
        <v>1466</v>
      </c>
      <c r="I117" s="6">
        <v>5850</v>
      </c>
      <c r="J117" s="5" t="s">
        <v>15</v>
      </c>
      <c r="K117" s="6">
        <v>1.7100000000000002</v>
      </c>
      <c r="L117" s="6">
        <v>10003.5</v>
      </c>
      <c r="M117" s="5" t="s">
        <v>1557</v>
      </c>
      <c r="N117" s="5" t="s">
        <v>1558</v>
      </c>
      <c r="O117" s="13">
        <v>43749</v>
      </c>
      <c r="P117" t="s">
        <v>8732</v>
      </c>
    </row>
    <row r="118" spans="1:16" x14ac:dyDescent="0.15">
      <c r="A118" s="5" t="s">
        <v>1473</v>
      </c>
      <c r="B118" s="5" t="s">
        <v>1562</v>
      </c>
      <c r="C118" s="5" t="s">
        <v>1566</v>
      </c>
      <c r="D118" s="5" t="s">
        <v>1703</v>
      </c>
      <c r="E118" s="5" t="s">
        <v>35</v>
      </c>
      <c r="F118" s="12">
        <v>43539.956076388888</v>
      </c>
      <c r="G118" t="s">
        <v>8725</v>
      </c>
      <c r="H118" s="5" t="s">
        <v>1474</v>
      </c>
      <c r="I118" s="6">
        <v>1170</v>
      </c>
      <c r="J118" s="5" t="s">
        <v>15</v>
      </c>
      <c r="K118" s="6">
        <v>1.73</v>
      </c>
      <c r="L118" s="6">
        <v>2024.1</v>
      </c>
      <c r="M118" s="5" t="s">
        <v>1557</v>
      </c>
      <c r="N118" s="5" t="s">
        <v>1558</v>
      </c>
      <c r="O118" s="13">
        <v>43542</v>
      </c>
      <c r="P118" t="s">
        <v>8725</v>
      </c>
    </row>
    <row r="119" spans="1:16" x14ac:dyDescent="0.15">
      <c r="A119" s="5" t="s">
        <v>1475</v>
      </c>
      <c r="B119" s="5" t="s">
        <v>1562</v>
      </c>
      <c r="C119" s="5" t="s">
        <v>1566</v>
      </c>
      <c r="D119" s="5" t="s">
        <v>1703</v>
      </c>
      <c r="E119" s="5" t="s">
        <v>35</v>
      </c>
      <c r="F119" s="12">
        <v>43557.779861111114</v>
      </c>
      <c r="G119" t="s">
        <v>8726</v>
      </c>
      <c r="H119" s="5" t="s">
        <v>1476</v>
      </c>
      <c r="I119" s="6">
        <v>6145</v>
      </c>
      <c r="J119" s="5" t="s">
        <v>15</v>
      </c>
      <c r="K119" s="6">
        <v>1.73</v>
      </c>
      <c r="L119" s="6">
        <v>10630.85</v>
      </c>
      <c r="M119" s="5" t="s">
        <v>1557</v>
      </c>
      <c r="N119" s="5" t="s">
        <v>1558</v>
      </c>
      <c r="O119" s="13">
        <v>43563</v>
      </c>
      <c r="P119" t="s">
        <v>8726</v>
      </c>
    </row>
    <row r="120" spans="1:16" x14ac:dyDescent="0.15">
      <c r="A120" s="5" t="s">
        <v>1478</v>
      </c>
      <c r="B120" s="5" t="s">
        <v>1562</v>
      </c>
      <c r="C120" s="5" t="s">
        <v>1566</v>
      </c>
      <c r="D120" s="5" t="s">
        <v>1703</v>
      </c>
      <c r="E120" s="5" t="s">
        <v>35</v>
      </c>
      <c r="F120" s="12">
        <v>43675.860219907408</v>
      </c>
      <c r="G120" t="s">
        <v>8729</v>
      </c>
      <c r="H120" s="5" t="s">
        <v>1479</v>
      </c>
      <c r="I120" s="6">
        <v>4095</v>
      </c>
      <c r="J120" s="5" t="s">
        <v>15</v>
      </c>
      <c r="K120" s="6">
        <v>1.73</v>
      </c>
      <c r="L120" s="6">
        <v>7084.35</v>
      </c>
      <c r="M120" s="5" t="s">
        <v>1557</v>
      </c>
      <c r="N120" s="5" t="s">
        <v>1558</v>
      </c>
      <c r="O120" s="13">
        <v>43698</v>
      </c>
      <c r="P120" t="s">
        <v>8730</v>
      </c>
    </row>
    <row r="121" spans="1:16" x14ac:dyDescent="0.15">
      <c r="A121" s="5" t="s">
        <v>1484</v>
      </c>
      <c r="B121" s="5" t="s">
        <v>1562</v>
      </c>
      <c r="C121" s="5" t="s">
        <v>1567</v>
      </c>
      <c r="D121" s="5" t="s">
        <v>1704</v>
      </c>
      <c r="E121" s="5" t="s">
        <v>35</v>
      </c>
      <c r="F121" s="12">
        <v>43474.715300925927</v>
      </c>
      <c r="G121" t="s">
        <v>8733</v>
      </c>
      <c r="H121" s="5" t="s">
        <v>1485</v>
      </c>
      <c r="I121" s="6">
        <v>7020</v>
      </c>
      <c r="J121" s="5" t="s">
        <v>15</v>
      </c>
      <c r="K121" s="6">
        <v>1.7</v>
      </c>
      <c r="L121" s="6">
        <v>11934</v>
      </c>
      <c r="M121" s="5" t="s">
        <v>1557</v>
      </c>
      <c r="N121" s="5" t="s">
        <v>1558</v>
      </c>
      <c r="O121" s="13">
        <v>43479</v>
      </c>
      <c r="P121" t="s">
        <v>8733</v>
      </c>
    </row>
    <row r="122" spans="1:16" x14ac:dyDescent="0.15">
      <c r="A122" s="5" t="s">
        <v>1486</v>
      </c>
      <c r="B122" s="5" t="s">
        <v>1562</v>
      </c>
      <c r="C122" s="5" t="s">
        <v>1567</v>
      </c>
      <c r="D122" s="5" t="s">
        <v>1698</v>
      </c>
      <c r="E122" s="5" t="s">
        <v>35</v>
      </c>
      <c r="F122" s="12">
        <v>43549.739803240744</v>
      </c>
      <c r="G122" t="s">
        <v>8725</v>
      </c>
      <c r="H122" s="5" t="s">
        <v>1487</v>
      </c>
      <c r="I122" s="6">
        <v>5850</v>
      </c>
      <c r="J122" s="5" t="s">
        <v>15</v>
      </c>
      <c r="K122" s="6">
        <v>1.73</v>
      </c>
      <c r="L122" s="6">
        <v>10120.5</v>
      </c>
      <c r="M122" s="5" t="s">
        <v>1557</v>
      </c>
      <c r="N122" s="5" t="s">
        <v>1558</v>
      </c>
      <c r="O122" s="13">
        <v>43556</v>
      </c>
      <c r="P122" t="s">
        <v>8726</v>
      </c>
    </row>
    <row r="123" spans="1:16" x14ac:dyDescent="0.15">
      <c r="A123" s="5" t="s">
        <v>1496</v>
      </c>
      <c r="B123" s="5" t="s">
        <v>1562</v>
      </c>
      <c r="C123" s="5" t="s">
        <v>1567</v>
      </c>
      <c r="D123" s="5" t="s">
        <v>1698</v>
      </c>
      <c r="E123" s="5" t="s">
        <v>35</v>
      </c>
      <c r="F123" s="12">
        <v>43613.954976851855</v>
      </c>
      <c r="G123" t="s">
        <v>8727</v>
      </c>
      <c r="H123" s="5" t="s">
        <v>1497</v>
      </c>
      <c r="I123" s="6">
        <v>11700</v>
      </c>
      <c r="J123" s="5" t="s">
        <v>15</v>
      </c>
      <c r="K123" s="6">
        <v>1.73</v>
      </c>
      <c r="L123" s="6">
        <v>20241</v>
      </c>
      <c r="M123" s="5" t="s">
        <v>1557</v>
      </c>
      <c r="N123" s="5" t="s">
        <v>1558</v>
      </c>
      <c r="O123" s="13">
        <v>43619</v>
      </c>
      <c r="P123" t="s">
        <v>8728</v>
      </c>
    </row>
    <row r="124" spans="1:16" x14ac:dyDescent="0.15">
      <c r="A124" s="5" t="s">
        <v>1498</v>
      </c>
      <c r="B124" s="5" t="s">
        <v>1562</v>
      </c>
      <c r="C124" s="5" t="s">
        <v>1567</v>
      </c>
      <c r="D124" s="5" t="s">
        <v>1698</v>
      </c>
      <c r="E124" s="5" t="s">
        <v>35</v>
      </c>
      <c r="F124" s="12">
        <v>43635.68105324074</v>
      </c>
      <c r="G124" t="s">
        <v>8728</v>
      </c>
      <c r="H124" s="5" t="s">
        <v>1501</v>
      </c>
      <c r="I124" s="6">
        <v>5850</v>
      </c>
      <c r="J124" s="5" t="s">
        <v>15</v>
      </c>
      <c r="K124" s="6">
        <v>1.73</v>
      </c>
      <c r="L124" s="6">
        <v>10120.5</v>
      </c>
      <c r="M124" s="5" t="s">
        <v>1557</v>
      </c>
      <c r="N124" s="5" t="s">
        <v>1558</v>
      </c>
      <c r="O124" s="13">
        <v>43654</v>
      </c>
      <c r="P124" t="s">
        <v>8729</v>
      </c>
    </row>
    <row r="125" spans="1:16" x14ac:dyDescent="0.15">
      <c r="A125" s="5" t="s">
        <v>1503</v>
      </c>
      <c r="B125" s="5" t="s">
        <v>1562</v>
      </c>
      <c r="C125" s="5" t="s">
        <v>1567</v>
      </c>
      <c r="D125" s="5" t="s">
        <v>1698</v>
      </c>
      <c r="E125" s="5" t="s">
        <v>35</v>
      </c>
      <c r="F125" s="12">
        <v>43669.713680555556</v>
      </c>
      <c r="G125" t="s">
        <v>8729</v>
      </c>
      <c r="H125" s="5" t="s">
        <v>1506</v>
      </c>
      <c r="I125" s="6">
        <v>3900</v>
      </c>
      <c r="J125" s="5" t="s">
        <v>15</v>
      </c>
      <c r="K125" s="6">
        <v>1.73</v>
      </c>
      <c r="L125" s="6">
        <v>6747</v>
      </c>
      <c r="M125" s="5" t="s">
        <v>1557</v>
      </c>
      <c r="N125" s="5" t="s">
        <v>1558</v>
      </c>
      <c r="O125" s="13">
        <v>43685</v>
      </c>
      <c r="P125" t="s">
        <v>8730</v>
      </c>
    </row>
    <row r="126" spans="1:16" x14ac:dyDescent="0.15">
      <c r="A126" s="5" t="s">
        <v>1512</v>
      </c>
      <c r="B126" s="5" t="s">
        <v>1562</v>
      </c>
      <c r="C126" s="5" t="s">
        <v>1567</v>
      </c>
      <c r="D126" s="5" t="s">
        <v>1698</v>
      </c>
      <c r="E126" s="5" t="s">
        <v>35</v>
      </c>
      <c r="F126" s="12">
        <v>43698.834490740737</v>
      </c>
      <c r="G126" t="s">
        <v>8730</v>
      </c>
      <c r="H126" s="5" t="s">
        <v>1514</v>
      </c>
      <c r="I126" s="6">
        <v>9750</v>
      </c>
      <c r="J126" s="5" t="s">
        <v>15</v>
      </c>
      <c r="K126" s="6">
        <v>1.73</v>
      </c>
      <c r="L126" s="6">
        <v>16867.5</v>
      </c>
      <c r="M126" s="5" t="s">
        <v>1557</v>
      </c>
      <c r="N126" s="5" t="s">
        <v>1558</v>
      </c>
      <c r="O126" s="13">
        <v>43717</v>
      </c>
      <c r="P126" t="s">
        <v>8731</v>
      </c>
    </row>
    <row r="127" spans="1:16" x14ac:dyDescent="0.15">
      <c r="A127" s="5" t="s">
        <v>1559</v>
      </c>
      <c r="B127" s="5" t="s">
        <v>1562</v>
      </c>
      <c r="C127" s="5" t="s">
        <v>1567</v>
      </c>
      <c r="D127" s="5" t="s">
        <v>1698</v>
      </c>
      <c r="E127" s="5" t="s">
        <v>35</v>
      </c>
      <c r="F127" s="12">
        <v>43808.875231481485</v>
      </c>
      <c r="G127" t="s">
        <v>8735</v>
      </c>
      <c r="H127" s="5" t="s">
        <v>1710</v>
      </c>
      <c r="I127" s="6">
        <v>9750</v>
      </c>
      <c r="J127" s="5" t="s">
        <v>15</v>
      </c>
      <c r="K127" s="6">
        <v>1.7100000000000002</v>
      </c>
      <c r="L127" s="6">
        <v>16672.5</v>
      </c>
      <c r="M127" s="5" t="s">
        <v>1557</v>
      </c>
      <c r="N127" s="5" t="s">
        <v>1558</v>
      </c>
      <c r="O127" s="13">
        <v>43847</v>
      </c>
      <c r="P127" t="s">
        <v>8736</v>
      </c>
    </row>
    <row r="128" spans="1:16" x14ac:dyDescent="0.15">
      <c r="A128" s="5" t="s">
        <v>1516</v>
      </c>
      <c r="B128" s="5" t="s">
        <v>1562</v>
      </c>
      <c r="C128" s="5" t="s">
        <v>1567</v>
      </c>
      <c r="D128" s="5" t="s">
        <v>1702</v>
      </c>
      <c r="E128" s="5" t="s">
        <v>35</v>
      </c>
      <c r="F128" s="12">
        <v>43507.971134259256</v>
      </c>
      <c r="G128" t="s">
        <v>8724</v>
      </c>
      <c r="H128" s="5" t="s">
        <v>1518</v>
      </c>
      <c r="I128" s="6">
        <v>3900</v>
      </c>
      <c r="J128" s="5" t="s">
        <v>15</v>
      </c>
      <c r="K128" s="6">
        <v>1.7</v>
      </c>
      <c r="L128" s="6">
        <v>6630</v>
      </c>
      <c r="M128" s="5" t="s">
        <v>1557</v>
      </c>
      <c r="N128" s="5" t="s">
        <v>1558</v>
      </c>
      <c r="O128" s="13">
        <v>43509</v>
      </c>
      <c r="P128" t="s">
        <v>8724</v>
      </c>
    </row>
    <row r="129" spans="1:16" x14ac:dyDescent="0.15">
      <c r="A129" s="5" t="s">
        <v>273</v>
      </c>
      <c r="B129" s="5" t="s">
        <v>1563</v>
      </c>
      <c r="C129" s="5" t="s">
        <v>1595</v>
      </c>
      <c r="D129" s="5" t="s">
        <v>1693</v>
      </c>
      <c r="E129" s="5" t="s">
        <v>35</v>
      </c>
      <c r="F129" s="12">
        <v>43479.658032407409</v>
      </c>
      <c r="G129" t="s">
        <v>8733</v>
      </c>
      <c r="H129" s="5" t="s">
        <v>274</v>
      </c>
      <c r="I129" s="6">
        <v>1365</v>
      </c>
      <c r="J129" s="5" t="s">
        <v>15</v>
      </c>
      <c r="K129" s="6">
        <v>18</v>
      </c>
      <c r="L129" s="6">
        <v>24570</v>
      </c>
      <c r="M129" s="5" t="s">
        <v>1560</v>
      </c>
      <c r="N129" s="5" t="s">
        <v>1558</v>
      </c>
      <c r="O129" s="13">
        <v>43475</v>
      </c>
      <c r="P129" t="s">
        <v>8733</v>
      </c>
    </row>
    <row r="130" spans="1:16" x14ac:dyDescent="0.15">
      <c r="A130" s="5" t="s">
        <v>288</v>
      </c>
      <c r="B130" s="5" t="s">
        <v>1563</v>
      </c>
      <c r="C130" s="5" t="s">
        <v>1569</v>
      </c>
      <c r="D130" s="5" t="s">
        <v>1693</v>
      </c>
      <c r="E130" s="5" t="s">
        <v>35</v>
      </c>
      <c r="F130" s="12">
        <v>43517.729143518518</v>
      </c>
      <c r="G130" t="s">
        <v>8724</v>
      </c>
      <c r="H130" s="5" t="s">
        <v>289</v>
      </c>
      <c r="I130" s="6">
        <v>390</v>
      </c>
      <c r="J130" s="5" t="s">
        <v>15</v>
      </c>
      <c r="K130" s="6">
        <v>19</v>
      </c>
      <c r="L130" s="6">
        <v>7410</v>
      </c>
      <c r="M130" s="5" t="s">
        <v>1560</v>
      </c>
      <c r="N130" s="5" t="s">
        <v>1558</v>
      </c>
      <c r="O130" s="13">
        <v>43517</v>
      </c>
      <c r="P130" t="s">
        <v>8724</v>
      </c>
    </row>
    <row r="131" spans="1:16" x14ac:dyDescent="0.15">
      <c r="A131" s="5" t="s">
        <v>290</v>
      </c>
      <c r="B131" s="5" t="s">
        <v>1563</v>
      </c>
      <c r="C131" s="5" t="s">
        <v>1571</v>
      </c>
      <c r="D131" s="5" t="s">
        <v>1693</v>
      </c>
      <c r="E131" s="5" t="s">
        <v>35</v>
      </c>
      <c r="F131" s="12">
        <v>43518.853182870371</v>
      </c>
      <c r="G131" t="s">
        <v>8724</v>
      </c>
      <c r="H131" s="5" t="s">
        <v>291</v>
      </c>
      <c r="I131" s="6">
        <v>292.5</v>
      </c>
      <c r="J131" s="5" t="s">
        <v>15</v>
      </c>
      <c r="K131" s="6">
        <v>19.34</v>
      </c>
      <c r="L131" s="6">
        <v>5656.95</v>
      </c>
      <c r="M131" s="5" t="s">
        <v>1560</v>
      </c>
      <c r="N131" s="5" t="s">
        <v>1558</v>
      </c>
      <c r="O131" s="13">
        <v>43518</v>
      </c>
      <c r="P131" t="s">
        <v>8724</v>
      </c>
    </row>
    <row r="132" spans="1:16" x14ac:dyDescent="0.15">
      <c r="A132" s="5" t="s">
        <v>292</v>
      </c>
      <c r="B132" s="5" t="s">
        <v>1563</v>
      </c>
      <c r="C132" s="5" t="s">
        <v>1596</v>
      </c>
      <c r="D132" s="5" t="s">
        <v>1693</v>
      </c>
      <c r="E132" s="5" t="s">
        <v>35</v>
      </c>
      <c r="F132" s="12">
        <v>43521.673877314817</v>
      </c>
      <c r="G132" t="s">
        <v>8724</v>
      </c>
      <c r="H132" s="5" t="s">
        <v>293</v>
      </c>
      <c r="I132" s="6">
        <v>1170</v>
      </c>
      <c r="J132" s="5" t="s">
        <v>15</v>
      </c>
      <c r="K132" s="6">
        <v>18</v>
      </c>
      <c r="L132" s="6">
        <v>21060</v>
      </c>
      <c r="M132" s="5" t="s">
        <v>1560</v>
      </c>
      <c r="N132" s="5" t="s">
        <v>1558</v>
      </c>
      <c r="O132" s="13">
        <v>43521</v>
      </c>
      <c r="P132" t="s">
        <v>8724</v>
      </c>
    </row>
    <row r="133" spans="1:16" x14ac:dyDescent="0.15">
      <c r="A133" s="5" t="s">
        <v>294</v>
      </c>
      <c r="B133" s="5" t="s">
        <v>1563</v>
      </c>
      <c r="C133" s="5" t="s">
        <v>1568</v>
      </c>
      <c r="D133" s="5" t="s">
        <v>1693</v>
      </c>
      <c r="E133" s="5" t="s">
        <v>35</v>
      </c>
      <c r="F133" s="12">
        <v>43528.822962962964</v>
      </c>
      <c r="G133" t="s">
        <v>8725</v>
      </c>
      <c r="H133" s="5" t="s">
        <v>297</v>
      </c>
      <c r="I133" s="6">
        <v>3900</v>
      </c>
      <c r="J133" s="5" t="s">
        <v>15</v>
      </c>
      <c r="K133" s="6">
        <v>17</v>
      </c>
      <c r="L133" s="6">
        <v>66300</v>
      </c>
      <c r="M133" s="5" t="s">
        <v>1560</v>
      </c>
      <c r="N133" s="5" t="s">
        <v>1558</v>
      </c>
      <c r="O133" s="13">
        <v>43529</v>
      </c>
      <c r="P133" t="s">
        <v>8725</v>
      </c>
    </row>
    <row r="134" spans="1:16" x14ac:dyDescent="0.15">
      <c r="A134" s="5" t="s">
        <v>312</v>
      </c>
      <c r="B134" s="5" t="s">
        <v>1563</v>
      </c>
      <c r="C134" s="5" t="s">
        <v>1572</v>
      </c>
      <c r="D134" s="5" t="s">
        <v>1693</v>
      </c>
      <c r="E134" s="5" t="s">
        <v>35</v>
      </c>
      <c r="F134" s="12">
        <v>43542.834629629629</v>
      </c>
      <c r="G134" t="s">
        <v>8725</v>
      </c>
      <c r="H134" s="5" t="s">
        <v>313</v>
      </c>
      <c r="I134" s="6">
        <v>10042.5</v>
      </c>
      <c r="J134" s="5" t="s">
        <v>15</v>
      </c>
      <c r="K134" s="6">
        <v>16</v>
      </c>
      <c r="L134" s="6">
        <v>160680</v>
      </c>
      <c r="M134" s="5" t="s">
        <v>1560</v>
      </c>
      <c r="N134" s="5" t="s">
        <v>1558</v>
      </c>
      <c r="O134" s="13">
        <v>43542</v>
      </c>
      <c r="P134" t="s">
        <v>8725</v>
      </c>
    </row>
    <row r="135" spans="1:16" x14ac:dyDescent="0.15">
      <c r="A135" s="5" t="s">
        <v>314</v>
      </c>
      <c r="B135" s="5" t="s">
        <v>1563</v>
      </c>
      <c r="C135" s="5" t="s">
        <v>1571</v>
      </c>
      <c r="D135" s="5" t="s">
        <v>1693</v>
      </c>
      <c r="E135" s="5" t="s">
        <v>35</v>
      </c>
      <c r="F135" s="12">
        <v>43542.869247685187</v>
      </c>
      <c r="G135" t="s">
        <v>8725</v>
      </c>
      <c r="H135" s="5" t="s">
        <v>315</v>
      </c>
      <c r="I135" s="6">
        <v>22425</v>
      </c>
      <c r="J135" s="5" t="s">
        <v>15</v>
      </c>
      <c r="K135" s="6">
        <v>14</v>
      </c>
      <c r="L135" s="6">
        <v>313950</v>
      </c>
      <c r="M135" s="5" t="s">
        <v>1560</v>
      </c>
      <c r="N135" s="5" t="s">
        <v>1558</v>
      </c>
      <c r="O135" s="13">
        <v>43543</v>
      </c>
      <c r="P135" t="s">
        <v>8725</v>
      </c>
    </row>
    <row r="136" spans="1:16" x14ac:dyDescent="0.15">
      <c r="A136" s="5" t="s">
        <v>320</v>
      </c>
      <c r="B136" s="5" t="s">
        <v>1563</v>
      </c>
      <c r="C136" s="5" t="s">
        <v>1585</v>
      </c>
      <c r="D136" s="5" t="s">
        <v>1693</v>
      </c>
      <c r="E136" s="5" t="s">
        <v>35</v>
      </c>
      <c r="F136" s="12">
        <v>43549.662777777776</v>
      </c>
      <c r="G136" t="s">
        <v>8725</v>
      </c>
      <c r="H136" s="5" t="s">
        <v>321</v>
      </c>
      <c r="I136" s="6">
        <v>2535</v>
      </c>
      <c r="J136" s="5" t="s">
        <v>15</v>
      </c>
      <c r="K136" s="6">
        <v>16</v>
      </c>
      <c r="L136" s="6">
        <v>40560</v>
      </c>
      <c r="M136" s="5" t="s">
        <v>1560</v>
      </c>
      <c r="N136" s="5" t="s">
        <v>1558</v>
      </c>
      <c r="O136" s="13">
        <v>43549</v>
      </c>
      <c r="P136" t="s">
        <v>8725</v>
      </c>
    </row>
    <row r="137" spans="1:16" x14ac:dyDescent="0.15">
      <c r="A137" s="5" t="s">
        <v>331</v>
      </c>
      <c r="B137" s="5" t="s">
        <v>1563</v>
      </c>
      <c r="C137" s="5" t="s">
        <v>1574</v>
      </c>
      <c r="D137" s="5" t="s">
        <v>1693</v>
      </c>
      <c r="E137" s="5" t="s">
        <v>35</v>
      </c>
      <c r="F137" s="12">
        <v>43553.784733796296</v>
      </c>
      <c r="G137" t="s">
        <v>8725</v>
      </c>
      <c r="H137" s="5" t="s">
        <v>332</v>
      </c>
      <c r="I137" s="6">
        <v>2925</v>
      </c>
      <c r="J137" s="5" t="s">
        <v>15</v>
      </c>
      <c r="K137" s="6">
        <v>17.5</v>
      </c>
      <c r="L137" s="6">
        <v>51187.5</v>
      </c>
      <c r="M137" s="5" t="s">
        <v>1560</v>
      </c>
      <c r="N137" s="5" t="s">
        <v>1558</v>
      </c>
      <c r="O137" s="13">
        <v>43553</v>
      </c>
      <c r="P137" t="s">
        <v>8725</v>
      </c>
    </row>
    <row r="138" spans="1:16" x14ac:dyDescent="0.15">
      <c r="A138" s="5" t="s">
        <v>333</v>
      </c>
      <c r="B138" s="5" t="s">
        <v>1563</v>
      </c>
      <c r="C138" s="5" t="s">
        <v>1587</v>
      </c>
      <c r="D138" s="5" t="s">
        <v>1693</v>
      </c>
      <c r="E138" s="5" t="s">
        <v>35</v>
      </c>
      <c r="F138" s="12">
        <v>43556.787962962961</v>
      </c>
      <c r="G138" t="s">
        <v>8726</v>
      </c>
      <c r="H138" s="5" t="s">
        <v>334</v>
      </c>
      <c r="I138" s="6">
        <v>4095</v>
      </c>
      <c r="J138" s="5" t="s">
        <v>15</v>
      </c>
      <c r="K138" s="6">
        <v>17</v>
      </c>
      <c r="L138" s="6">
        <v>69615</v>
      </c>
      <c r="M138" s="5" t="s">
        <v>1560</v>
      </c>
      <c r="N138" s="5" t="s">
        <v>1558</v>
      </c>
      <c r="O138" s="13">
        <v>43556</v>
      </c>
      <c r="P138" t="s">
        <v>8726</v>
      </c>
    </row>
    <row r="139" spans="1:16" x14ac:dyDescent="0.15">
      <c r="A139" s="5" t="s">
        <v>345</v>
      </c>
      <c r="B139" s="5" t="s">
        <v>1563</v>
      </c>
      <c r="C139" s="5" t="s">
        <v>1569</v>
      </c>
      <c r="D139" s="5" t="s">
        <v>1693</v>
      </c>
      <c r="E139" s="5" t="s">
        <v>35</v>
      </c>
      <c r="F139" s="12">
        <v>43564.612812500003</v>
      </c>
      <c r="G139" t="s">
        <v>8726</v>
      </c>
      <c r="H139" s="5" t="s">
        <v>347</v>
      </c>
      <c r="I139" s="6">
        <v>3120</v>
      </c>
      <c r="J139" s="5" t="s">
        <v>15</v>
      </c>
      <c r="K139" s="6">
        <v>18</v>
      </c>
      <c r="L139" s="6">
        <v>56160</v>
      </c>
      <c r="M139" s="5" t="s">
        <v>1560</v>
      </c>
      <c r="N139" s="5" t="s">
        <v>1558</v>
      </c>
      <c r="O139" s="13">
        <v>43563</v>
      </c>
      <c r="P139" t="s">
        <v>8726</v>
      </c>
    </row>
    <row r="140" spans="1:16" x14ac:dyDescent="0.15">
      <c r="A140" s="5" t="s">
        <v>348</v>
      </c>
      <c r="B140" s="5" t="s">
        <v>1563</v>
      </c>
      <c r="C140" s="5" t="s">
        <v>1597</v>
      </c>
      <c r="D140" s="5" t="s">
        <v>1693</v>
      </c>
      <c r="E140" s="5" t="s">
        <v>35</v>
      </c>
      <c r="F140" s="12">
        <v>43564.615023148152</v>
      </c>
      <c r="G140" t="s">
        <v>8726</v>
      </c>
      <c r="H140" s="5" t="s">
        <v>349</v>
      </c>
      <c r="I140" s="6">
        <v>585</v>
      </c>
      <c r="J140" s="5" t="s">
        <v>15</v>
      </c>
      <c r="K140" s="6">
        <v>18.329999999999998</v>
      </c>
      <c r="L140" s="6">
        <v>10723.05</v>
      </c>
      <c r="M140" s="5" t="s">
        <v>1560</v>
      </c>
      <c r="N140" s="5" t="s">
        <v>1558</v>
      </c>
      <c r="O140" s="13">
        <v>43563</v>
      </c>
      <c r="P140" t="s">
        <v>8726</v>
      </c>
    </row>
    <row r="141" spans="1:16" x14ac:dyDescent="0.15">
      <c r="A141" s="5" t="s">
        <v>353</v>
      </c>
      <c r="B141" s="5" t="s">
        <v>1563</v>
      </c>
      <c r="C141" s="5" t="s">
        <v>1598</v>
      </c>
      <c r="D141" s="5" t="s">
        <v>1693</v>
      </c>
      <c r="E141" s="5" t="s">
        <v>35</v>
      </c>
      <c r="F141" s="12">
        <v>43567.581365740742</v>
      </c>
      <c r="G141" t="s">
        <v>8726</v>
      </c>
      <c r="H141" s="5" t="s">
        <v>354</v>
      </c>
      <c r="I141" s="6">
        <v>487.5</v>
      </c>
      <c r="J141" s="5" t="s">
        <v>15</v>
      </c>
      <c r="K141" s="6">
        <v>19.3</v>
      </c>
      <c r="L141" s="6">
        <v>9408.75</v>
      </c>
      <c r="M141" s="5" t="s">
        <v>1560</v>
      </c>
      <c r="N141" s="5" t="s">
        <v>1558</v>
      </c>
      <c r="O141" s="13">
        <v>43567</v>
      </c>
      <c r="P141" t="s">
        <v>8726</v>
      </c>
    </row>
    <row r="142" spans="1:16" x14ac:dyDescent="0.15">
      <c r="A142" s="5" t="s">
        <v>371</v>
      </c>
      <c r="B142" s="5" t="s">
        <v>1563</v>
      </c>
      <c r="C142" s="5" t="s">
        <v>1599</v>
      </c>
      <c r="D142" s="5" t="s">
        <v>1693</v>
      </c>
      <c r="E142" s="5" t="s">
        <v>35</v>
      </c>
      <c r="F142" s="12">
        <v>43571.855879629627</v>
      </c>
      <c r="G142" t="s">
        <v>8726</v>
      </c>
      <c r="H142" s="5" t="s">
        <v>372</v>
      </c>
      <c r="I142" s="6">
        <v>50700</v>
      </c>
      <c r="J142" s="5" t="s">
        <v>15</v>
      </c>
      <c r="K142" s="6">
        <v>16.2</v>
      </c>
      <c r="L142" s="6">
        <v>821340</v>
      </c>
      <c r="M142" s="5" t="s">
        <v>1560</v>
      </c>
      <c r="N142" s="5" t="s">
        <v>1558</v>
      </c>
      <c r="O142" s="13">
        <v>43571</v>
      </c>
      <c r="P142" t="s">
        <v>8726</v>
      </c>
    </row>
    <row r="143" spans="1:16" x14ac:dyDescent="0.15">
      <c r="A143" s="5" t="s">
        <v>378</v>
      </c>
      <c r="B143" s="5" t="s">
        <v>1563</v>
      </c>
      <c r="C143" s="5" t="s">
        <v>1570</v>
      </c>
      <c r="D143" s="5" t="s">
        <v>1693</v>
      </c>
      <c r="E143" s="5" t="s">
        <v>35</v>
      </c>
      <c r="F143" s="12">
        <v>43571.872777777775</v>
      </c>
      <c r="G143" t="s">
        <v>8726</v>
      </c>
      <c r="H143" s="5" t="s">
        <v>380</v>
      </c>
      <c r="I143" s="6">
        <v>2340</v>
      </c>
      <c r="J143" s="5" t="s">
        <v>15</v>
      </c>
      <c r="K143" s="6">
        <v>18</v>
      </c>
      <c r="L143" s="6">
        <v>42120</v>
      </c>
      <c r="M143" s="5" t="s">
        <v>1560</v>
      </c>
      <c r="N143" s="5" t="s">
        <v>1558</v>
      </c>
      <c r="O143" s="13">
        <v>43570</v>
      </c>
      <c r="P143" t="s">
        <v>8726</v>
      </c>
    </row>
    <row r="144" spans="1:16" x14ac:dyDescent="0.15">
      <c r="A144" s="5" t="s">
        <v>383</v>
      </c>
      <c r="B144" s="5" t="s">
        <v>1563</v>
      </c>
      <c r="C144" s="5" t="s">
        <v>1573</v>
      </c>
      <c r="D144" s="5" t="s">
        <v>1693</v>
      </c>
      <c r="E144" s="5" t="s">
        <v>35</v>
      </c>
      <c r="F144" s="12">
        <v>43573.596539351849</v>
      </c>
      <c r="G144" t="s">
        <v>8726</v>
      </c>
      <c r="H144" s="5" t="s">
        <v>384</v>
      </c>
      <c r="I144" s="6">
        <v>1267.5</v>
      </c>
      <c r="J144" s="5" t="s">
        <v>15</v>
      </c>
      <c r="K144" s="6">
        <v>18</v>
      </c>
      <c r="L144" s="6">
        <v>22815</v>
      </c>
      <c r="M144" s="5" t="s">
        <v>1560</v>
      </c>
      <c r="N144" s="5" t="s">
        <v>1558</v>
      </c>
      <c r="O144" s="13">
        <v>43572</v>
      </c>
      <c r="P144" t="s">
        <v>8726</v>
      </c>
    </row>
    <row r="145" spans="1:16" x14ac:dyDescent="0.15">
      <c r="A145" s="5" t="s">
        <v>386</v>
      </c>
      <c r="B145" s="5" t="s">
        <v>1563</v>
      </c>
      <c r="C145" s="5" t="s">
        <v>1600</v>
      </c>
      <c r="D145" s="5" t="s">
        <v>1693</v>
      </c>
      <c r="E145" s="5" t="s">
        <v>35</v>
      </c>
      <c r="F145" s="12">
        <v>43591.59710648148</v>
      </c>
      <c r="G145" t="s">
        <v>8727</v>
      </c>
      <c r="H145" s="5" t="s">
        <v>387</v>
      </c>
      <c r="I145" s="6">
        <v>1950</v>
      </c>
      <c r="J145" s="5" t="s">
        <v>15</v>
      </c>
      <c r="K145" s="6">
        <v>6</v>
      </c>
      <c r="L145" s="6">
        <v>11700</v>
      </c>
      <c r="M145" s="5" t="s">
        <v>1560</v>
      </c>
      <c r="N145" s="5" t="s">
        <v>1558</v>
      </c>
      <c r="O145" s="13">
        <v>43591</v>
      </c>
      <c r="P145" t="s">
        <v>8727</v>
      </c>
    </row>
    <row r="146" spans="1:16" x14ac:dyDescent="0.15">
      <c r="A146" s="5" t="s">
        <v>389</v>
      </c>
      <c r="B146" s="5" t="s">
        <v>1563</v>
      </c>
      <c r="C146" s="5" t="s">
        <v>1577</v>
      </c>
      <c r="D146" s="5" t="s">
        <v>1693</v>
      </c>
      <c r="E146" s="5" t="s">
        <v>35</v>
      </c>
      <c r="F146" s="12">
        <v>43591.626793981479</v>
      </c>
      <c r="G146" t="s">
        <v>8727</v>
      </c>
      <c r="H146" s="5" t="s">
        <v>390</v>
      </c>
      <c r="I146" s="6">
        <v>292.5</v>
      </c>
      <c r="J146" s="5" t="s">
        <v>15</v>
      </c>
      <c r="K146" s="6">
        <v>18</v>
      </c>
      <c r="L146" s="6">
        <v>5265</v>
      </c>
      <c r="M146" s="5" t="s">
        <v>1560</v>
      </c>
      <c r="N146" s="5" t="s">
        <v>1558</v>
      </c>
      <c r="O146" s="13">
        <v>43591</v>
      </c>
      <c r="P146" t="s">
        <v>8727</v>
      </c>
    </row>
    <row r="147" spans="1:16" x14ac:dyDescent="0.15">
      <c r="A147" s="5" t="s">
        <v>394</v>
      </c>
      <c r="B147" s="5" t="s">
        <v>1563</v>
      </c>
      <c r="C147" s="5" t="s">
        <v>1571</v>
      </c>
      <c r="D147" s="5" t="s">
        <v>1693</v>
      </c>
      <c r="E147" s="5" t="s">
        <v>35</v>
      </c>
      <c r="F147" s="12">
        <v>43592.651388888888</v>
      </c>
      <c r="G147" t="s">
        <v>8727</v>
      </c>
      <c r="H147" s="5" t="s">
        <v>396</v>
      </c>
      <c r="I147" s="6">
        <v>19500</v>
      </c>
      <c r="J147" s="5" t="s">
        <v>15</v>
      </c>
      <c r="K147" s="6">
        <v>14</v>
      </c>
      <c r="L147" s="6">
        <v>273000</v>
      </c>
      <c r="M147" s="5" t="s">
        <v>1560</v>
      </c>
      <c r="N147" s="5" t="s">
        <v>1558</v>
      </c>
      <c r="O147" s="13">
        <v>43591</v>
      </c>
      <c r="P147" t="s">
        <v>8727</v>
      </c>
    </row>
    <row r="148" spans="1:16" x14ac:dyDescent="0.15">
      <c r="A148" s="5" t="s">
        <v>399</v>
      </c>
      <c r="B148" s="5" t="s">
        <v>1563</v>
      </c>
      <c r="C148" s="5" t="s">
        <v>1600</v>
      </c>
      <c r="D148" s="5" t="s">
        <v>1693</v>
      </c>
      <c r="E148" s="5" t="s">
        <v>35</v>
      </c>
      <c r="F148" s="12">
        <v>43592.836643518516</v>
      </c>
      <c r="G148" t="s">
        <v>8727</v>
      </c>
      <c r="H148" s="5" t="s">
        <v>400</v>
      </c>
      <c r="I148" s="6">
        <v>-1950</v>
      </c>
      <c r="J148" s="5" t="s">
        <v>15</v>
      </c>
      <c r="K148" s="6">
        <v>6</v>
      </c>
      <c r="L148" s="6">
        <v>-11700</v>
      </c>
      <c r="M148" s="5" t="s">
        <v>1560</v>
      </c>
      <c r="N148" s="5" t="s">
        <v>1558</v>
      </c>
      <c r="O148" s="13">
        <v>43591</v>
      </c>
      <c r="P148" t="s">
        <v>8727</v>
      </c>
    </row>
    <row r="149" spans="1:16" x14ac:dyDescent="0.15">
      <c r="A149" s="5" t="s">
        <v>402</v>
      </c>
      <c r="B149" s="5" t="s">
        <v>1563</v>
      </c>
      <c r="C149" s="5" t="s">
        <v>1600</v>
      </c>
      <c r="D149" s="5" t="s">
        <v>1693</v>
      </c>
      <c r="E149" s="5" t="s">
        <v>35</v>
      </c>
      <c r="F149" s="12">
        <v>43592.850578703707</v>
      </c>
      <c r="G149" t="s">
        <v>8727</v>
      </c>
      <c r="H149" s="5" t="s">
        <v>403</v>
      </c>
      <c r="I149" s="6">
        <v>1950</v>
      </c>
      <c r="J149" s="5" t="s">
        <v>15</v>
      </c>
      <c r="K149" s="6">
        <v>18</v>
      </c>
      <c r="L149" s="6">
        <v>35100</v>
      </c>
      <c r="M149" s="5" t="s">
        <v>1560</v>
      </c>
      <c r="N149" s="5" t="s">
        <v>1558</v>
      </c>
      <c r="O149" s="13">
        <v>43591</v>
      </c>
      <c r="P149" t="s">
        <v>8727</v>
      </c>
    </row>
    <row r="150" spans="1:16" x14ac:dyDescent="0.15">
      <c r="A150" s="5" t="s">
        <v>405</v>
      </c>
      <c r="B150" s="5" t="s">
        <v>1563</v>
      </c>
      <c r="C150" s="5" t="s">
        <v>1601</v>
      </c>
      <c r="D150" s="5" t="s">
        <v>1693</v>
      </c>
      <c r="E150" s="5" t="s">
        <v>35</v>
      </c>
      <c r="F150" s="12">
        <v>43593.638958333337</v>
      </c>
      <c r="G150" t="s">
        <v>8727</v>
      </c>
      <c r="H150" s="5" t="s">
        <v>406</v>
      </c>
      <c r="I150" s="6">
        <v>682.5</v>
      </c>
      <c r="J150" s="5" t="s">
        <v>15</v>
      </c>
      <c r="K150" s="6">
        <v>18.579999999999998</v>
      </c>
      <c r="L150" s="6">
        <v>12680.85</v>
      </c>
      <c r="M150" s="5" t="s">
        <v>1560</v>
      </c>
      <c r="N150" s="5" t="s">
        <v>1558</v>
      </c>
      <c r="O150" s="13">
        <v>43591</v>
      </c>
      <c r="P150" t="s">
        <v>8727</v>
      </c>
    </row>
    <row r="151" spans="1:16" x14ac:dyDescent="0.15">
      <c r="A151" s="5" t="s">
        <v>407</v>
      </c>
      <c r="B151" s="5" t="s">
        <v>1563</v>
      </c>
      <c r="C151" s="5" t="s">
        <v>1583</v>
      </c>
      <c r="D151" s="5" t="s">
        <v>1693</v>
      </c>
      <c r="E151" s="5" t="s">
        <v>35</v>
      </c>
      <c r="F151" s="12">
        <v>43593.655659722222</v>
      </c>
      <c r="G151" t="s">
        <v>8727</v>
      </c>
      <c r="H151" s="5" t="s">
        <v>408</v>
      </c>
      <c r="I151" s="6">
        <v>2535</v>
      </c>
      <c r="J151" s="5" t="s">
        <v>15</v>
      </c>
      <c r="K151" s="6">
        <v>18</v>
      </c>
      <c r="L151" s="6">
        <v>45630</v>
      </c>
      <c r="M151" s="5" t="s">
        <v>1560</v>
      </c>
      <c r="N151" s="5" t="s">
        <v>1558</v>
      </c>
      <c r="O151" s="13">
        <v>43593</v>
      </c>
      <c r="P151" t="s">
        <v>8727</v>
      </c>
    </row>
    <row r="152" spans="1:16" x14ac:dyDescent="0.15">
      <c r="A152" s="5" t="s">
        <v>409</v>
      </c>
      <c r="B152" s="5" t="s">
        <v>1563</v>
      </c>
      <c r="C152" s="5" t="s">
        <v>1572</v>
      </c>
      <c r="D152" s="5" t="s">
        <v>1693</v>
      </c>
      <c r="E152" s="5" t="s">
        <v>35</v>
      </c>
      <c r="F152" s="12">
        <v>43593.657060185185</v>
      </c>
      <c r="G152" t="s">
        <v>8727</v>
      </c>
      <c r="H152" s="5" t="s">
        <v>410</v>
      </c>
      <c r="I152" s="6">
        <v>10042.5</v>
      </c>
      <c r="J152" s="5" t="s">
        <v>15</v>
      </c>
      <c r="K152" s="6">
        <v>16</v>
      </c>
      <c r="L152" s="6">
        <v>160680</v>
      </c>
      <c r="M152" s="5" t="s">
        <v>1560</v>
      </c>
      <c r="N152" s="5" t="s">
        <v>1558</v>
      </c>
      <c r="O152" s="13">
        <v>43593</v>
      </c>
      <c r="P152" t="s">
        <v>8727</v>
      </c>
    </row>
    <row r="153" spans="1:16" x14ac:dyDescent="0.15">
      <c r="A153" s="5" t="s">
        <v>411</v>
      </c>
      <c r="B153" s="5" t="s">
        <v>1563</v>
      </c>
      <c r="C153" s="5" t="s">
        <v>1571</v>
      </c>
      <c r="D153" s="5" t="s">
        <v>1693</v>
      </c>
      <c r="E153" s="5" t="s">
        <v>35</v>
      </c>
      <c r="F153" s="12">
        <v>43593.658125000002</v>
      </c>
      <c r="G153" t="s">
        <v>8727</v>
      </c>
      <c r="H153" s="5" t="s">
        <v>412</v>
      </c>
      <c r="I153" s="6">
        <v>2535</v>
      </c>
      <c r="J153" s="5" t="s">
        <v>15</v>
      </c>
      <c r="K153" s="6">
        <v>16</v>
      </c>
      <c r="L153" s="6">
        <v>40560</v>
      </c>
      <c r="M153" s="5" t="s">
        <v>1560</v>
      </c>
      <c r="N153" s="5" t="s">
        <v>1558</v>
      </c>
      <c r="O153" s="13">
        <v>43593</v>
      </c>
      <c r="P153" t="s">
        <v>8727</v>
      </c>
    </row>
    <row r="154" spans="1:16" x14ac:dyDescent="0.15">
      <c r="A154" s="5" t="s">
        <v>415</v>
      </c>
      <c r="B154" s="5" t="s">
        <v>1563</v>
      </c>
      <c r="C154" s="5" t="s">
        <v>1602</v>
      </c>
      <c r="D154" s="5" t="s">
        <v>1693</v>
      </c>
      <c r="E154" s="5" t="s">
        <v>35</v>
      </c>
      <c r="F154" s="12">
        <v>43593.811921296299</v>
      </c>
      <c r="G154" t="s">
        <v>8727</v>
      </c>
      <c r="H154" s="5" t="s">
        <v>416</v>
      </c>
      <c r="I154" s="6">
        <v>97.5</v>
      </c>
      <c r="J154" s="5" t="s">
        <v>15</v>
      </c>
      <c r="K154" s="6">
        <v>18</v>
      </c>
      <c r="L154" s="6">
        <v>1755</v>
      </c>
      <c r="M154" s="5" t="s">
        <v>1560</v>
      </c>
      <c r="N154" s="5" t="s">
        <v>1558</v>
      </c>
      <c r="O154" s="13">
        <v>43593</v>
      </c>
      <c r="P154" t="s">
        <v>8727</v>
      </c>
    </row>
    <row r="155" spans="1:16" x14ac:dyDescent="0.15">
      <c r="A155" s="5" t="s">
        <v>419</v>
      </c>
      <c r="B155" s="5" t="s">
        <v>1563</v>
      </c>
      <c r="C155" s="5" t="s">
        <v>1600</v>
      </c>
      <c r="D155" s="5" t="s">
        <v>1693</v>
      </c>
      <c r="E155" s="5" t="s">
        <v>35</v>
      </c>
      <c r="F155" s="12">
        <v>43595.584976851853</v>
      </c>
      <c r="G155" t="s">
        <v>8727</v>
      </c>
      <c r="H155" s="5" t="s">
        <v>420</v>
      </c>
      <c r="I155" s="6">
        <v>1950</v>
      </c>
      <c r="J155" s="5" t="s">
        <v>15</v>
      </c>
      <c r="K155" s="6">
        <v>18</v>
      </c>
      <c r="L155" s="6">
        <v>35100</v>
      </c>
      <c r="M155" s="5" t="s">
        <v>1560</v>
      </c>
      <c r="N155" s="5" t="s">
        <v>1558</v>
      </c>
      <c r="O155" s="13">
        <v>43595</v>
      </c>
      <c r="P155" t="s">
        <v>8727</v>
      </c>
    </row>
    <row r="156" spans="1:16" x14ac:dyDescent="0.15">
      <c r="A156" s="5" t="s">
        <v>434</v>
      </c>
      <c r="B156" s="5" t="s">
        <v>1562</v>
      </c>
      <c r="C156" s="5" t="s">
        <v>1566</v>
      </c>
      <c r="D156" s="5" t="s">
        <v>1698</v>
      </c>
      <c r="E156" s="5" t="s">
        <v>35</v>
      </c>
      <c r="F156" s="12">
        <v>43598.845567129632</v>
      </c>
      <c r="G156" t="s">
        <v>8727</v>
      </c>
      <c r="H156" s="5" t="s">
        <v>1529</v>
      </c>
      <c r="I156" s="6">
        <v>-13650</v>
      </c>
      <c r="J156" s="5" t="s">
        <v>15</v>
      </c>
      <c r="K156" s="6">
        <v>1.73</v>
      </c>
      <c r="L156" s="6">
        <v>-23614.5</v>
      </c>
      <c r="M156" s="5" t="s">
        <v>1557</v>
      </c>
      <c r="N156" s="5" t="s">
        <v>1558</v>
      </c>
      <c r="O156" s="13">
        <v>43598</v>
      </c>
      <c r="P156" t="s">
        <v>8727</v>
      </c>
    </row>
    <row r="157" spans="1:16" x14ac:dyDescent="0.15">
      <c r="A157" s="5" t="s">
        <v>440</v>
      </c>
      <c r="B157" s="5" t="s">
        <v>1563</v>
      </c>
      <c r="C157" s="5" t="s">
        <v>1603</v>
      </c>
      <c r="D157" s="5" t="s">
        <v>1693</v>
      </c>
      <c r="E157" s="5" t="s">
        <v>35</v>
      </c>
      <c r="F157" s="12">
        <v>43605.650659722225</v>
      </c>
      <c r="G157" t="s">
        <v>8727</v>
      </c>
      <c r="H157" s="5" t="s">
        <v>441</v>
      </c>
      <c r="I157" s="6">
        <v>975</v>
      </c>
      <c r="J157" s="5" t="s">
        <v>15</v>
      </c>
      <c r="K157" s="6">
        <v>18</v>
      </c>
      <c r="L157" s="6">
        <v>17550</v>
      </c>
      <c r="M157" s="5" t="s">
        <v>1560</v>
      </c>
      <c r="N157" s="5" t="s">
        <v>1558</v>
      </c>
      <c r="O157" s="13">
        <v>43602</v>
      </c>
      <c r="P157" t="s">
        <v>8727</v>
      </c>
    </row>
    <row r="158" spans="1:16" x14ac:dyDescent="0.15">
      <c r="A158" s="5" t="s">
        <v>446</v>
      </c>
      <c r="B158" s="5" t="s">
        <v>1563</v>
      </c>
      <c r="C158" s="5" t="s">
        <v>1571</v>
      </c>
      <c r="D158" s="5" t="s">
        <v>1693</v>
      </c>
      <c r="E158" s="5" t="s">
        <v>35</v>
      </c>
      <c r="F158" s="12">
        <v>43608.628888888888</v>
      </c>
      <c r="G158" t="s">
        <v>8727</v>
      </c>
      <c r="H158" s="5" t="s">
        <v>447</v>
      </c>
      <c r="I158" s="6">
        <v>5167.5</v>
      </c>
      <c r="J158" s="5" t="s">
        <v>15</v>
      </c>
      <c r="K158" s="6">
        <v>16</v>
      </c>
      <c r="L158" s="6">
        <v>82680</v>
      </c>
      <c r="M158" s="5" t="s">
        <v>1560</v>
      </c>
      <c r="N158" s="5" t="s">
        <v>1558</v>
      </c>
      <c r="O158" s="13">
        <v>43608</v>
      </c>
      <c r="P158" t="s">
        <v>8727</v>
      </c>
    </row>
    <row r="159" spans="1:16" x14ac:dyDescent="0.15">
      <c r="A159" s="5" t="s">
        <v>454</v>
      </c>
      <c r="B159" s="5" t="s">
        <v>1563</v>
      </c>
      <c r="C159" s="5" t="s">
        <v>1587</v>
      </c>
      <c r="D159" s="5" t="s">
        <v>1693</v>
      </c>
      <c r="E159" s="5" t="s">
        <v>35</v>
      </c>
      <c r="F159" s="12">
        <v>43613.610243055555</v>
      </c>
      <c r="G159" t="s">
        <v>8727</v>
      </c>
      <c r="H159" s="5" t="s">
        <v>455</v>
      </c>
      <c r="I159" s="6">
        <v>-4095</v>
      </c>
      <c r="J159" s="5" t="s">
        <v>15</v>
      </c>
      <c r="K159" s="6">
        <v>17</v>
      </c>
      <c r="L159" s="6">
        <v>-69615</v>
      </c>
      <c r="M159" s="5" t="s">
        <v>1560</v>
      </c>
      <c r="N159" s="5" t="s">
        <v>1558</v>
      </c>
      <c r="O159" s="13">
        <v>43613</v>
      </c>
      <c r="P159" t="s">
        <v>8727</v>
      </c>
    </row>
    <row r="160" spans="1:16" x14ac:dyDescent="0.15">
      <c r="A160" s="5" t="s">
        <v>456</v>
      </c>
      <c r="B160" s="5" t="s">
        <v>1563</v>
      </c>
      <c r="C160" s="5" t="s">
        <v>1587</v>
      </c>
      <c r="D160" s="5" t="s">
        <v>1693</v>
      </c>
      <c r="E160" s="5" t="s">
        <v>35</v>
      </c>
      <c r="F160" s="12">
        <v>43613.615983796299</v>
      </c>
      <c r="G160" t="s">
        <v>8727</v>
      </c>
      <c r="H160" s="5" t="s">
        <v>457</v>
      </c>
      <c r="I160" s="6">
        <v>4095</v>
      </c>
      <c r="J160" s="5" t="s">
        <v>15</v>
      </c>
      <c r="K160" s="6">
        <v>17</v>
      </c>
      <c r="L160" s="6">
        <v>69615</v>
      </c>
      <c r="M160" s="5" t="s">
        <v>1560</v>
      </c>
      <c r="N160" s="5" t="s">
        <v>1558</v>
      </c>
      <c r="O160" s="13">
        <v>43613</v>
      </c>
      <c r="P160" t="s">
        <v>8727</v>
      </c>
    </row>
    <row r="161" spans="1:16" x14ac:dyDescent="0.15">
      <c r="A161" s="5" t="s">
        <v>458</v>
      </c>
      <c r="B161" s="5" t="s">
        <v>1563</v>
      </c>
      <c r="C161" s="5" t="s">
        <v>1572</v>
      </c>
      <c r="D161" s="5" t="s">
        <v>1693</v>
      </c>
      <c r="E161" s="5" t="s">
        <v>35</v>
      </c>
      <c r="F161" s="12">
        <v>43613.624305555553</v>
      </c>
      <c r="G161" t="s">
        <v>8727</v>
      </c>
      <c r="H161" s="5" t="s">
        <v>460</v>
      </c>
      <c r="I161" s="6">
        <v>4875</v>
      </c>
      <c r="J161" s="5" t="s">
        <v>15</v>
      </c>
      <c r="K161" s="6">
        <v>18</v>
      </c>
      <c r="L161" s="6">
        <v>87750</v>
      </c>
      <c r="M161" s="5" t="s">
        <v>1560</v>
      </c>
      <c r="N161" s="5" t="s">
        <v>1558</v>
      </c>
      <c r="O161" s="13">
        <v>43606</v>
      </c>
      <c r="P161" t="s">
        <v>8727</v>
      </c>
    </row>
    <row r="162" spans="1:16" x14ac:dyDescent="0.15">
      <c r="A162" s="5" t="s">
        <v>467</v>
      </c>
      <c r="B162" s="5" t="s">
        <v>1563</v>
      </c>
      <c r="C162" s="5" t="s">
        <v>1574</v>
      </c>
      <c r="D162" s="5" t="s">
        <v>1693</v>
      </c>
      <c r="E162" s="5" t="s">
        <v>35</v>
      </c>
      <c r="F162" s="12">
        <v>43620.67</v>
      </c>
      <c r="G162" t="s">
        <v>8728</v>
      </c>
      <c r="H162" s="5" t="s">
        <v>468</v>
      </c>
      <c r="I162" s="6">
        <v>1365</v>
      </c>
      <c r="J162" s="5" t="s">
        <v>15</v>
      </c>
      <c r="K162" s="6">
        <v>18</v>
      </c>
      <c r="L162" s="6">
        <v>24570</v>
      </c>
      <c r="M162" s="5" t="s">
        <v>1560</v>
      </c>
      <c r="N162" s="5" t="s">
        <v>1558</v>
      </c>
      <c r="O162" s="13">
        <v>43619</v>
      </c>
      <c r="P162" t="s">
        <v>8728</v>
      </c>
    </row>
    <row r="163" spans="1:16" x14ac:dyDescent="0.15">
      <c r="A163" s="5" t="s">
        <v>473</v>
      </c>
      <c r="B163" s="5" t="s">
        <v>1563</v>
      </c>
      <c r="C163" s="5" t="s">
        <v>1585</v>
      </c>
      <c r="D163" s="5" t="s">
        <v>1693</v>
      </c>
      <c r="E163" s="5" t="s">
        <v>35</v>
      </c>
      <c r="F163" s="12">
        <v>43621.627662037034</v>
      </c>
      <c r="G163" t="s">
        <v>8728</v>
      </c>
      <c r="H163" s="5" t="s">
        <v>474</v>
      </c>
      <c r="I163" s="6">
        <v>3217.5</v>
      </c>
      <c r="J163" s="5" t="s">
        <v>15</v>
      </c>
      <c r="K163" s="6">
        <v>18</v>
      </c>
      <c r="L163" s="6">
        <v>57915</v>
      </c>
      <c r="M163" s="5" t="s">
        <v>1560</v>
      </c>
      <c r="N163" s="5" t="s">
        <v>1558</v>
      </c>
      <c r="O163" s="13">
        <v>43621</v>
      </c>
      <c r="P163" t="s">
        <v>8728</v>
      </c>
    </row>
    <row r="164" spans="1:16" x14ac:dyDescent="0.15">
      <c r="A164" s="5" t="s">
        <v>477</v>
      </c>
      <c r="B164" s="5" t="s">
        <v>1563</v>
      </c>
      <c r="C164" s="5" t="s">
        <v>1588</v>
      </c>
      <c r="D164" s="5" t="s">
        <v>1693</v>
      </c>
      <c r="E164" s="5" t="s">
        <v>35</v>
      </c>
      <c r="F164" s="12">
        <v>43621.743437500001</v>
      </c>
      <c r="G164" t="s">
        <v>8728</v>
      </c>
      <c r="H164" s="5" t="s">
        <v>479</v>
      </c>
      <c r="I164" s="6">
        <v>487.5</v>
      </c>
      <c r="J164" s="5" t="s">
        <v>15</v>
      </c>
      <c r="K164" s="6">
        <v>18</v>
      </c>
      <c r="L164" s="6">
        <v>8775</v>
      </c>
      <c r="M164" s="5" t="s">
        <v>1560</v>
      </c>
      <c r="N164" s="5" t="s">
        <v>1558</v>
      </c>
      <c r="O164" s="13">
        <v>43621</v>
      </c>
      <c r="P164" t="s">
        <v>8728</v>
      </c>
    </row>
    <row r="165" spans="1:16" x14ac:dyDescent="0.15">
      <c r="A165" s="5" t="s">
        <v>68</v>
      </c>
      <c r="B165" s="5" t="s">
        <v>1563</v>
      </c>
      <c r="C165" s="5" t="s">
        <v>1604</v>
      </c>
      <c r="D165" s="5" t="s">
        <v>1693</v>
      </c>
      <c r="E165" s="5" t="s">
        <v>35</v>
      </c>
      <c r="F165" s="12">
        <v>43623.802037037036</v>
      </c>
      <c r="G165" t="s">
        <v>8728</v>
      </c>
      <c r="H165" s="5" t="s">
        <v>485</v>
      </c>
      <c r="I165" s="6">
        <v>585</v>
      </c>
      <c r="J165" s="5" t="s">
        <v>15</v>
      </c>
      <c r="K165" s="6">
        <v>18.670000000000002</v>
      </c>
      <c r="L165" s="6">
        <v>10921.95</v>
      </c>
      <c r="M165" s="5" t="s">
        <v>1560</v>
      </c>
      <c r="N165" s="5" t="s">
        <v>1558</v>
      </c>
      <c r="O165" s="13">
        <v>43622</v>
      </c>
      <c r="P165" t="s">
        <v>8728</v>
      </c>
    </row>
    <row r="166" spans="1:16" x14ac:dyDescent="0.15">
      <c r="A166" s="5" t="s">
        <v>498</v>
      </c>
      <c r="B166" s="5" t="s">
        <v>1563</v>
      </c>
      <c r="C166" s="5" t="s">
        <v>1569</v>
      </c>
      <c r="D166" s="5" t="s">
        <v>1693</v>
      </c>
      <c r="E166" s="5" t="s">
        <v>35</v>
      </c>
      <c r="F166" s="12">
        <v>43628.646550925929</v>
      </c>
      <c r="G166" t="s">
        <v>8728</v>
      </c>
      <c r="H166" s="5" t="s">
        <v>499</v>
      </c>
      <c r="I166" s="6">
        <v>975</v>
      </c>
      <c r="J166" s="5" t="s">
        <v>15</v>
      </c>
      <c r="K166" s="6">
        <v>18</v>
      </c>
      <c r="L166" s="6">
        <v>17550</v>
      </c>
      <c r="M166" s="5" t="s">
        <v>1560</v>
      </c>
      <c r="N166" s="5" t="s">
        <v>1558</v>
      </c>
      <c r="O166" s="13">
        <v>43628</v>
      </c>
      <c r="P166" t="s">
        <v>8728</v>
      </c>
    </row>
    <row r="167" spans="1:16" x14ac:dyDescent="0.15">
      <c r="A167" s="5" t="s">
        <v>500</v>
      </c>
      <c r="B167" s="5" t="s">
        <v>1563</v>
      </c>
      <c r="C167" s="5" t="s">
        <v>1605</v>
      </c>
      <c r="D167" s="5" t="s">
        <v>1693</v>
      </c>
      <c r="E167" s="5" t="s">
        <v>35</v>
      </c>
      <c r="F167" s="12">
        <v>43628.779675925929</v>
      </c>
      <c r="G167" t="s">
        <v>8728</v>
      </c>
      <c r="H167" s="5" t="s">
        <v>501</v>
      </c>
      <c r="I167" s="6">
        <v>13260</v>
      </c>
      <c r="J167" s="5" t="s">
        <v>15</v>
      </c>
      <c r="K167" s="6">
        <v>18</v>
      </c>
      <c r="L167" s="6">
        <v>238680</v>
      </c>
      <c r="M167" s="5" t="s">
        <v>1560</v>
      </c>
      <c r="N167" s="5" t="s">
        <v>1558</v>
      </c>
      <c r="O167" s="13">
        <v>43627</v>
      </c>
      <c r="P167" t="s">
        <v>8728</v>
      </c>
    </row>
    <row r="168" spans="1:16" x14ac:dyDescent="0.15">
      <c r="A168" s="5" t="s">
        <v>511</v>
      </c>
      <c r="B168" s="5" t="s">
        <v>1563</v>
      </c>
      <c r="C168" s="5" t="s">
        <v>1572</v>
      </c>
      <c r="D168" s="5" t="s">
        <v>1693</v>
      </c>
      <c r="E168" s="5" t="s">
        <v>35</v>
      </c>
      <c r="F168" s="12">
        <v>43630.753113425926</v>
      </c>
      <c r="G168" t="s">
        <v>8728</v>
      </c>
      <c r="H168" s="5" t="s">
        <v>512</v>
      </c>
      <c r="I168" s="6">
        <v>2535</v>
      </c>
      <c r="J168" s="5" t="s">
        <v>15</v>
      </c>
      <c r="K168" s="6">
        <v>17.5</v>
      </c>
      <c r="L168" s="6">
        <v>44362.5</v>
      </c>
      <c r="M168" s="5" t="s">
        <v>1560</v>
      </c>
      <c r="N168" s="5" t="s">
        <v>1558</v>
      </c>
      <c r="O168" s="13">
        <v>43630</v>
      </c>
      <c r="P168" t="s">
        <v>8728</v>
      </c>
    </row>
    <row r="169" spans="1:16" x14ac:dyDescent="0.15">
      <c r="A169" s="5" t="s">
        <v>516</v>
      </c>
      <c r="B169" s="5" t="s">
        <v>1563</v>
      </c>
      <c r="C169" s="5" t="s">
        <v>1606</v>
      </c>
      <c r="D169" s="5" t="s">
        <v>1693</v>
      </c>
      <c r="E169" s="5" t="s">
        <v>35</v>
      </c>
      <c r="F169" s="12">
        <v>43634.711875000001</v>
      </c>
      <c r="G169" t="s">
        <v>8728</v>
      </c>
      <c r="H169" s="5" t="s">
        <v>517</v>
      </c>
      <c r="I169" s="6">
        <v>97.5</v>
      </c>
      <c r="J169" s="5" t="s">
        <v>15</v>
      </c>
      <c r="K169" s="6">
        <v>20</v>
      </c>
      <c r="L169" s="6">
        <v>1950</v>
      </c>
      <c r="M169" s="5" t="s">
        <v>1560</v>
      </c>
      <c r="N169" s="5" t="s">
        <v>1558</v>
      </c>
      <c r="O169" s="13">
        <v>43634</v>
      </c>
      <c r="P169" t="s">
        <v>8728</v>
      </c>
    </row>
    <row r="170" spans="1:16" x14ac:dyDescent="0.15">
      <c r="A170" s="5" t="s">
        <v>527</v>
      </c>
      <c r="B170" s="5" t="s">
        <v>1563</v>
      </c>
      <c r="C170" s="5" t="s">
        <v>1604</v>
      </c>
      <c r="D170" s="5" t="s">
        <v>1693</v>
      </c>
      <c r="E170" s="5" t="s">
        <v>35</v>
      </c>
      <c r="F170" s="12">
        <v>43641.572430555556</v>
      </c>
      <c r="G170" t="s">
        <v>8728</v>
      </c>
      <c r="H170" s="5" t="s">
        <v>528</v>
      </c>
      <c r="I170" s="6">
        <v>585</v>
      </c>
      <c r="J170" s="5" t="s">
        <v>15</v>
      </c>
      <c r="K170" s="6">
        <v>18.670000000000002</v>
      </c>
      <c r="L170" s="6">
        <v>10921.95</v>
      </c>
      <c r="M170" s="5" t="s">
        <v>1560</v>
      </c>
      <c r="N170" s="5" t="s">
        <v>1558</v>
      </c>
      <c r="O170" s="13">
        <v>43640</v>
      </c>
      <c r="P170" t="s">
        <v>8728</v>
      </c>
    </row>
    <row r="171" spans="1:16" x14ac:dyDescent="0.15">
      <c r="A171" s="5" t="s">
        <v>535</v>
      </c>
      <c r="B171" s="5" t="s">
        <v>1563</v>
      </c>
      <c r="C171" s="5" t="s">
        <v>1572</v>
      </c>
      <c r="D171" s="5" t="s">
        <v>1693</v>
      </c>
      <c r="E171" s="5" t="s">
        <v>35</v>
      </c>
      <c r="F171" s="12">
        <v>43648.617314814815</v>
      </c>
      <c r="G171" t="s">
        <v>8729</v>
      </c>
      <c r="H171" s="5" t="s">
        <v>536</v>
      </c>
      <c r="I171" s="6">
        <v>3607.5</v>
      </c>
      <c r="J171" s="5" t="s">
        <v>15</v>
      </c>
      <c r="K171" s="6">
        <v>17.5</v>
      </c>
      <c r="L171" s="6">
        <v>63131.25</v>
      </c>
      <c r="M171" s="5" t="s">
        <v>1560</v>
      </c>
      <c r="N171" s="5" t="s">
        <v>1558</v>
      </c>
      <c r="O171" s="13">
        <v>43647</v>
      </c>
      <c r="P171" t="s">
        <v>8729</v>
      </c>
    </row>
    <row r="172" spans="1:16" x14ac:dyDescent="0.15">
      <c r="A172" s="5" t="s">
        <v>72</v>
      </c>
      <c r="B172" s="5" t="s">
        <v>1563</v>
      </c>
      <c r="C172" s="5" t="s">
        <v>1571</v>
      </c>
      <c r="D172" s="5" t="s">
        <v>1693</v>
      </c>
      <c r="E172" s="5" t="s">
        <v>35</v>
      </c>
      <c r="F172" s="12">
        <v>43648.832337962966</v>
      </c>
      <c r="G172" t="s">
        <v>8729</v>
      </c>
      <c r="H172" s="5" t="s">
        <v>543</v>
      </c>
      <c r="I172" s="6">
        <v>22425</v>
      </c>
      <c r="J172" s="5" t="s">
        <v>15</v>
      </c>
      <c r="K172" s="6">
        <v>14</v>
      </c>
      <c r="L172" s="6">
        <v>313950</v>
      </c>
      <c r="M172" s="5" t="s">
        <v>1560</v>
      </c>
      <c r="N172" s="5" t="s">
        <v>1558</v>
      </c>
      <c r="O172" s="13">
        <v>43648</v>
      </c>
      <c r="P172" t="s">
        <v>8729</v>
      </c>
    </row>
    <row r="173" spans="1:16" x14ac:dyDescent="0.15">
      <c r="A173" s="5" t="s">
        <v>544</v>
      </c>
      <c r="B173" s="5" t="s">
        <v>1563</v>
      </c>
      <c r="C173" s="5" t="s">
        <v>1585</v>
      </c>
      <c r="D173" s="5" t="s">
        <v>1693</v>
      </c>
      <c r="E173" s="5" t="s">
        <v>35</v>
      </c>
      <c r="F173" s="12">
        <v>43649.654432870368</v>
      </c>
      <c r="G173" t="s">
        <v>8729</v>
      </c>
      <c r="H173" s="5" t="s">
        <v>545</v>
      </c>
      <c r="I173" s="6">
        <v>11992.5</v>
      </c>
      <c r="J173" s="5" t="s">
        <v>15</v>
      </c>
      <c r="K173" s="6">
        <v>18</v>
      </c>
      <c r="L173" s="6">
        <v>215865</v>
      </c>
      <c r="M173" s="5" t="s">
        <v>1560</v>
      </c>
      <c r="N173" s="5" t="s">
        <v>1558</v>
      </c>
      <c r="O173" s="13">
        <v>43648</v>
      </c>
      <c r="P173" t="s">
        <v>8729</v>
      </c>
    </row>
    <row r="174" spans="1:16" x14ac:dyDescent="0.15">
      <c r="A174" s="5" t="s">
        <v>555</v>
      </c>
      <c r="B174" s="5" t="s">
        <v>1563</v>
      </c>
      <c r="C174" s="5" t="s">
        <v>1571</v>
      </c>
      <c r="D174" s="5" t="s">
        <v>1693</v>
      </c>
      <c r="E174" s="5" t="s">
        <v>35</v>
      </c>
      <c r="F174" s="12">
        <v>43654.589895833335</v>
      </c>
      <c r="G174" t="s">
        <v>8729</v>
      </c>
      <c r="H174" s="5" t="s">
        <v>556</v>
      </c>
      <c r="I174" s="6">
        <v>97.5</v>
      </c>
      <c r="J174" s="5" t="s">
        <v>15</v>
      </c>
      <c r="K174" s="6">
        <v>22</v>
      </c>
      <c r="L174" s="6">
        <v>2145</v>
      </c>
      <c r="M174" s="5" t="s">
        <v>1560</v>
      </c>
      <c r="N174" s="5" t="s">
        <v>1558</v>
      </c>
      <c r="O174" s="13">
        <v>43651</v>
      </c>
      <c r="P174" t="s">
        <v>8729</v>
      </c>
    </row>
    <row r="175" spans="1:16" x14ac:dyDescent="0.15">
      <c r="A175" s="5" t="s">
        <v>573</v>
      </c>
      <c r="B175" s="5" t="s">
        <v>1563</v>
      </c>
      <c r="C175" s="5" t="s">
        <v>1569</v>
      </c>
      <c r="D175" s="5" t="s">
        <v>1693</v>
      </c>
      <c r="E175" s="5" t="s">
        <v>35</v>
      </c>
      <c r="F175" s="12">
        <v>43656.647546296299</v>
      </c>
      <c r="G175" t="s">
        <v>8729</v>
      </c>
      <c r="H175" s="5" t="s">
        <v>574</v>
      </c>
      <c r="I175" s="6">
        <v>3900</v>
      </c>
      <c r="J175" s="5" t="s">
        <v>15</v>
      </c>
      <c r="K175" s="6">
        <v>17.5</v>
      </c>
      <c r="L175" s="6">
        <v>68250</v>
      </c>
      <c r="M175" s="5" t="s">
        <v>1560</v>
      </c>
      <c r="N175" s="5" t="s">
        <v>1558</v>
      </c>
      <c r="O175" s="13">
        <v>43656</v>
      </c>
      <c r="P175" t="s">
        <v>8729</v>
      </c>
    </row>
    <row r="176" spans="1:16" x14ac:dyDescent="0.15">
      <c r="A176" s="5" t="s">
        <v>77</v>
      </c>
      <c r="B176" s="5" t="s">
        <v>1563</v>
      </c>
      <c r="C176" s="5" t="s">
        <v>1607</v>
      </c>
      <c r="D176" s="5" t="s">
        <v>1693</v>
      </c>
      <c r="E176" s="5" t="s">
        <v>35</v>
      </c>
      <c r="F176" s="12">
        <v>43657.643553240741</v>
      </c>
      <c r="G176" t="s">
        <v>8729</v>
      </c>
      <c r="H176" s="5" t="s">
        <v>576</v>
      </c>
      <c r="I176" s="6">
        <v>873</v>
      </c>
      <c r="J176" s="5" t="s">
        <v>15</v>
      </c>
      <c r="K176" s="6">
        <v>16.5</v>
      </c>
      <c r="L176" s="6">
        <v>14404.5</v>
      </c>
      <c r="M176" s="5" t="s">
        <v>1560</v>
      </c>
      <c r="N176" s="5" t="s">
        <v>1558</v>
      </c>
      <c r="O176" s="13">
        <v>43656</v>
      </c>
      <c r="P176" t="s">
        <v>8729</v>
      </c>
    </row>
    <row r="177" spans="1:16" x14ac:dyDescent="0.15">
      <c r="A177" s="5" t="s">
        <v>80</v>
      </c>
      <c r="B177" s="5" t="s">
        <v>1563</v>
      </c>
      <c r="C177" s="5" t="s">
        <v>1569</v>
      </c>
      <c r="D177" s="5" t="s">
        <v>1693</v>
      </c>
      <c r="E177" s="5" t="s">
        <v>35</v>
      </c>
      <c r="F177" s="12">
        <v>43662.7028125</v>
      </c>
      <c r="G177" t="s">
        <v>8729</v>
      </c>
      <c r="H177" s="5" t="s">
        <v>594</v>
      </c>
      <c r="I177" s="6">
        <v>975</v>
      </c>
      <c r="J177" s="5" t="s">
        <v>15</v>
      </c>
      <c r="K177" s="6">
        <v>17.5</v>
      </c>
      <c r="L177" s="6">
        <v>17062.5</v>
      </c>
      <c r="M177" s="5" t="s">
        <v>1560</v>
      </c>
      <c r="N177" s="5" t="s">
        <v>1558</v>
      </c>
      <c r="O177" s="13">
        <v>43662</v>
      </c>
      <c r="P177" t="s">
        <v>8729</v>
      </c>
    </row>
    <row r="178" spans="1:16" x14ac:dyDescent="0.15">
      <c r="A178" s="5" t="s">
        <v>595</v>
      </c>
      <c r="B178" s="5" t="s">
        <v>1563</v>
      </c>
      <c r="C178" s="5" t="s">
        <v>1572</v>
      </c>
      <c r="D178" s="5" t="s">
        <v>1693</v>
      </c>
      <c r="E178" s="5" t="s">
        <v>35</v>
      </c>
      <c r="F178" s="12">
        <v>43663.801469907405</v>
      </c>
      <c r="G178" t="s">
        <v>8729</v>
      </c>
      <c r="H178" s="5" t="s">
        <v>598</v>
      </c>
      <c r="I178" s="6">
        <v>6922.5</v>
      </c>
      <c r="J178" s="5" t="s">
        <v>15</v>
      </c>
      <c r="K178" s="6">
        <v>17.5</v>
      </c>
      <c r="L178" s="6">
        <v>121143.75</v>
      </c>
      <c r="M178" s="5" t="s">
        <v>1560</v>
      </c>
      <c r="N178" s="5" t="s">
        <v>1558</v>
      </c>
      <c r="O178" s="13">
        <v>43663</v>
      </c>
      <c r="P178" t="s">
        <v>8729</v>
      </c>
    </row>
    <row r="179" spans="1:16" x14ac:dyDescent="0.15">
      <c r="A179" s="5" t="s">
        <v>603</v>
      </c>
      <c r="B179" s="5" t="s">
        <v>1563</v>
      </c>
      <c r="C179" s="5" t="s">
        <v>1608</v>
      </c>
      <c r="D179" s="5" t="s">
        <v>1693</v>
      </c>
      <c r="E179" s="5" t="s">
        <v>35</v>
      </c>
      <c r="F179" s="12">
        <v>43668.58189814815</v>
      </c>
      <c r="G179" t="s">
        <v>8729</v>
      </c>
      <c r="H179" s="5" t="s">
        <v>604</v>
      </c>
      <c r="I179" s="6">
        <v>97.5</v>
      </c>
      <c r="J179" s="5" t="s">
        <v>15</v>
      </c>
      <c r="K179" s="6">
        <v>22</v>
      </c>
      <c r="L179" s="6">
        <v>2145</v>
      </c>
      <c r="M179" s="5" t="s">
        <v>1560</v>
      </c>
      <c r="N179" s="5" t="s">
        <v>1558</v>
      </c>
      <c r="O179" s="13">
        <v>43664</v>
      </c>
      <c r="P179" t="s">
        <v>8729</v>
      </c>
    </row>
    <row r="180" spans="1:16" x14ac:dyDescent="0.15">
      <c r="A180" s="5" t="s">
        <v>617</v>
      </c>
      <c r="B180" s="5" t="s">
        <v>1563</v>
      </c>
      <c r="C180" s="5" t="s">
        <v>1589</v>
      </c>
      <c r="D180" s="5" t="s">
        <v>1693</v>
      </c>
      <c r="E180" s="5" t="s">
        <v>35</v>
      </c>
      <c r="F180" s="12">
        <v>43668.749247685184</v>
      </c>
      <c r="G180" t="s">
        <v>8729</v>
      </c>
      <c r="H180" s="5" t="s">
        <v>620</v>
      </c>
      <c r="I180" s="6">
        <v>6045</v>
      </c>
      <c r="J180" s="5" t="s">
        <v>15</v>
      </c>
      <c r="K180" s="6">
        <v>15.5</v>
      </c>
      <c r="L180" s="6">
        <v>93697.5</v>
      </c>
      <c r="M180" s="5" t="s">
        <v>1560</v>
      </c>
      <c r="N180" s="5" t="s">
        <v>1558</v>
      </c>
      <c r="O180" s="13">
        <v>43670</v>
      </c>
      <c r="P180" t="s">
        <v>8729</v>
      </c>
    </row>
    <row r="181" spans="1:16" x14ac:dyDescent="0.15">
      <c r="A181" s="5" t="s">
        <v>623</v>
      </c>
      <c r="B181" s="5" t="s">
        <v>1563</v>
      </c>
      <c r="C181" s="5" t="s">
        <v>1600</v>
      </c>
      <c r="D181" s="5" t="s">
        <v>1693</v>
      </c>
      <c r="E181" s="5" t="s">
        <v>35</v>
      </c>
      <c r="F181" s="12">
        <v>43668.838726851849</v>
      </c>
      <c r="G181" t="s">
        <v>8729</v>
      </c>
      <c r="H181" s="5" t="s">
        <v>624</v>
      </c>
      <c r="I181" s="6">
        <v>7800</v>
      </c>
      <c r="J181" s="5" t="s">
        <v>15</v>
      </c>
      <c r="K181" s="6">
        <v>18</v>
      </c>
      <c r="L181" s="6">
        <v>140400</v>
      </c>
      <c r="M181" s="5" t="s">
        <v>1560</v>
      </c>
      <c r="N181" s="5" t="s">
        <v>1558</v>
      </c>
      <c r="O181" s="13">
        <v>43670</v>
      </c>
      <c r="P181" t="s">
        <v>8729</v>
      </c>
    </row>
    <row r="182" spans="1:16" x14ac:dyDescent="0.15">
      <c r="A182" s="5" t="s">
        <v>86</v>
      </c>
      <c r="B182" s="5" t="s">
        <v>1563</v>
      </c>
      <c r="C182" s="5" t="s">
        <v>1572</v>
      </c>
      <c r="D182" s="5" t="s">
        <v>1693</v>
      </c>
      <c r="E182" s="5" t="s">
        <v>35</v>
      </c>
      <c r="F182" s="12">
        <v>43668.849224537036</v>
      </c>
      <c r="G182" t="s">
        <v>8729</v>
      </c>
      <c r="H182" s="5" t="s">
        <v>628</v>
      </c>
      <c r="I182" s="6">
        <v>6922.5</v>
      </c>
      <c r="J182" s="5" t="s">
        <v>15</v>
      </c>
      <c r="K182" s="6">
        <v>17.5</v>
      </c>
      <c r="L182" s="6">
        <v>121143.75</v>
      </c>
      <c r="M182" s="5" t="s">
        <v>1560</v>
      </c>
      <c r="N182" s="5" t="s">
        <v>1558</v>
      </c>
      <c r="O182" s="13">
        <v>43670</v>
      </c>
      <c r="P182" t="s">
        <v>8729</v>
      </c>
    </row>
    <row r="183" spans="1:16" x14ac:dyDescent="0.15">
      <c r="A183" s="5" t="s">
        <v>632</v>
      </c>
      <c r="B183" s="5" t="s">
        <v>1563</v>
      </c>
      <c r="C183" s="5" t="s">
        <v>1571</v>
      </c>
      <c r="D183" s="5" t="s">
        <v>1693</v>
      </c>
      <c r="E183" s="5" t="s">
        <v>35</v>
      </c>
      <c r="F183" s="12">
        <v>43671.673981481479</v>
      </c>
      <c r="G183" t="s">
        <v>8729</v>
      </c>
      <c r="H183" s="5" t="s">
        <v>633</v>
      </c>
      <c r="I183" s="6">
        <v>4972.5</v>
      </c>
      <c r="J183" s="5" t="s">
        <v>15</v>
      </c>
      <c r="K183" s="6">
        <v>18</v>
      </c>
      <c r="L183" s="6">
        <v>89505</v>
      </c>
      <c r="M183" s="5" t="s">
        <v>1560</v>
      </c>
      <c r="N183" s="5" t="s">
        <v>1558</v>
      </c>
      <c r="O183" s="13">
        <v>43671</v>
      </c>
      <c r="P183" t="s">
        <v>8729</v>
      </c>
    </row>
    <row r="184" spans="1:16" x14ac:dyDescent="0.15">
      <c r="A184" s="5" t="s">
        <v>635</v>
      </c>
      <c r="B184" s="5" t="s">
        <v>1563</v>
      </c>
      <c r="C184" s="5" t="s">
        <v>1600</v>
      </c>
      <c r="D184" s="5" t="s">
        <v>1693</v>
      </c>
      <c r="E184" s="5" t="s">
        <v>35</v>
      </c>
      <c r="F184" s="12">
        <v>43672.569120370368</v>
      </c>
      <c r="G184" t="s">
        <v>8729</v>
      </c>
      <c r="H184" s="5" t="s">
        <v>636</v>
      </c>
      <c r="I184" s="6">
        <v>-7800</v>
      </c>
      <c r="J184" s="5" t="s">
        <v>15</v>
      </c>
      <c r="K184" s="6">
        <v>18</v>
      </c>
      <c r="L184" s="6">
        <v>-140400</v>
      </c>
      <c r="M184" s="5" t="s">
        <v>1560</v>
      </c>
      <c r="N184" s="5" t="s">
        <v>1558</v>
      </c>
      <c r="O184" s="13">
        <v>43672</v>
      </c>
      <c r="P184" t="s">
        <v>8729</v>
      </c>
    </row>
    <row r="185" spans="1:16" x14ac:dyDescent="0.15">
      <c r="A185" s="5" t="s">
        <v>638</v>
      </c>
      <c r="B185" s="5" t="s">
        <v>1563</v>
      </c>
      <c r="C185" s="5" t="s">
        <v>1609</v>
      </c>
      <c r="D185" s="5" t="s">
        <v>1693</v>
      </c>
      <c r="E185" s="5" t="s">
        <v>35</v>
      </c>
      <c r="F185" s="12">
        <v>43672.600138888891</v>
      </c>
      <c r="G185" t="s">
        <v>8729</v>
      </c>
      <c r="H185" s="5" t="s">
        <v>640</v>
      </c>
      <c r="I185" s="6">
        <v>1560</v>
      </c>
      <c r="J185" s="5" t="s">
        <v>15</v>
      </c>
      <c r="K185" s="6">
        <v>18</v>
      </c>
      <c r="L185" s="6">
        <v>28080</v>
      </c>
      <c r="M185" s="5" t="s">
        <v>1560</v>
      </c>
      <c r="N185" s="5" t="s">
        <v>1558</v>
      </c>
      <c r="O185" s="13">
        <v>43671</v>
      </c>
      <c r="P185" t="s">
        <v>8729</v>
      </c>
    </row>
    <row r="186" spans="1:16" x14ac:dyDescent="0.15">
      <c r="A186" s="5" t="s">
        <v>91</v>
      </c>
      <c r="B186" s="5" t="s">
        <v>1563</v>
      </c>
      <c r="C186" s="5" t="s">
        <v>1580</v>
      </c>
      <c r="D186" s="5" t="s">
        <v>1693</v>
      </c>
      <c r="E186" s="5" t="s">
        <v>35</v>
      </c>
      <c r="F186" s="12">
        <v>43672.74790509259</v>
      </c>
      <c r="G186" t="s">
        <v>8729</v>
      </c>
      <c r="H186" s="5" t="s">
        <v>642</v>
      </c>
      <c r="I186" s="6">
        <v>2632.5</v>
      </c>
      <c r="J186" s="5" t="s">
        <v>15</v>
      </c>
      <c r="K186" s="6">
        <v>17</v>
      </c>
      <c r="L186" s="6">
        <v>44752.5</v>
      </c>
      <c r="M186" s="5" t="s">
        <v>1560</v>
      </c>
      <c r="N186" s="5" t="s">
        <v>1558</v>
      </c>
      <c r="O186" s="13">
        <v>43672</v>
      </c>
      <c r="P186" t="s">
        <v>8729</v>
      </c>
    </row>
    <row r="187" spans="1:16" x14ac:dyDescent="0.15">
      <c r="A187" s="5" t="s">
        <v>92</v>
      </c>
      <c r="B187" s="5" t="s">
        <v>1563</v>
      </c>
      <c r="C187" s="5" t="s">
        <v>1569</v>
      </c>
      <c r="D187" s="5" t="s">
        <v>1693</v>
      </c>
      <c r="E187" s="5" t="s">
        <v>35</v>
      </c>
      <c r="F187" s="12">
        <v>43675.580949074072</v>
      </c>
      <c r="G187" t="s">
        <v>8729</v>
      </c>
      <c r="H187" s="5" t="s">
        <v>643</v>
      </c>
      <c r="I187" s="6">
        <v>3900</v>
      </c>
      <c r="J187" s="5" t="s">
        <v>15</v>
      </c>
      <c r="K187" s="6">
        <v>17.5</v>
      </c>
      <c r="L187" s="6">
        <v>68250</v>
      </c>
      <c r="M187" s="5" t="s">
        <v>1560</v>
      </c>
      <c r="N187" s="5" t="s">
        <v>1558</v>
      </c>
      <c r="O187" s="13">
        <v>43675</v>
      </c>
      <c r="P187" t="s">
        <v>8729</v>
      </c>
    </row>
    <row r="188" spans="1:16" x14ac:dyDescent="0.15">
      <c r="A188" s="5" t="s">
        <v>95</v>
      </c>
      <c r="B188" s="5" t="s">
        <v>1563</v>
      </c>
      <c r="C188" s="5" t="s">
        <v>1610</v>
      </c>
      <c r="D188" s="5" t="s">
        <v>1693</v>
      </c>
      <c r="E188" s="5" t="s">
        <v>35</v>
      </c>
      <c r="F188" s="12">
        <v>43678.65898148148</v>
      </c>
      <c r="G188" t="s">
        <v>8730</v>
      </c>
      <c r="H188" s="5" t="s">
        <v>653</v>
      </c>
      <c r="I188" s="6">
        <v>2535</v>
      </c>
      <c r="J188" s="5" t="s">
        <v>15</v>
      </c>
      <c r="K188" s="6">
        <v>18</v>
      </c>
      <c r="L188" s="6">
        <v>45630</v>
      </c>
      <c r="M188" s="5" t="s">
        <v>1560</v>
      </c>
      <c r="N188" s="5" t="s">
        <v>1558</v>
      </c>
      <c r="O188" s="13">
        <v>43678</v>
      </c>
      <c r="P188" t="s">
        <v>8730</v>
      </c>
    </row>
    <row r="189" spans="1:16" x14ac:dyDescent="0.15">
      <c r="A189" s="5" t="s">
        <v>656</v>
      </c>
      <c r="B189" s="5" t="s">
        <v>1563</v>
      </c>
      <c r="C189" s="5" t="s">
        <v>1611</v>
      </c>
      <c r="D189" s="5" t="s">
        <v>1693</v>
      </c>
      <c r="E189" s="5" t="s">
        <v>35</v>
      </c>
      <c r="F189" s="12">
        <v>43678.67454861111</v>
      </c>
      <c r="G189" t="s">
        <v>8730</v>
      </c>
      <c r="H189" s="5" t="s">
        <v>657</v>
      </c>
      <c r="I189" s="6">
        <v>1170</v>
      </c>
      <c r="J189" s="5" t="s">
        <v>15</v>
      </c>
      <c r="K189" s="6">
        <v>18</v>
      </c>
      <c r="L189" s="6">
        <v>21060</v>
      </c>
      <c r="M189" s="5" t="s">
        <v>1560</v>
      </c>
      <c r="N189" s="5" t="s">
        <v>1558</v>
      </c>
      <c r="O189" s="13">
        <v>43678</v>
      </c>
      <c r="P189" t="s">
        <v>8730</v>
      </c>
    </row>
    <row r="190" spans="1:16" x14ac:dyDescent="0.15">
      <c r="A190" s="5" t="s">
        <v>658</v>
      </c>
      <c r="B190" s="5" t="s">
        <v>1563</v>
      </c>
      <c r="C190" s="5" t="s">
        <v>1588</v>
      </c>
      <c r="D190" s="5" t="s">
        <v>1693</v>
      </c>
      <c r="E190" s="5" t="s">
        <v>35</v>
      </c>
      <c r="F190" s="12">
        <v>43678.676111111112</v>
      </c>
      <c r="G190" t="s">
        <v>8730</v>
      </c>
      <c r="H190" s="5" t="s">
        <v>659</v>
      </c>
      <c r="I190" s="6">
        <v>1462.5</v>
      </c>
      <c r="J190" s="5" t="s">
        <v>15</v>
      </c>
      <c r="K190" s="6">
        <v>18</v>
      </c>
      <c r="L190" s="6">
        <v>26325</v>
      </c>
      <c r="M190" s="5" t="s">
        <v>1560</v>
      </c>
      <c r="N190" s="5" t="s">
        <v>1558</v>
      </c>
      <c r="O190" s="13">
        <v>43678</v>
      </c>
      <c r="P190" t="s">
        <v>8730</v>
      </c>
    </row>
    <row r="191" spans="1:16" x14ac:dyDescent="0.15">
      <c r="A191" s="5" t="s">
        <v>661</v>
      </c>
      <c r="B191" s="5" t="s">
        <v>1563</v>
      </c>
      <c r="C191" s="5" t="s">
        <v>1585</v>
      </c>
      <c r="D191" s="5" t="s">
        <v>1693</v>
      </c>
      <c r="E191" s="5" t="s">
        <v>35</v>
      </c>
      <c r="F191" s="12">
        <v>43678.679108796299</v>
      </c>
      <c r="G191" t="s">
        <v>8730</v>
      </c>
      <c r="H191" s="5" t="s">
        <v>663</v>
      </c>
      <c r="I191" s="6">
        <v>10432.5</v>
      </c>
      <c r="J191" s="5" t="s">
        <v>15</v>
      </c>
      <c r="K191" s="6">
        <v>18</v>
      </c>
      <c r="L191" s="6">
        <v>187785</v>
      </c>
      <c r="M191" s="5" t="s">
        <v>1560</v>
      </c>
      <c r="N191" s="5" t="s">
        <v>1558</v>
      </c>
      <c r="O191" s="13">
        <v>43678</v>
      </c>
      <c r="P191" t="s">
        <v>8730</v>
      </c>
    </row>
    <row r="192" spans="1:16" x14ac:dyDescent="0.15">
      <c r="A192" s="5" t="s">
        <v>670</v>
      </c>
      <c r="B192" s="5" t="s">
        <v>1563</v>
      </c>
      <c r="C192" s="5" t="s">
        <v>1571</v>
      </c>
      <c r="D192" s="5" t="s">
        <v>1693</v>
      </c>
      <c r="E192" s="5" t="s">
        <v>35</v>
      </c>
      <c r="F192" s="12">
        <v>43678.84375</v>
      </c>
      <c r="G192" t="s">
        <v>8730</v>
      </c>
      <c r="H192" s="5" t="s">
        <v>671</v>
      </c>
      <c r="I192" s="6">
        <v>15795</v>
      </c>
      <c r="J192" s="5" t="s">
        <v>15</v>
      </c>
      <c r="K192" s="6">
        <v>17</v>
      </c>
      <c r="L192" s="6">
        <v>268515</v>
      </c>
      <c r="M192" s="5" t="s">
        <v>1560</v>
      </c>
      <c r="N192" s="5" t="s">
        <v>1558</v>
      </c>
      <c r="O192" s="13">
        <v>43678</v>
      </c>
      <c r="P192" t="s">
        <v>8730</v>
      </c>
    </row>
    <row r="193" spans="1:16" x14ac:dyDescent="0.15">
      <c r="A193" s="5" t="s">
        <v>674</v>
      </c>
      <c r="B193" s="5" t="s">
        <v>1563</v>
      </c>
      <c r="C193" s="5" t="s">
        <v>1590</v>
      </c>
      <c r="D193" s="5" t="s">
        <v>1693</v>
      </c>
      <c r="E193" s="5" t="s">
        <v>35</v>
      </c>
      <c r="F193" s="12">
        <v>43679.658182870371</v>
      </c>
      <c r="G193" t="s">
        <v>8730</v>
      </c>
      <c r="H193" s="5" t="s">
        <v>676</v>
      </c>
      <c r="I193" s="6">
        <v>3315</v>
      </c>
      <c r="J193" s="5" t="s">
        <v>15</v>
      </c>
      <c r="K193" s="6">
        <v>16</v>
      </c>
      <c r="L193" s="6">
        <v>53040</v>
      </c>
      <c r="M193" s="5" t="s">
        <v>1560</v>
      </c>
      <c r="N193" s="5" t="s">
        <v>1558</v>
      </c>
      <c r="O193" s="13">
        <v>43678</v>
      </c>
      <c r="P193" t="s">
        <v>8730</v>
      </c>
    </row>
    <row r="194" spans="1:16" x14ac:dyDescent="0.15">
      <c r="A194" s="5" t="s">
        <v>679</v>
      </c>
      <c r="B194" s="5" t="s">
        <v>1563</v>
      </c>
      <c r="C194" s="5" t="s">
        <v>1611</v>
      </c>
      <c r="D194" s="5" t="s">
        <v>1693</v>
      </c>
      <c r="E194" s="5" t="s">
        <v>35</v>
      </c>
      <c r="F194" s="12">
        <v>43682.782627314817</v>
      </c>
      <c r="G194" t="s">
        <v>8730</v>
      </c>
      <c r="H194" s="5" t="s">
        <v>680</v>
      </c>
      <c r="I194" s="6">
        <v>-1170</v>
      </c>
      <c r="J194" s="5" t="s">
        <v>15</v>
      </c>
      <c r="K194" s="6">
        <v>18</v>
      </c>
      <c r="L194" s="6">
        <v>-21060</v>
      </c>
      <c r="M194" s="5" t="s">
        <v>1560</v>
      </c>
      <c r="N194" s="5" t="s">
        <v>1558</v>
      </c>
      <c r="O194" s="13">
        <v>43682</v>
      </c>
      <c r="P194" t="s">
        <v>8730</v>
      </c>
    </row>
    <row r="195" spans="1:16" x14ac:dyDescent="0.15">
      <c r="A195" s="5" t="s">
        <v>679</v>
      </c>
      <c r="B195" s="5" t="s">
        <v>1563</v>
      </c>
      <c r="C195" s="5" t="s">
        <v>1611</v>
      </c>
      <c r="D195" s="5" t="s">
        <v>1693</v>
      </c>
      <c r="E195" s="5" t="s">
        <v>35</v>
      </c>
      <c r="F195" s="12">
        <v>43682.782847222225</v>
      </c>
      <c r="G195" t="s">
        <v>8730</v>
      </c>
      <c r="H195" s="5" t="s">
        <v>681</v>
      </c>
      <c r="I195" s="6">
        <v>1170</v>
      </c>
      <c r="J195" s="5" t="s">
        <v>15</v>
      </c>
      <c r="K195" s="6">
        <v>17.5</v>
      </c>
      <c r="L195" s="6">
        <v>20475</v>
      </c>
      <c r="M195" s="5" t="s">
        <v>1560</v>
      </c>
      <c r="N195" s="5" t="s">
        <v>1558</v>
      </c>
      <c r="O195" s="13">
        <v>43682</v>
      </c>
      <c r="P195" t="s">
        <v>8730</v>
      </c>
    </row>
    <row r="196" spans="1:16" x14ac:dyDescent="0.15">
      <c r="A196" s="5" t="s">
        <v>98</v>
      </c>
      <c r="B196" s="5" t="s">
        <v>1563</v>
      </c>
      <c r="C196" s="5" t="s">
        <v>1600</v>
      </c>
      <c r="D196" s="5" t="s">
        <v>1693</v>
      </c>
      <c r="E196" s="5" t="s">
        <v>35</v>
      </c>
      <c r="F196" s="12">
        <v>43684.577731481484</v>
      </c>
      <c r="G196" t="s">
        <v>8730</v>
      </c>
      <c r="H196" s="5" t="s">
        <v>689</v>
      </c>
      <c r="I196" s="6">
        <v>7800</v>
      </c>
      <c r="J196" s="5" t="s">
        <v>15</v>
      </c>
      <c r="K196" s="6">
        <v>18</v>
      </c>
      <c r="L196" s="6">
        <v>140400</v>
      </c>
      <c r="M196" s="5" t="s">
        <v>1560</v>
      </c>
      <c r="N196" s="5" t="s">
        <v>1558</v>
      </c>
      <c r="O196" s="13">
        <v>43684</v>
      </c>
      <c r="P196" t="s">
        <v>8730</v>
      </c>
    </row>
    <row r="197" spans="1:16" x14ac:dyDescent="0.15">
      <c r="A197" s="5" t="s">
        <v>693</v>
      </c>
      <c r="B197" s="5" t="s">
        <v>1563</v>
      </c>
      <c r="C197" s="5" t="s">
        <v>1612</v>
      </c>
      <c r="D197" s="5" t="s">
        <v>1693</v>
      </c>
      <c r="E197" s="5" t="s">
        <v>35</v>
      </c>
      <c r="F197" s="12">
        <v>43684.731180555558</v>
      </c>
      <c r="G197" t="s">
        <v>8730</v>
      </c>
      <c r="H197" s="5" t="s">
        <v>696</v>
      </c>
      <c r="I197" s="6">
        <v>780</v>
      </c>
      <c r="J197" s="5" t="s">
        <v>15</v>
      </c>
      <c r="K197" s="6">
        <v>7</v>
      </c>
      <c r="L197" s="6">
        <v>5460</v>
      </c>
      <c r="M197" s="5" t="s">
        <v>1560</v>
      </c>
      <c r="N197" s="5" t="s">
        <v>1558</v>
      </c>
      <c r="O197" s="13">
        <v>43684</v>
      </c>
      <c r="P197" t="s">
        <v>8730</v>
      </c>
    </row>
    <row r="198" spans="1:16" x14ac:dyDescent="0.15">
      <c r="A198" s="5" t="s">
        <v>700</v>
      </c>
      <c r="B198" s="5" t="s">
        <v>1563</v>
      </c>
      <c r="C198" s="5" t="s">
        <v>1571</v>
      </c>
      <c r="D198" s="5" t="s">
        <v>1693</v>
      </c>
      <c r="E198" s="5" t="s">
        <v>35</v>
      </c>
      <c r="F198" s="12">
        <v>43685.819791666669</v>
      </c>
      <c r="G198" t="s">
        <v>8730</v>
      </c>
      <c r="H198" s="5" t="s">
        <v>701</v>
      </c>
      <c r="I198" s="6">
        <v>27300</v>
      </c>
      <c r="J198" s="5" t="s">
        <v>15</v>
      </c>
      <c r="K198" s="6">
        <v>14</v>
      </c>
      <c r="L198" s="6">
        <v>382200</v>
      </c>
      <c r="M198" s="5" t="s">
        <v>1560</v>
      </c>
      <c r="N198" s="5" t="s">
        <v>1558</v>
      </c>
      <c r="O198" s="13">
        <v>43685</v>
      </c>
      <c r="P198" t="s">
        <v>8730</v>
      </c>
    </row>
    <row r="199" spans="1:16" x14ac:dyDescent="0.15">
      <c r="A199" s="5" t="s">
        <v>104</v>
      </c>
      <c r="B199" s="5" t="s">
        <v>1563</v>
      </c>
      <c r="C199" s="5" t="s">
        <v>1613</v>
      </c>
      <c r="D199" s="5" t="s">
        <v>1693</v>
      </c>
      <c r="E199" s="5" t="s">
        <v>35</v>
      </c>
      <c r="F199" s="12">
        <v>43686.725185185183</v>
      </c>
      <c r="G199" t="s">
        <v>8730</v>
      </c>
      <c r="H199" s="5" t="s">
        <v>706</v>
      </c>
      <c r="I199" s="6">
        <v>97.5</v>
      </c>
      <c r="J199" s="5" t="s">
        <v>15</v>
      </c>
      <c r="K199" s="6">
        <v>18</v>
      </c>
      <c r="L199" s="6">
        <v>1755</v>
      </c>
      <c r="M199" s="5" t="s">
        <v>1560</v>
      </c>
      <c r="N199" s="5" t="s">
        <v>1558</v>
      </c>
      <c r="O199" s="13">
        <v>43686</v>
      </c>
      <c r="P199" t="s">
        <v>8730</v>
      </c>
    </row>
    <row r="200" spans="1:16" x14ac:dyDescent="0.15">
      <c r="A200" s="5" t="s">
        <v>716</v>
      </c>
      <c r="B200" s="5" t="s">
        <v>1563</v>
      </c>
      <c r="C200" s="5" t="s">
        <v>1574</v>
      </c>
      <c r="D200" s="5" t="s">
        <v>1693</v>
      </c>
      <c r="E200" s="5" t="s">
        <v>35</v>
      </c>
      <c r="F200" s="12">
        <v>43696.656030092592</v>
      </c>
      <c r="G200" t="s">
        <v>8730</v>
      </c>
      <c r="H200" s="5" t="s">
        <v>720</v>
      </c>
      <c r="I200" s="6">
        <v>2340</v>
      </c>
      <c r="J200" s="5" t="s">
        <v>15</v>
      </c>
      <c r="K200" s="6">
        <v>18</v>
      </c>
      <c r="L200" s="6">
        <v>42120</v>
      </c>
      <c r="M200" s="5" t="s">
        <v>1560</v>
      </c>
      <c r="N200" s="5" t="s">
        <v>1558</v>
      </c>
      <c r="O200" s="13">
        <v>43691</v>
      </c>
      <c r="P200" t="s">
        <v>8730</v>
      </c>
    </row>
    <row r="201" spans="1:16" x14ac:dyDescent="0.15">
      <c r="A201" s="5" t="s">
        <v>723</v>
      </c>
      <c r="B201" s="5" t="s">
        <v>1563</v>
      </c>
      <c r="C201" s="5" t="s">
        <v>1585</v>
      </c>
      <c r="D201" s="5" t="s">
        <v>1693</v>
      </c>
      <c r="E201" s="5" t="s">
        <v>35</v>
      </c>
      <c r="F201" s="12">
        <v>43696.660312499997</v>
      </c>
      <c r="G201" t="s">
        <v>8730</v>
      </c>
      <c r="H201" s="5" t="s">
        <v>724</v>
      </c>
      <c r="I201" s="6">
        <v>1657.5</v>
      </c>
      <c r="J201" s="5" t="s">
        <v>15</v>
      </c>
      <c r="K201" s="6">
        <v>18</v>
      </c>
      <c r="L201" s="6">
        <v>29835</v>
      </c>
      <c r="M201" s="5" t="s">
        <v>1560</v>
      </c>
      <c r="N201" s="5" t="s">
        <v>1558</v>
      </c>
      <c r="O201" s="13">
        <v>43691</v>
      </c>
      <c r="P201" t="s">
        <v>8730</v>
      </c>
    </row>
    <row r="202" spans="1:16" x14ac:dyDescent="0.15">
      <c r="A202" s="5" t="s">
        <v>728</v>
      </c>
      <c r="B202" s="5" t="s">
        <v>1563</v>
      </c>
      <c r="C202" s="5" t="s">
        <v>1614</v>
      </c>
      <c r="D202" s="5" t="s">
        <v>1693</v>
      </c>
      <c r="E202" s="5" t="s">
        <v>35</v>
      </c>
      <c r="F202" s="12">
        <v>43696.671793981484</v>
      </c>
      <c r="G202" t="s">
        <v>8730</v>
      </c>
      <c r="H202" s="5" t="s">
        <v>729</v>
      </c>
      <c r="I202" s="6">
        <v>97.5</v>
      </c>
      <c r="J202" s="5" t="s">
        <v>15</v>
      </c>
      <c r="K202" s="6">
        <v>18.399999999999999</v>
      </c>
      <c r="L202" s="6">
        <v>1794</v>
      </c>
      <c r="M202" s="5" t="s">
        <v>1560</v>
      </c>
      <c r="N202" s="5" t="s">
        <v>1558</v>
      </c>
      <c r="O202" s="13">
        <v>43691</v>
      </c>
      <c r="P202" t="s">
        <v>8730</v>
      </c>
    </row>
    <row r="203" spans="1:16" x14ac:dyDescent="0.15">
      <c r="A203" s="5" t="s">
        <v>109</v>
      </c>
      <c r="B203" s="5" t="s">
        <v>1563</v>
      </c>
      <c r="C203" s="5" t="s">
        <v>1591</v>
      </c>
      <c r="D203" s="5" t="s">
        <v>1693</v>
      </c>
      <c r="E203" s="5" t="s">
        <v>35</v>
      </c>
      <c r="F203" s="12">
        <v>43696.693240740744</v>
      </c>
      <c r="G203" t="s">
        <v>8730</v>
      </c>
      <c r="H203" s="5" t="s">
        <v>737</v>
      </c>
      <c r="I203" s="6">
        <v>1170</v>
      </c>
      <c r="J203" s="5" t="s">
        <v>15</v>
      </c>
      <c r="K203" s="6">
        <v>18</v>
      </c>
      <c r="L203" s="6">
        <v>21060</v>
      </c>
      <c r="M203" s="5" t="s">
        <v>1560</v>
      </c>
      <c r="N203" s="5" t="s">
        <v>1558</v>
      </c>
      <c r="O203" s="13">
        <v>43689</v>
      </c>
      <c r="P203" t="s">
        <v>8730</v>
      </c>
    </row>
    <row r="204" spans="1:16" x14ac:dyDescent="0.15">
      <c r="A204" s="5" t="s">
        <v>110</v>
      </c>
      <c r="B204" s="5" t="s">
        <v>1563</v>
      </c>
      <c r="C204" s="5" t="s">
        <v>1610</v>
      </c>
      <c r="D204" s="5" t="s">
        <v>1693</v>
      </c>
      <c r="E204" s="5" t="s">
        <v>35</v>
      </c>
      <c r="F204" s="12">
        <v>43696.697511574072</v>
      </c>
      <c r="G204" t="s">
        <v>8730</v>
      </c>
      <c r="H204" s="5" t="s">
        <v>738</v>
      </c>
      <c r="I204" s="6">
        <v>3022.5</v>
      </c>
      <c r="J204" s="5" t="s">
        <v>15</v>
      </c>
      <c r="K204" s="6">
        <v>18</v>
      </c>
      <c r="L204" s="6">
        <v>54405</v>
      </c>
      <c r="M204" s="5" t="s">
        <v>1560</v>
      </c>
      <c r="N204" s="5" t="s">
        <v>1558</v>
      </c>
      <c r="O204" s="13">
        <v>43690</v>
      </c>
      <c r="P204" t="s">
        <v>8730</v>
      </c>
    </row>
    <row r="205" spans="1:16" x14ac:dyDescent="0.15">
      <c r="A205" s="5" t="s">
        <v>742</v>
      </c>
      <c r="B205" s="5" t="s">
        <v>1563</v>
      </c>
      <c r="C205" s="5" t="s">
        <v>1615</v>
      </c>
      <c r="D205" s="5" t="s">
        <v>1693</v>
      </c>
      <c r="E205" s="5" t="s">
        <v>35</v>
      </c>
      <c r="F205" s="12">
        <v>43697.604849537034</v>
      </c>
      <c r="G205" t="s">
        <v>8730</v>
      </c>
      <c r="H205" s="5" t="s">
        <v>743</v>
      </c>
      <c r="I205" s="6">
        <v>5362.5</v>
      </c>
      <c r="J205" s="5" t="s">
        <v>15</v>
      </c>
      <c r="K205" s="6">
        <v>16</v>
      </c>
      <c r="L205" s="6">
        <v>85800</v>
      </c>
      <c r="M205" s="5" t="s">
        <v>1560</v>
      </c>
      <c r="N205" s="5" t="s">
        <v>1558</v>
      </c>
      <c r="O205" s="13">
        <v>43697</v>
      </c>
      <c r="P205" t="s">
        <v>8730</v>
      </c>
    </row>
    <row r="206" spans="1:16" x14ac:dyDescent="0.15">
      <c r="A206" s="5" t="s">
        <v>112</v>
      </c>
      <c r="B206" s="5" t="s">
        <v>1563</v>
      </c>
      <c r="C206" s="5" t="s">
        <v>1571</v>
      </c>
      <c r="D206" s="5" t="s">
        <v>1693</v>
      </c>
      <c r="E206" s="5" t="s">
        <v>35</v>
      </c>
      <c r="F206" s="12">
        <v>43698.721979166665</v>
      </c>
      <c r="G206" t="s">
        <v>8730</v>
      </c>
      <c r="H206" s="5" t="s">
        <v>747</v>
      </c>
      <c r="I206" s="6">
        <v>6922.5</v>
      </c>
      <c r="J206" s="5" t="s">
        <v>15</v>
      </c>
      <c r="K206" s="6">
        <v>16</v>
      </c>
      <c r="L206" s="6">
        <v>110760</v>
      </c>
      <c r="M206" s="5" t="s">
        <v>1560</v>
      </c>
      <c r="N206" s="5" t="s">
        <v>1558</v>
      </c>
      <c r="O206" s="13">
        <v>43698</v>
      </c>
      <c r="P206" t="s">
        <v>8730</v>
      </c>
    </row>
    <row r="207" spans="1:16" x14ac:dyDescent="0.15">
      <c r="A207" s="5" t="s">
        <v>116</v>
      </c>
      <c r="B207" s="5" t="s">
        <v>1563</v>
      </c>
      <c r="C207" s="5" t="s">
        <v>1616</v>
      </c>
      <c r="D207" s="5" t="s">
        <v>1693</v>
      </c>
      <c r="E207" s="5" t="s">
        <v>35</v>
      </c>
      <c r="F207" s="12">
        <v>43700.608680555553</v>
      </c>
      <c r="G207" t="s">
        <v>8730</v>
      </c>
      <c r="H207" s="5" t="s">
        <v>767</v>
      </c>
      <c r="I207" s="6">
        <v>1462.5</v>
      </c>
      <c r="J207" s="5" t="s">
        <v>15</v>
      </c>
      <c r="K207" s="6">
        <v>18</v>
      </c>
      <c r="L207" s="6">
        <v>26325</v>
      </c>
      <c r="M207" s="5" t="s">
        <v>1560</v>
      </c>
      <c r="N207" s="5" t="s">
        <v>1558</v>
      </c>
      <c r="O207" s="13">
        <v>43699</v>
      </c>
      <c r="P207" t="s">
        <v>8730</v>
      </c>
    </row>
    <row r="208" spans="1:16" x14ac:dyDescent="0.15">
      <c r="A208" s="5" t="s">
        <v>768</v>
      </c>
      <c r="B208" s="5" t="s">
        <v>1563</v>
      </c>
      <c r="C208" s="5" t="s">
        <v>1617</v>
      </c>
      <c r="D208" s="5" t="s">
        <v>1693</v>
      </c>
      <c r="E208" s="5" t="s">
        <v>35</v>
      </c>
      <c r="F208" s="12">
        <v>43700.632627314815</v>
      </c>
      <c r="G208" t="s">
        <v>8730</v>
      </c>
      <c r="H208" s="5" t="s">
        <v>769</v>
      </c>
      <c r="I208" s="6">
        <v>4095</v>
      </c>
      <c r="J208" s="5" t="s">
        <v>15</v>
      </c>
      <c r="K208" s="6">
        <v>18</v>
      </c>
      <c r="L208" s="6">
        <v>73710</v>
      </c>
      <c r="M208" s="5" t="s">
        <v>1560</v>
      </c>
      <c r="N208" s="5" t="s">
        <v>1558</v>
      </c>
      <c r="O208" s="13">
        <v>43700</v>
      </c>
      <c r="P208" t="s">
        <v>8730</v>
      </c>
    </row>
    <row r="209" spans="1:16" x14ac:dyDescent="0.15">
      <c r="A209" s="5" t="s">
        <v>770</v>
      </c>
      <c r="B209" s="5" t="s">
        <v>1563</v>
      </c>
      <c r="C209" s="5" t="s">
        <v>1618</v>
      </c>
      <c r="D209" s="5" t="s">
        <v>1693</v>
      </c>
      <c r="E209" s="5" t="s">
        <v>35</v>
      </c>
      <c r="F209" s="12">
        <v>43703.629803240743</v>
      </c>
      <c r="G209" t="s">
        <v>8730</v>
      </c>
      <c r="H209" s="5" t="s">
        <v>771</v>
      </c>
      <c r="I209" s="6">
        <v>4485</v>
      </c>
      <c r="J209" s="5" t="s">
        <v>15</v>
      </c>
      <c r="K209" s="6">
        <v>18</v>
      </c>
      <c r="L209" s="6">
        <v>80730</v>
      </c>
      <c r="M209" s="5" t="s">
        <v>1560</v>
      </c>
      <c r="N209" s="5" t="s">
        <v>1558</v>
      </c>
      <c r="O209" s="13">
        <v>43703</v>
      </c>
      <c r="P209" t="s">
        <v>8730</v>
      </c>
    </row>
    <row r="210" spans="1:16" x14ac:dyDescent="0.15">
      <c r="A210" s="5" t="s">
        <v>773</v>
      </c>
      <c r="B210" s="5" t="s">
        <v>1563</v>
      </c>
      <c r="C210" s="5" t="s">
        <v>1583</v>
      </c>
      <c r="D210" s="5" t="s">
        <v>1693</v>
      </c>
      <c r="E210" s="5" t="s">
        <v>35</v>
      </c>
      <c r="F210" s="12">
        <v>43703.635011574072</v>
      </c>
      <c r="G210" t="s">
        <v>8730</v>
      </c>
      <c r="H210" s="5" t="s">
        <v>775</v>
      </c>
      <c r="I210" s="6">
        <v>1072.5</v>
      </c>
      <c r="J210" s="5" t="s">
        <v>15</v>
      </c>
      <c r="K210" s="6">
        <v>18</v>
      </c>
      <c r="L210" s="6">
        <v>19305</v>
      </c>
      <c r="M210" s="5" t="s">
        <v>1560</v>
      </c>
      <c r="N210" s="5" t="s">
        <v>1558</v>
      </c>
      <c r="O210" s="13">
        <v>43703</v>
      </c>
      <c r="P210" t="s">
        <v>8730</v>
      </c>
    </row>
    <row r="211" spans="1:16" x14ac:dyDescent="0.15">
      <c r="A211" s="5" t="s">
        <v>120</v>
      </c>
      <c r="B211" s="5" t="s">
        <v>1563</v>
      </c>
      <c r="C211" s="5" t="s">
        <v>1619</v>
      </c>
      <c r="D211" s="5" t="s">
        <v>1693</v>
      </c>
      <c r="E211" s="5" t="s">
        <v>35</v>
      </c>
      <c r="F211" s="12">
        <v>43703.697210648148</v>
      </c>
      <c r="G211" t="s">
        <v>8730</v>
      </c>
      <c r="H211" s="5" t="s">
        <v>784</v>
      </c>
      <c r="I211" s="6">
        <v>1170</v>
      </c>
      <c r="J211" s="5" t="s">
        <v>15</v>
      </c>
      <c r="K211" s="6">
        <v>16</v>
      </c>
      <c r="L211" s="6">
        <v>18720</v>
      </c>
      <c r="M211" s="5" t="s">
        <v>1560</v>
      </c>
      <c r="N211" s="5" t="s">
        <v>1558</v>
      </c>
      <c r="O211" s="13">
        <v>43699</v>
      </c>
      <c r="P211" t="s">
        <v>8730</v>
      </c>
    </row>
    <row r="212" spans="1:16" x14ac:dyDescent="0.15">
      <c r="A212" s="5" t="s">
        <v>786</v>
      </c>
      <c r="B212" s="5" t="s">
        <v>1563</v>
      </c>
      <c r="C212" s="5" t="s">
        <v>1620</v>
      </c>
      <c r="D212" s="5" t="s">
        <v>1693</v>
      </c>
      <c r="E212" s="5" t="s">
        <v>35</v>
      </c>
      <c r="F212" s="12">
        <v>43703.792523148149</v>
      </c>
      <c r="G212" t="s">
        <v>8730</v>
      </c>
      <c r="H212" s="5" t="s">
        <v>787</v>
      </c>
      <c r="I212" s="6">
        <v>15015</v>
      </c>
      <c r="J212" s="5" t="s">
        <v>15</v>
      </c>
      <c r="K212" s="6">
        <v>16</v>
      </c>
      <c r="L212" s="6">
        <v>240240</v>
      </c>
      <c r="M212" s="5" t="s">
        <v>1560</v>
      </c>
      <c r="N212" s="5" t="s">
        <v>1558</v>
      </c>
      <c r="O212" s="13">
        <v>43703</v>
      </c>
      <c r="P212" t="s">
        <v>8730</v>
      </c>
    </row>
    <row r="213" spans="1:16" x14ac:dyDescent="0.15">
      <c r="A213" s="5" t="s">
        <v>790</v>
      </c>
      <c r="B213" s="5" t="s">
        <v>1563</v>
      </c>
      <c r="C213" s="5" t="s">
        <v>1621</v>
      </c>
      <c r="D213" s="5" t="s">
        <v>1693</v>
      </c>
      <c r="E213" s="5" t="s">
        <v>35</v>
      </c>
      <c r="F213" s="12">
        <v>43704.708668981482</v>
      </c>
      <c r="G213" t="s">
        <v>8730</v>
      </c>
      <c r="H213" s="5" t="s">
        <v>791</v>
      </c>
      <c r="I213" s="6">
        <v>292.5</v>
      </c>
      <c r="J213" s="5" t="s">
        <v>15</v>
      </c>
      <c r="K213" s="6">
        <v>19.34</v>
      </c>
      <c r="L213" s="6">
        <v>5656.95</v>
      </c>
      <c r="M213" s="5" t="s">
        <v>1560</v>
      </c>
      <c r="N213" s="5" t="s">
        <v>1558</v>
      </c>
      <c r="O213" s="13">
        <v>43704</v>
      </c>
      <c r="P213" t="s">
        <v>8730</v>
      </c>
    </row>
    <row r="214" spans="1:16" x14ac:dyDescent="0.15">
      <c r="A214" s="5" t="s">
        <v>123</v>
      </c>
      <c r="B214" s="5" t="s">
        <v>1563</v>
      </c>
      <c r="C214" s="5" t="s">
        <v>1571</v>
      </c>
      <c r="D214" s="5" t="s">
        <v>1693</v>
      </c>
      <c r="E214" s="5" t="s">
        <v>35</v>
      </c>
      <c r="F214" s="12">
        <v>43705.6637962963</v>
      </c>
      <c r="G214" t="s">
        <v>8730</v>
      </c>
      <c r="H214" s="5" t="s">
        <v>793</v>
      </c>
      <c r="I214" s="6">
        <v>1950</v>
      </c>
      <c r="J214" s="5" t="s">
        <v>15</v>
      </c>
      <c r="K214" s="6">
        <v>16</v>
      </c>
      <c r="L214" s="6">
        <v>31200</v>
      </c>
      <c r="M214" s="5" t="s">
        <v>1560</v>
      </c>
      <c r="N214" s="5" t="s">
        <v>1558</v>
      </c>
      <c r="O214" s="13">
        <v>43705</v>
      </c>
      <c r="P214" t="s">
        <v>8730</v>
      </c>
    </row>
    <row r="215" spans="1:16" x14ac:dyDescent="0.15">
      <c r="A215" s="5" t="s">
        <v>124</v>
      </c>
      <c r="B215" s="5" t="s">
        <v>1563</v>
      </c>
      <c r="C215" s="5" t="s">
        <v>1577</v>
      </c>
      <c r="D215" s="5" t="s">
        <v>1693</v>
      </c>
      <c r="E215" s="5" t="s">
        <v>35</v>
      </c>
      <c r="F215" s="12">
        <v>43710.677523148152</v>
      </c>
      <c r="G215" t="s">
        <v>8731</v>
      </c>
      <c r="H215" s="5" t="s">
        <v>794</v>
      </c>
      <c r="I215" s="6">
        <v>3900</v>
      </c>
      <c r="J215" s="5" t="s">
        <v>15</v>
      </c>
      <c r="K215" s="6">
        <v>17.5</v>
      </c>
      <c r="L215" s="6">
        <v>68250</v>
      </c>
      <c r="M215" s="5" t="s">
        <v>1560</v>
      </c>
      <c r="N215" s="5" t="s">
        <v>1558</v>
      </c>
      <c r="O215" s="13">
        <v>43710</v>
      </c>
      <c r="P215" t="s">
        <v>8731</v>
      </c>
    </row>
    <row r="216" spans="1:16" x14ac:dyDescent="0.15">
      <c r="A216" s="5" t="s">
        <v>125</v>
      </c>
      <c r="B216" s="5" t="s">
        <v>1563</v>
      </c>
      <c r="C216" s="5" t="s">
        <v>1599</v>
      </c>
      <c r="D216" s="5" t="s">
        <v>1693</v>
      </c>
      <c r="E216" s="5" t="s">
        <v>35</v>
      </c>
      <c r="F216" s="12">
        <v>43710.686493055553</v>
      </c>
      <c r="G216" t="s">
        <v>8731</v>
      </c>
      <c r="H216" s="5" t="s">
        <v>795</v>
      </c>
      <c r="I216" s="6">
        <v>25350</v>
      </c>
      <c r="J216" s="5" t="s">
        <v>15</v>
      </c>
      <c r="K216" s="6">
        <v>16.2</v>
      </c>
      <c r="L216" s="6">
        <v>410670</v>
      </c>
      <c r="M216" s="5" t="s">
        <v>1560</v>
      </c>
      <c r="N216" s="5" t="s">
        <v>1558</v>
      </c>
      <c r="O216" s="13">
        <v>43710</v>
      </c>
      <c r="P216" t="s">
        <v>8731</v>
      </c>
    </row>
    <row r="217" spans="1:16" x14ac:dyDescent="0.15">
      <c r="A217" s="5" t="s">
        <v>796</v>
      </c>
      <c r="B217" s="5" t="s">
        <v>1563</v>
      </c>
      <c r="C217" s="5" t="s">
        <v>1622</v>
      </c>
      <c r="D217" s="5" t="s">
        <v>1693</v>
      </c>
      <c r="E217" s="5" t="s">
        <v>35</v>
      </c>
      <c r="F217" s="12">
        <v>43710.692824074074</v>
      </c>
      <c r="G217" t="s">
        <v>8731</v>
      </c>
      <c r="H217" s="5" t="s">
        <v>797</v>
      </c>
      <c r="I217" s="6">
        <v>4387.5</v>
      </c>
      <c r="J217" s="5" t="s">
        <v>15</v>
      </c>
      <c r="K217" s="6">
        <v>18</v>
      </c>
      <c r="L217" s="6">
        <v>78975</v>
      </c>
      <c r="M217" s="5" t="s">
        <v>1560</v>
      </c>
      <c r="N217" s="5" t="s">
        <v>1558</v>
      </c>
      <c r="O217" s="13">
        <v>43710</v>
      </c>
      <c r="P217" t="s">
        <v>8731</v>
      </c>
    </row>
    <row r="218" spans="1:16" x14ac:dyDescent="0.15">
      <c r="A218" s="5" t="s">
        <v>807</v>
      </c>
      <c r="B218" s="5" t="s">
        <v>1563</v>
      </c>
      <c r="C218" s="5" t="s">
        <v>1614</v>
      </c>
      <c r="D218" s="5" t="s">
        <v>1693</v>
      </c>
      <c r="E218" s="5" t="s">
        <v>35</v>
      </c>
      <c r="F218" s="12">
        <v>43711.717615740738</v>
      </c>
      <c r="G218" t="s">
        <v>8731</v>
      </c>
      <c r="H218" s="5" t="s">
        <v>808</v>
      </c>
      <c r="I218" s="6">
        <v>-97.5</v>
      </c>
      <c r="J218" s="5" t="s">
        <v>15</v>
      </c>
      <c r="K218" s="6">
        <v>18.399999999999999</v>
      </c>
      <c r="L218" s="6">
        <v>-1794</v>
      </c>
      <c r="M218" s="5" t="s">
        <v>1560</v>
      </c>
      <c r="N218" s="5" t="s">
        <v>1558</v>
      </c>
      <c r="O218" s="13">
        <v>43707</v>
      </c>
      <c r="P218" t="s">
        <v>8730</v>
      </c>
    </row>
    <row r="219" spans="1:16" x14ac:dyDescent="0.15">
      <c r="A219" s="5" t="s">
        <v>807</v>
      </c>
      <c r="B219" s="5" t="s">
        <v>1563</v>
      </c>
      <c r="C219" s="5" t="s">
        <v>1614</v>
      </c>
      <c r="D219" s="5" t="s">
        <v>1693</v>
      </c>
      <c r="E219" s="5" t="s">
        <v>35</v>
      </c>
      <c r="F219" s="12">
        <v>43711.717615740738</v>
      </c>
      <c r="G219" t="s">
        <v>8731</v>
      </c>
      <c r="H219" s="5" t="s">
        <v>809</v>
      </c>
      <c r="I219" s="6">
        <v>97.5</v>
      </c>
      <c r="J219" s="5" t="s">
        <v>15</v>
      </c>
      <c r="K219" s="6">
        <v>18</v>
      </c>
      <c r="L219" s="6">
        <v>1755</v>
      </c>
      <c r="M219" s="5" t="s">
        <v>1560</v>
      </c>
      <c r="N219" s="5" t="s">
        <v>1558</v>
      </c>
      <c r="O219" s="13">
        <v>43707</v>
      </c>
      <c r="P219" t="s">
        <v>8730</v>
      </c>
    </row>
    <row r="220" spans="1:16" x14ac:dyDescent="0.15">
      <c r="A220" s="5" t="s">
        <v>814</v>
      </c>
      <c r="B220" s="5" t="s">
        <v>1563</v>
      </c>
      <c r="C220" s="5" t="s">
        <v>1577</v>
      </c>
      <c r="D220" s="5" t="s">
        <v>1693</v>
      </c>
      <c r="E220" s="5" t="s">
        <v>35</v>
      </c>
      <c r="F220" s="12">
        <v>43718.577025462961</v>
      </c>
      <c r="G220" t="s">
        <v>8731</v>
      </c>
      <c r="H220" s="5" t="s">
        <v>815</v>
      </c>
      <c r="I220" s="6">
        <v>16575</v>
      </c>
      <c r="J220" s="5" t="s">
        <v>15</v>
      </c>
      <c r="K220" s="6">
        <v>17.5</v>
      </c>
      <c r="L220" s="6">
        <v>290062.5</v>
      </c>
      <c r="M220" s="5" t="s">
        <v>1560</v>
      </c>
      <c r="N220" s="5" t="s">
        <v>1558</v>
      </c>
      <c r="O220" s="13">
        <v>43713</v>
      </c>
      <c r="P220" t="s">
        <v>8731</v>
      </c>
    </row>
    <row r="221" spans="1:16" x14ac:dyDescent="0.15">
      <c r="A221" s="5" t="s">
        <v>816</v>
      </c>
      <c r="B221" s="5" t="s">
        <v>1563</v>
      </c>
      <c r="C221" s="5" t="s">
        <v>1623</v>
      </c>
      <c r="D221" s="5" t="s">
        <v>1693</v>
      </c>
      <c r="E221" s="5" t="s">
        <v>35</v>
      </c>
      <c r="F221" s="12">
        <v>43718.590567129628</v>
      </c>
      <c r="G221" t="s">
        <v>8731</v>
      </c>
      <c r="H221" s="5" t="s">
        <v>817</v>
      </c>
      <c r="I221" s="6">
        <v>4777.5</v>
      </c>
      <c r="J221" s="5" t="s">
        <v>15</v>
      </c>
      <c r="K221" s="6">
        <v>16</v>
      </c>
      <c r="L221" s="6">
        <v>76440</v>
      </c>
      <c r="M221" s="5" t="s">
        <v>1560</v>
      </c>
      <c r="N221" s="5" t="s">
        <v>1558</v>
      </c>
      <c r="O221" s="13">
        <v>43717</v>
      </c>
      <c r="P221" t="s">
        <v>8731</v>
      </c>
    </row>
    <row r="222" spans="1:16" x14ac:dyDescent="0.15">
      <c r="A222" s="5" t="s">
        <v>818</v>
      </c>
      <c r="B222" s="5" t="s">
        <v>1563</v>
      </c>
      <c r="C222" s="5" t="s">
        <v>1577</v>
      </c>
      <c r="D222" s="5" t="s">
        <v>1693</v>
      </c>
      <c r="E222" s="5" t="s">
        <v>35</v>
      </c>
      <c r="F222" s="12">
        <v>43718.595856481479</v>
      </c>
      <c r="G222" t="s">
        <v>8731</v>
      </c>
      <c r="H222" s="5" t="s">
        <v>819</v>
      </c>
      <c r="I222" s="6">
        <v>1560</v>
      </c>
      <c r="J222" s="5" t="s">
        <v>15</v>
      </c>
      <c r="K222" s="6">
        <v>17.5</v>
      </c>
      <c r="L222" s="6">
        <v>27300</v>
      </c>
      <c r="M222" s="5" t="s">
        <v>1560</v>
      </c>
      <c r="N222" s="5" t="s">
        <v>1558</v>
      </c>
      <c r="O222" s="13">
        <v>43717</v>
      </c>
      <c r="P222" t="s">
        <v>8731</v>
      </c>
    </row>
    <row r="223" spans="1:16" x14ac:dyDescent="0.15">
      <c r="A223" s="5" t="s">
        <v>820</v>
      </c>
      <c r="B223" s="5" t="s">
        <v>1563</v>
      </c>
      <c r="C223" s="5" t="s">
        <v>1616</v>
      </c>
      <c r="D223" s="5" t="s">
        <v>1693</v>
      </c>
      <c r="E223" s="5" t="s">
        <v>35</v>
      </c>
      <c r="F223" s="12">
        <v>43718.601041666669</v>
      </c>
      <c r="G223" t="s">
        <v>8731</v>
      </c>
      <c r="H223" s="5" t="s">
        <v>821</v>
      </c>
      <c r="I223" s="6">
        <v>2827.5</v>
      </c>
      <c r="J223" s="5" t="s">
        <v>15</v>
      </c>
      <c r="K223" s="6">
        <v>18</v>
      </c>
      <c r="L223" s="6">
        <v>50895</v>
      </c>
      <c r="M223" s="5" t="s">
        <v>1560</v>
      </c>
      <c r="N223" s="5" t="s">
        <v>1558</v>
      </c>
      <c r="O223" s="13">
        <v>43717</v>
      </c>
      <c r="P223" t="s">
        <v>8731</v>
      </c>
    </row>
    <row r="224" spans="1:16" x14ac:dyDescent="0.15">
      <c r="A224" s="5" t="s">
        <v>824</v>
      </c>
      <c r="B224" s="5" t="s">
        <v>1563</v>
      </c>
      <c r="C224" s="5" t="s">
        <v>1572</v>
      </c>
      <c r="D224" s="5" t="s">
        <v>1693</v>
      </c>
      <c r="E224" s="5" t="s">
        <v>35</v>
      </c>
      <c r="F224" s="12">
        <v>43719.823483796295</v>
      </c>
      <c r="G224" t="s">
        <v>8731</v>
      </c>
      <c r="H224" s="5" t="s">
        <v>825</v>
      </c>
      <c r="I224" s="6">
        <v>1267.5</v>
      </c>
      <c r="J224" s="5" t="s">
        <v>15</v>
      </c>
      <c r="K224" s="6">
        <v>17.5</v>
      </c>
      <c r="L224" s="6">
        <v>22181.25</v>
      </c>
      <c r="M224" s="5" t="s">
        <v>1560</v>
      </c>
      <c r="N224" s="5" t="s">
        <v>1558</v>
      </c>
      <c r="O224" s="13">
        <v>43717</v>
      </c>
      <c r="P224" t="s">
        <v>8731</v>
      </c>
    </row>
    <row r="225" spans="1:16" x14ac:dyDescent="0.15">
      <c r="A225" s="5" t="s">
        <v>130</v>
      </c>
      <c r="B225" s="5" t="s">
        <v>1563</v>
      </c>
      <c r="C225" s="5" t="s">
        <v>1612</v>
      </c>
      <c r="D225" s="5" t="s">
        <v>1693</v>
      </c>
      <c r="E225" s="5" t="s">
        <v>35</v>
      </c>
      <c r="F225" s="12">
        <v>43720.673888888887</v>
      </c>
      <c r="G225" t="s">
        <v>8731</v>
      </c>
      <c r="H225" s="5" t="s">
        <v>844</v>
      </c>
      <c r="I225" s="6">
        <v>7507.5</v>
      </c>
      <c r="J225" s="5" t="s">
        <v>15</v>
      </c>
      <c r="K225" s="6">
        <v>16.8</v>
      </c>
      <c r="L225" s="6">
        <v>126126</v>
      </c>
      <c r="M225" s="5" t="s">
        <v>1560</v>
      </c>
      <c r="N225" s="5" t="s">
        <v>1558</v>
      </c>
      <c r="O225" s="13">
        <v>43719</v>
      </c>
      <c r="P225" t="s">
        <v>8731</v>
      </c>
    </row>
    <row r="226" spans="1:16" x14ac:dyDescent="0.15">
      <c r="A226" s="5" t="s">
        <v>134</v>
      </c>
      <c r="B226" s="5" t="s">
        <v>1563</v>
      </c>
      <c r="C226" s="5" t="s">
        <v>1577</v>
      </c>
      <c r="D226" s="5" t="s">
        <v>1693</v>
      </c>
      <c r="E226" s="5" t="s">
        <v>35</v>
      </c>
      <c r="F226" s="12">
        <v>43721.813171296293</v>
      </c>
      <c r="G226" t="s">
        <v>8731</v>
      </c>
      <c r="H226" s="5" t="s">
        <v>851</v>
      </c>
      <c r="I226" s="6">
        <v>5167.5</v>
      </c>
      <c r="J226" s="5" t="s">
        <v>15</v>
      </c>
      <c r="K226" s="6">
        <v>17.5</v>
      </c>
      <c r="L226" s="6">
        <v>90431.25</v>
      </c>
      <c r="M226" s="5" t="s">
        <v>1560</v>
      </c>
      <c r="N226" s="5" t="s">
        <v>1558</v>
      </c>
      <c r="O226" s="13">
        <v>43721</v>
      </c>
      <c r="P226" t="s">
        <v>8731</v>
      </c>
    </row>
    <row r="227" spans="1:16" x14ac:dyDescent="0.15">
      <c r="A227" s="5" t="s">
        <v>853</v>
      </c>
      <c r="B227" s="5" t="s">
        <v>1563</v>
      </c>
      <c r="C227" s="5" t="s">
        <v>1596</v>
      </c>
      <c r="D227" s="5" t="s">
        <v>1693</v>
      </c>
      <c r="E227" s="5" t="s">
        <v>35</v>
      </c>
      <c r="F227" s="12">
        <v>43724.635370370372</v>
      </c>
      <c r="G227" t="s">
        <v>8731</v>
      </c>
      <c r="H227" s="5" t="s">
        <v>854</v>
      </c>
      <c r="I227" s="6">
        <v>4777.5</v>
      </c>
      <c r="J227" s="5" t="s">
        <v>15</v>
      </c>
      <c r="K227" s="6">
        <v>18</v>
      </c>
      <c r="L227" s="6">
        <v>85995</v>
      </c>
      <c r="M227" s="5" t="s">
        <v>1560</v>
      </c>
      <c r="N227" s="5" t="s">
        <v>1558</v>
      </c>
      <c r="O227" s="13">
        <v>43724</v>
      </c>
      <c r="P227" t="s">
        <v>8731</v>
      </c>
    </row>
    <row r="228" spans="1:16" x14ac:dyDescent="0.15">
      <c r="A228" s="5" t="s">
        <v>858</v>
      </c>
      <c r="B228" s="5" t="s">
        <v>1563</v>
      </c>
      <c r="C228" s="5" t="s">
        <v>1599</v>
      </c>
      <c r="D228" s="5" t="s">
        <v>1693</v>
      </c>
      <c r="E228" s="5" t="s">
        <v>35</v>
      </c>
      <c r="F228" s="12">
        <v>43724.660104166665</v>
      </c>
      <c r="G228" t="s">
        <v>8731</v>
      </c>
      <c r="H228" s="5" t="s">
        <v>859</v>
      </c>
      <c r="I228" s="6">
        <v>7800</v>
      </c>
      <c r="J228" s="5" t="s">
        <v>15</v>
      </c>
      <c r="K228" s="6">
        <v>16.2</v>
      </c>
      <c r="L228" s="6">
        <v>126360</v>
      </c>
      <c r="M228" s="5" t="s">
        <v>1560</v>
      </c>
      <c r="N228" s="5" t="s">
        <v>1558</v>
      </c>
      <c r="O228" s="13">
        <v>43724</v>
      </c>
      <c r="P228" t="s">
        <v>8731</v>
      </c>
    </row>
    <row r="229" spans="1:16" x14ac:dyDescent="0.15">
      <c r="A229" s="5" t="s">
        <v>860</v>
      </c>
      <c r="B229" s="5" t="s">
        <v>1563</v>
      </c>
      <c r="C229" s="5" t="s">
        <v>1577</v>
      </c>
      <c r="D229" s="5" t="s">
        <v>1693</v>
      </c>
      <c r="E229" s="5" t="s">
        <v>35</v>
      </c>
      <c r="F229" s="12">
        <v>43725.752002314817</v>
      </c>
      <c r="G229" t="s">
        <v>8731</v>
      </c>
      <c r="H229" s="5" t="s">
        <v>861</v>
      </c>
      <c r="I229" s="6">
        <v>11407.5</v>
      </c>
      <c r="J229" s="5" t="s">
        <v>15</v>
      </c>
      <c r="K229" s="6">
        <v>17.5</v>
      </c>
      <c r="L229" s="6">
        <v>199631.25</v>
      </c>
      <c r="M229" s="5" t="s">
        <v>1560</v>
      </c>
      <c r="N229" s="5" t="s">
        <v>1558</v>
      </c>
      <c r="O229" s="13">
        <v>43725</v>
      </c>
      <c r="P229" t="s">
        <v>8731</v>
      </c>
    </row>
    <row r="230" spans="1:16" x14ac:dyDescent="0.15">
      <c r="A230" s="5" t="s">
        <v>138</v>
      </c>
      <c r="B230" s="5" t="s">
        <v>1563</v>
      </c>
      <c r="C230" s="5" t="s">
        <v>1610</v>
      </c>
      <c r="D230" s="5" t="s">
        <v>1693</v>
      </c>
      <c r="E230" s="5" t="s">
        <v>35</v>
      </c>
      <c r="F230" s="12">
        <v>43725.756481481483</v>
      </c>
      <c r="G230" t="s">
        <v>8731</v>
      </c>
      <c r="H230" s="5" t="s">
        <v>864</v>
      </c>
      <c r="I230" s="6">
        <v>5655</v>
      </c>
      <c r="J230" s="5" t="s">
        <v>15</v>
      </c>
      <c r="K230" s="6">
        <v>18</v>
      </c>
      <c r="L230" s="6">
        <v>101790</v>
      </c>
      <c r="M230" s="5" t="s">
        <v>1560</v>
      </c>
      <c r="N230" s="5" t="s">
        <v>1558</v>
      </c>
      <c r="O230" s="13">
        <v>43725</v>
      </c>
      <c r="P230" t="s">
        <v>8731</v>
      </c>
    </row>
    <row r="231" spans="1:16" x14ac:dyDescent="0.15">
      <c r="A231" s="5" t="s">
        <v>139</v>
      </c>
      <c r="B231" s="5" t="s">
        <v>1563</v>
      </c>
      <c r="C231" s="5" t="s">
        <v>1571</v>
      </c>
      <c r="D231" s="5" t="s">
        <v>1693</v>
      </c>
      <c r="E231" s="5" t="s">
        <v>35</v>
      </c>
      <c r="F231" s="12">
        <v>43725.759247685186</v>
      </c>
      <c r="G231" t="s">
        <v>8731</v>
      </c>
      <c r="H231" s="5" t="s">
        <v>865</v>
      </c>
      <c r="I231" s="6">
        <v>7800</v>
      </c>
      <c r="J231" s="5" t="s">
        <v>15</v>
      </c>
      <c r="K231" s="6">
        <v>16</v>
      </c>
      <c r="L231" s="6">
        <v>124800</v>
      </c>
      <c r="M231" s="5" t="s">
        <v>1560</v>
      </c>
      <c r="N231" s="5" t="s">
        <v>1558</v>
      </c>
      <c r="O231" s="13">
        <v>43725</v>
      </c>
      <c r="P231" t="s">
        <v>8731</v>
      </c>
    </row>
    <row r="232" spans="1:16" x14ac:dyDescent="0.15">
      <c r="A232" s="5" t="s">
        <v>139</v>
      </c>
      <c r="B232" s="5" t="s">
        <v>1563</v>
      </c>
      <c r="C232" s="5" t="s">
        <v>1571</v>
      </c>
      <c r="D232" s="5" t="s">
        <v>1693</v>
      </c>
      <c r="E232" s="5" t="s">
        <v>35</v>
      </c>
      <c r="F232" s="12">
        <v>43726.601423611108</v>
      </c>
      <c r="G232" t="s">
        <v>8731</v>
      </c>
      <c r="H232" s="5" t="s">
        <v>867</v>
      </c>
      <c r="I232" s="6">
        <v>195</v>
      </c>
      <c r="J232" s="5" t="s">
        <v>15</v>
      </c>
      <c r="K232" s="6">
        <v>16</v>
      </c>
      <c r="L232" s="6">
        <v>3120</v>
      </c>
      <c r="M232" s="5" t="s">
        <v>1560</v>
      </c>
      <c r="N232" s="5" t="s">
        <v>1558</v>
      </c>
      <c r="O232" s="13">
        <v>43725</v>
      </c>
      <c r="P232" t="s">
        <v>8731</v>
      </c>
    </row>
    <row r="233" spans="1:16" x14ac:dyDescent="0.15">
      <c r="A233" s="5" t="s">
        <v>140</v>
      </c>
      <c r="B233" s="5" t="s">
        <v>1563</v>
      </c>
      <c r="C233" s="5" t="s">
        <v>1600</v>
      </c>
      <c r="D233" s="5" t="s">
        <v>1693</v>
      </c>
      <c r="E233" s="5" t="s">
        <v>35</v>
      </c>
      <c r="F233" s="12">
        <v>43728.610636574071</v>
      </c>
      <c r="G233" t="s">
        <v>8731</v>
      </c>
      <c r="H233" s="5" t="s">
        <v>877</v>
      </c>
      <c r="I233" s="6">
        <v>7800</v>
      </c>
      <c r="J233" s="5" t="s">
        <v>15</v>
      </c>
      <c r="K233" s="6">
        <v>18</v>
      </c>
      <c r="L233" s="6">
        <v>140400</v>
      </c>
      <c r="M233" s="5" t="s">
        <v>1560</v>
      </c>
      <c r="N233" s="5" t="s">
        <v>1558</v>
      </c>
      <c r="O233" s="13">
        <v>43727</v>
      </c>
      <c r="P233" t="s">
        <v>8731</v>
      </c>
    </row>
    <row r="234" spans="1:16" x14ac:dyDescent="0.15">
      <c r="A234" s="5" t="s">
        <v>142</v>
      </c>
      <c r="B234" s="5" t="s">
        <v>1563</v>
      </c>
      <c r="C234" s="5" t="s">
        <v>1570</v>
      </c>
      <c r="D234" s="5" t="s">
        <v>1693</v>
      </c>
      <c r="E234" s="5" t="s">
        <v>35</v>
      </c>
      <c r="F234" s="12">
        <v>43728.693078703705</v>
      </c>
      <c r="G234" t="s">
        <v>8731</v>
      </c>
      <c r="H234" s="5" t="s">
        <v>884</v>
      </c>
      <c r="I234" s="6">
        <v>3120</v>
      </c>
      <c r="J234" s="5" t="s">
        <v>15</v>
      </c>
      <c r="K234" s="6">
        <v>18</v>
      </c>
      <c r="L234" s="6">
        <v>56160</v>
      </c>
      <c r="M234" s="5" t="s">
        <v>1560</v>
      </c>
      <c r="N234" s="5" t="s">
        <v>1558</v>
      </c>
      <c r="O234" s="13">
        <v>43728</v>
      </c>
      <c r="P234" t="s">
        <v>8731</v>
      </c>
    </row>
    <row r="235" spans="1:16" x14ac:dyDescent="0.15">
      <c r="A235" s="5" t="s">
        <v>143</v>
      </c>
      <c r="B235" s="5" t="s">
        <v>1563</v>
      </c>
      <c r="C235" s="5" t="s">
        <v>1574</v>
      </c>
      <c r="D235" s="5" t="s">
        <v>1693</v>
      </c>
      <c r="E235" s="5" t="s">
        <v>35</v>
      </c>
      <c r="F235" s="12">
        <v>43731.694305555553</v>
      </c>
      <c r="G235" t="s">
        <v>8731</v>
      </c>
      <c r="H235" s="5" t="s">
        <v>886</v>
      </c>
      <c r="I235" s="6">
        <v>10822.5</v>
      </c>
      <c r="J235" s="5" t="s">
        <v>15</v>
      </c>
      <c r="K235" s="6">
        <v>17.5</v>
      </c>
      <c r="L235" s="6">
        <v>189393.75</v>
      </c>
      <c r="M235" s="5" t="s">
        <v>1560</v>
      </c>
      <c r="N235" s="5" t="s">
        <v>1558</v>
      </c>
      <c r="O235" s="13">
        <v>43731</v>
      </c>
      <c r="P235" t="s">
        <v>8731</v>
      </c>
    </row>
    <row r="236" spans="1:16" x14ac:dyDescent="0.15">
      <c r="A236" s="5" t="s">
        <v>892</v>
      </c>
      <c r="B236" s="5" t="s">
        <v>1563</v>
      </c>
      <c r="C236" s="5" t="s">
        <v>1597</v>
      </c>
      <c r="D236" s="5" t="s">
        <v>1693</v>
      </c>
      <c r="E236" s="5" t="s">
        <v>35</v>
      </c>
      <c r="F236" s="12">
        <v>43733.680081018516</v>
      </c>
      <c r="G236" t="s">
        <v>8731</v>
      </c>
      <c r="H236" s="5" t="s">
        <v>894</v>
      </c>
      <c r="I236" s="6">
        <v>1560</v>
      </c>
      <c r="J236" s="5" t="s">
        <v>15</v>
      </c>
      <c r="K236" s="6">
        <v>18</v>
      </c>
      <c r="L236" s="6">
        <v>28080</v>
      </c>
      <c r="M236" s="5" t="s">
        <v>1560</v>
      </c>
      <c r="N236" s="5" t="s">
        <v>1558</v>
      </c>
      <c r="O236" s="13">
        <v>43733</v>
      </c>
      <c r="P236" t="s">
        <v>8731</v>
      </c>
    </row>
    <row r="237" spans="1:16" x14ac:dyDescent="0.15">
      <c r="A237" s="5" t="s">
        <v>146</v>
      </c>
      <c r="B237" s="5" t="s">
        <v>1563</v>
      </c>
      <c r="C237" s="5" t="s">
        <v>1571</v>
      </c>
      <c r="D237" s="5" t="s">
        <v>1693</v>
      </c>
      <c r="E237" s="5" t="s">
        <v>35</v>
      </c>
      <c r="F237" s="12">
        <v>43733.682743055557</v>
      </c>
      <c r="G237" t="s">
        <v>8731</v>
      </c>
      <c r="H237" s="5" t="s">
        <v>895</v>
      </c>
      <c r="I237" s="6">
        <v>4290</v>
      </c>
      <c r="J237" s="5" t="s">
        <v>15</v>
      </c>
      <c r="K237" s="6">
        <v>18</v>
      </c>
      <c r="L237" s="6">
        <v>77220</v>
      </c>
      <c r="M237" s="5" t="s">
        <v>1560</v>
      </c>
      <c r="N237" s="5" t="s">
        <v>1558</v>
      </c>
      <c r="O237" s="13">
        <v>43733</v>
      </c>
      <c r="P237" t="s">
        <v>8731</v>
      </c>
    </row>
    <row r="238" spans="1:16" x14ac:dyDescent="0.15">
      <c r="A238" s="5" t="s">
        <v>896</v>
      </c>
      <c r="B238" s="5" t="s">
        <v>1563</v>
      </c>
      <c r="C238" s="5" t="s">
        <v>1624</v>
      </c>
      <c r="D238" s="5" t="s">
        <v>1693</v>
      </c>
      <c r="E238" s="5" t="s">
        <v>35</v>
      </c>
      <c r="F238" s="12">
        <v>43733.705972222226</v>
      </c>
      <c r="G238" t="s">
        <v>8731</v>
      </c>
      <c r="H238" s="5" t="s">
        <v>897</v>
      </c>
      <c r="I238" s="6">
        <v>6045</v>
      </c>
      <c r="J238" s="5" t="s">
        <v>15</v>
      </c>
      <c r="K238" s="6">
        <v>16</v>
      </c>
      <c r="L238" s="6">
        <v>96720</v>
      </c>
      <c r="M238" s="5" t="s">
        <v>1560</v>
      </c>
      <c r="N238" s="5" t="s">
        <v>1558</v>
      </c>
      <c r="O238" s="13">
        <v>43733</v>
      </c>
      <c r="P238" t="s">
        <v>8731</v>
      </c>
    </row>
    <row r="239" spans="1:16" x14ac:dyDescent="0.15">
      <c r="A239" s="5" t="s">
        <v>898</v>
      </c>
      <c r="B239" s="5" t="s">
        <v>1563</v>
      </c>
      <c r="C239" s="5" t="s">
        <v>1592</v>
      </c>
      <c r="D239" s="5" t="s">
        <v>1693</v>
      </c>
      <c r="E239" s="5" t="s">
        <v>35</v>
      </c>
      <c r="F239" s="12">
        <v>43733.707384259258</v>
      </c>
      <c r="G239" t="s">
        <v>8731</v>
      </c>
      <c r="H239" s="5" t="s">
        <v>899</v>
      </c>
      <c r="I239" s="6">
        <v>877.5</v>
      </c>
      <c r="J239" s="5" t="s">
        <v>15</v>
      </c>
      <c r="K239" s="6">
        <v>18</v>
      </c>
      <c r="L239" s="6">
        <v>15795</v>
      </c>
      <c r="M239" s="5" t="s">
        <v>1560</v>
      </c>
      <c r="N239" s="5" t="s">
        <v>1558</v>
      </c>
      <c r="O239" s="13">
        <v>43733</v>
      </c>
      <c r="P239" t="s">
        <v>8731</v>
      </c>
    </row>
    <row r="240" spans="1:16" x14ac:dyDescent="0.15">
      <c r="A240" s="5" t="s">
        <v>912</v>
      </c>
      <c r="B240" s="5" t="s">
        <v>1563</v>
      </c>
      <c r="C240" s="5" t="s">
        <v>1600</v>
      </c>
      <c r="D240" s="5" t="s">
        <v>1693</v>
      </c>
      <c r="E240" s="5" t="s">
        <v>35</v>
      </c>
      <c r="F240" s="12">
        <v>43735.573229166665</v>
      </c>
      <c r="G240" t="s">
        <v>8731</v>
      </c>
      <c r="H240" s="5" t="s">
        <v>915</v>
      </c>
      <c r="I240" s="6">
        <v>-7800</v>
      </c>
      <c r="J240" s="5" t="s">
        <v>15</v>
      </c>
      <c r="K240" s="6">
        <v>18</v>
      </c>
      <c r="L240" s="6">
        <v>-140400</v>
      </c>
      <c r="M240" s="5" t="s">
        <v>1560</v>
      </c>
      <c r="N240" s="5" t="s">
        <v>1558</v>
      </c>
      <c r="O240" s="13">
        <v>43735</v>
      </c>
      <c r="P240" t="s">
        <v>8731</v>
      </c>
    </row>
    <row r="241" spans="1:16" x14ac:dyDescent="0.15">
      <c r="A241" s="5" t="s">
        <v>912</v>
      </c>
      <c r="B241" s="5" t="s">
        <v>1563</v>
      </c>
      <c r="C241" s="5" t="s">
        <v>1600</v>
      </c>
      <c r="D241" s="5" t="s">
        <v>1693</v>
      </c>
      <c r="E241" s="5" t="s">
        <v>35</v>
      </c>
      <c r="F241" s="12">
        <v>43735.573229166665</v>
      </c>
      <c r="G241" t="s">
        <v>8731</v>
      </c>
      <c r="H241" s="5" t="s">
        <v>916</v>
      </c>
      <c r="I241" s="6">
        <v>3900</v>
      </c>
      <c r="J241" s="5" t="s">
        <v>15</v>
      </c>
      <c r="K241" s="6">
        <v>18</v>
      </c>
      <c r="L241" s="6">
        <v>70200</v>
      </c>
      <c r="M241" s="5" t="s">
        <v>1560</v>
      </c>
      <c r="N241" s="5" t="s">
        <v>1558</v>
      </c>
      <c r="O241" s="13">
        <v>43735</v>
      </c>
      <c r="P241" t="s">
        <v>8731</v>
      </c>
    </row>
    <row r="242" spans="1:16" x14ac:dyDescent="0.15">
      <c r="A242" s="5" t="s">
        <v>150</v>
      </c>
      <c r="B242" s="5" t="s">
        <v>1563</v>
      </c>
      <c r="C242" s="5" t="s">
        <v>1593</v>
      </c>
      <c r="D242" s="5" t="s">
        <v>1693</v>
      </c>
      <c r="E242" s="5" t="s">
        <v>35</v>
      </c>
      <c r="F242" s="12">
        <v>43740.767372685186</v>
      </c>
      <c r="G242" t="s">
        <v>8732</v>
      </c>
      <c r="H242" s="5" t="s">
        <v>918</v>
      </c>
      <c r="I242" s="6">
        <v>1950</v>
      </c>
      <c r="J242" s="5" t="s">
        <v>15</v>
      </c>
      <c r="K242" s="6">
        <v>17.5</v>
      </c>
      <c r="L242" s="6">
        <v>34125</v>
      </c>
      <c r="M242" s="5" t="s">
        <v>1560</v>
      </c>
      <c r="N242" s="5" t="s">
        <v>1558</v>
      </c>
      <c r="O242" s="13">
        <v>43740</v>
      </c>
      <c r="P242" t="s">
        <v>8732</v>
      </c>
    </row>
    <row r="243" spans="1:16" x14ac:dyDescent="0.15">
      <c r="A243" s="5" t="s">
        <v>154</v>
      </c>
      <c r="B243" s="5" t="s">
        <v>1563</v>
      </c>
      <c r="C243" s="5" t="s">
        <v>1574</v>
      </c>
      <c r="D243" s="5" t="s">
        <v>1693</v>
      </c>
      <c r="E243" s="5" t="s">
        <v>35</v>
      </c>
      <c r="F243" s="12">
        <v>43740.859733796293</v>
      </c>
      <c r="G243" t="s">
        <v>8732</v>
      </c>
      <c r="H243" s="5" t="s">
        <v>924</v>
      </c>
      <c r="I243" s="6">
        <v>17355</v>
      </c>
      <c r="J243" s="5" t="s">
        <v>15</v>
      </c>
      <c r="K243" s="6">
        <v>17</v>
      </c>
      <c r="L243" s="6">
        <v>295035</v>
      </c>
      <c r="M243" s="5" t="s">
        <v>1560</v>
      </c>
      <c r="N243" s="5" t="s">
        <v>1558</v>
      </c>
      <c r="O243" s="13">
        <v>43739</v>
      </c>
      <c r="P243" t="s">
        <v>8732</v>
      </c>
    </row>
    <row r="244" spans="1:16" x14ac:dyDescent="0.15">
      <c r="A244" s="5" t="s">
        <v>156</v>
      </c>
      <c r="B244" s="5" t="s">
        <v>1563</v>
      </c>
      <c r="C244" s="5" t="s">
        <v>1580</v>
      </c>
      <c r="D244" s="5" t="s">
        <v>1693</v>
      </c>
      <c r="E244" s="5" t="s">
        <v>35</v>
      </c>
      <c r="F244" s="12">
        <v>43740.865856481483</v>
      </c>
      <c r="G244" t="s">
        <v>8732</v>
      </c>
      <c r="H244" s="5" t="s">
        <v>927</v>
      </c>
      <c r="I244" s="6">
        <v>4192.5</v>
      </c>
      <c r="J244" s="5" t="s">
        <v>15</v>
      </c>
      <c r="K244" s="6">
        <v>17</v>
      </c>
      <c r="L244" s="6">
        <v>71272.5</v>
      </c>
      <c r="M244" s="5" t="s">
        <v>1560</v>
      </c>
      <c r="N244" s="5" t="s">
        <v>1558</v>
      </c>
      <c r="O244" s="13">
        <v>43739</v>
      </c>
      <c r="P244" t="s">
        <v>8732</v>
      </c>
    </row>
    <row r="245" spans="1:16" x14ac:dyDescent="0.15">
      <c r="A245" s="5" t="s">
        <v>928</v>
      </c>
      <c r="B245" s="5" t="s">
        <v>1563</v>
      </c>
      <c r="C245" s="5" t="s">
        <v>1572</v>
      </c>
      <c r="D245" s="5" t="s">
        <v>1693</v>
      </c>
      <c r="E245" s="5" t="s">
        <v>35</v>
      </c>
      <c r="F245" s="12">
        <v>43740.868877314817</v>
      </c>
      <c r="G245" t="s">
        <v>8732</v>
      </c>
      <c r="H245" s="5" t="s">
        <v>929</v>
      </c>
      <c r="I245" s="6">
        <v>9457.5</v>
      </c>
      <c r="J245" s="5" t="s">
        <v>15</v>
      </c>
      <c r="K245" s="6">
        <v>17.5</v>
      </c>
      <c r="L245" s="6">
        <v>165506.25</v>
      </c>
      <c r="M245" s="5" t="s">
        <v>1560</v>
      </c>
      <c r="N245" s="5" t="s">
        <v>1558</v>
      </c>
      <c r="O245" s="13">
        <v>43739</v>
      </c>
      <c r="P245" t="s">
        <v>8732</v>
      </c>
    </row>
    <row r="246" spans="1:16" x14ac:dyDescent="0.15">
      <c r="A246" s="5" t="s">
        <v>160</v>
      </c>
      <c r="B246" s="5" t="s">
        <v>1563</v>
      </c>
      <c r="C246" s="5" t="s">
        <v>1583</v>
      </c>
      <c r="D246" s="5" t="s">
        <v>1693</v>
      </c>
      <c r="E246" s="5" t="s">
        <v>35</v>
      </c>
      <c r="F246" s="12">
        <v>43740.874837962961</v>
      </c>
      <c r="G246" t="s">
        <v>8732</v>
      </c>
      <c r="H246" s="5" t="s">
        <v>931</v>
      </c>
      <c r="I246" s="6">
        <v>1950</v>
      </c>
      <c r="J246" s="5" t="s">
        <v>15</v>
      </c>
      <c r="K246" s="6">
        <v>18</v>
      </c>
      <c r="L246" s="6">
        <v>35100</v>
      </c>
      <c r="M246" s="5" t="s">
        <v>1560</v>
      </c>
      <c r="N246" s="5" t="s">
        <v>1558</v>
      </c>
      <c r="O246" s="13">
        <v>43739</v>
      </c>
      <c r="P246" t="s">
        <v>8732</v>
      </c>
    </row>
    <row r="247" spans="1:16" x14ac:dyDescent="0.15">
      <c r="A247" s="5" t="s">
        <v>161</v>
      </c>
      <c r="B247" s="5" t="s">
        <v>1563</v>
      </c>
      <c r="C247" s="5" t="s">
        <v>1625</v>
      </c>
      <c r="D247" s="5" t="s">
        <v>1693</v>
      </c>
      <c r="E247" s="5" t="s">
        <v>35</v>
      </c>
      <c r="F247" s="12">
        <v>43741.571435185186</v>
      </c>
      <c r="G247" t="s">
        <v>8732</v>
      </c>
      <c r="H247" s="5" t="s">
        <v>933</v>
      </c>
      <c r="I247" s="6">
        <v>4387.5</v>
      </c>
      <c r="J247" s="5" t="s">
        <v>15</v>
      </c>
      <c r="K247" s="6">
        <v>16.5</v>
      </c>
      <c r="L247" s="6">
        <v>72393.75</v>
      </c>
      <c r="M247" s="5" t="s">
        <v>1560</v>
      </c>
      <c r="N247" s="5" t="s">
        <v>1558</v>
      </c>
      <c r="O247" s="13">
        <v>43739</v>
      </c>
      <c r="P247" t="s">
        <v>8732</v>
      </c>
    </row>
    <row r="248" spans="1:16" x14ac:dyDescent="0.15">
      <c r="A248" s="5" t="s">
        <v>164</v>
      </c>
      <c r="B248" s="5" t="s">
        <v>1563</v>
      </c>
      <c r="C248" s="5" t="s">
        <v>1626</v>
      </c>
      <c r="D248" s="5" t="s">
        <v>1693</v>
      </c>
      <c r="E248" s="5" t="s">
        <v>35</v>
      </c>
      <c r="F248" s="12">
        <v>43741.600590277776</v>
      </c>
      <c r="G248" t="s">
        <v>8732</v>
      </c>
      <c r="H248" s="5" t="s">
        <v>936</v>
      </c>
      <c r="I248" s="6">
        <v>4485</v>
      </c>
      <c r="J248" s="5" t="s">
        <v>15</v>
      </c>
      <c r="K248" s="6">
        <v>18</v>
      </c>
      <c r="L248" s="6">
        <v>80730</v>
      </c>
      <c r="M248" s="5" t="s">
        <v>1560</v>
      </c>
      <c r="N248" s="5" t="s">
        <v>1558</v>
      </c>
      <c r="O248" s="13">
        <v>43740</v>
      </c>
      <c r="P248" t="s">
        <v>8732</v>
      </c>
    </row>
    <row r="249" spans="1:16" x14ac:dyDescent="0.15">
      <c r="A249" s="5" t="s">
        <v>941</v>
      </c>
      <c r="B249" s="5" t="s">
        <v>1563</v>
      </c>
      <c r="C249" s="5" t="s">
        <v>1571</v>
      </c>
      <c r="D249" s="5" t="s">
        <v>1693</v>
      </c>
      <c r="E249" s="5" t="s">
        <v>35</v>
      </c>
      <c r="F249" s="12">
        <v>43741.668587962966</v>
      </c>
      <c r="G249" t="s">
        <v>8732</v>
      </c>
      <c r="H249" s="5" t="s">
        <v>942</v>
      </c>
      <c r="I249" s="6">
        <v>3705</v>
      </c>
      <c r="J249" s="5" t="s">
        <v>15</v>
      </c>
      <c r="K249" s="6">
        <v>17</v>
      </c>
      <c r="L249" s="6">
        <v>62985</v>
      </c>
      <c r="M249" s="5" t="s">
        <v>1560</v>
      </c>
      <c r="N249" s="5" t="s">
        <v>1558</v>
      </c>
      <c r="O249" s="13">
        <v>43741</v>
      </c>
      <c r="P249" t="s">
        <v>8732</v>
      </c>
    </row>
    <row r="250" spans="1:16" x14ac:dyDescent="0.15">
      <c r="A250" s="5" t="s">
        <v>169</v>
      </c>
      <c r="B250" s="5" t="s">
        <v>1563</v>
      </c>
      <c r="C250" s="5" t="s">
        <v>1596</v>
      </c>
      <c r="D250" s="5" t="s">
        <v>1693</v>
      </c>
      <c r="E250" s="5" t="s">
        <v>35</v>
      </c>
      <c r="F250" s="12">
        <v>43745.635914351849</v>
      </c>
      <c r="G250" t="s">
        <v>8732</v>
      </c>
      <c r="H250" s="5" t="s">
        <v>949</v>
      </c>
      <c r="I250" s="6">
        <v>390</v>
      </c>
      <c r="J250" s="5" t="s">
        <v>15</v>
      </c>
      <c r="K250" s="6">
        <v>19</v>
      </c>
      <c r="L250" s="6">
        <v>7410</v>
      </c>
      <c r="M250" s="5" t="s">
        <v>1560</v>
      </c>
      <c r="N250" s="5" t="s">
        <v>1558</v>
      </c>
      <c r="O250" s="13">
        <v>43745</v>
      </c>
      <c r="P250" t="s">
        <v>8732</v>
      </c>
    </row>
    <row r="251" spans="1:16" x14ac:dyDescent="0.15">
      <c r="A251" s="5" t="s">
        <v>170</v>
      </c>
      <c r="B251" s="5" t="s">
        <v>1563</v>
      </c>
      <c r="C251" s="5" t="s">
        <v>1627</v>
      </c>
      <c r="D251" s="5" t="s">
        <v>1693</v>
      </c>
      <c r="E251" s="5" t="s">
        <v>35</v>
      </c>
      <c r="F251" s="12">
        <v>43745.659444444442</v>
      </c>
      <c r="G251" t="s">
        <v>8732</v>
      </c>
      <c r="H251" s="5" t="s">
        <v>950</v>
      </c>
      <c r="I251" s="6">
        <v>975</v>
      </c>
      <c r="J251" s="5" t="s">
        <v>15</v>
      </c>
      <c r="K251" s="6">
        <v>16.399999999999999</v>
      </c>
      <c r="L251" s="6">
        <v>15990</v>
      </c>
      <c r="M251" s="5" t="s">
        <v>1560</v>
      </c>
      <c r="N251" s="5" t="s">
        <v>1558</v>
      </c>
      <c r="O251" s="13">
        <v>43742</v>
      </c>
      <c r="P251" t="s">
        <v>8732</v>
      </c>
    </row>
    <row r="252" spans="1:16" x14ac:dyDescent="0.15">
      <c r="A252" s="5" t="s">
        <v>173</v>
      </c>
      <c r="B252" s="5" t="s">
        <v>1563</v>
      </c>
      <c r="C252" s="5" t="s">
        <v>1571</v>
      </c>
      <c r="D252" s="5" t="s">
        <v>1693</v>
      </c>
      <c r="E252" s="5" t="s">
        <v>35</v>
      </c>
      <c r="F252" s="12">
        <v>43746.656192129631</v>
      </c>
      <c r="G252" t="s">
        <v>8732</v>
      </c>
      <c r="H252" s="5" t="s">
        <v>958</v>
      </c>
      <c r="I252" s="6">
        <v>3022.5</v>
      </c>
      <c r="J252" s="5" t="s">
        <v>15</v>
      </c>
      <c r="K252" s="6">
        <v>16</v>
      </c>
      <c r="L252" s="6">
        <v>48360</v>
      </c>
      <c r="M252" s="5" t="s">
        <v>1560</v>
      </c>
      <c r="N252" s="5" t="s">
        <v>1558</v>
      </c>
      <c r="O252" s="13">
        <v>43746</v>
      </c>
      <c r="P252" t="s">
        <v>8732</v>
      </c>
    </row>
    <row r="253" spans="1:16" x14ac:dyDescent="0.15">
      <c r="A253" s="5" t="s">
        <v>964</v>
      </c>
      <c r="B253" s="5" t="s">
        <v>1563</v>
      </c>
      <c r="C253" s="5" t="s">
        <v>1571</v>
      </c>
      <c r="D253" s="5" t="s">
        <v>1693</v>
      </c>
      <c r="E253" s="5" t="s">
        <v>35</v>
      </c>
      <c r="F253" s="12">
        <v>43748.607002314813</v>
      </c>
      <c r="G253" t="s">
        <v>8732</v>
      </c>
      <c r="H253" s="5" t="s">
        <v>965</v>
      </c>
      <c r="I253" s="6">
        <v>195</v>
      </c>
      <c r="J253" s="5" t="s">
        <v>15</v>
      </c>
      <c r="K253" s="6">
        <v>18</v>
      </c>
      <c r="L253" s="6">
        <v>3510</v>
      </c>
      <c r="M253" s="5" t="s">
        <v>1560</v>
      </c>
      <c r="N253" s="5" t="s">
        <v>1558</v>
      </c>
      <c r="O253" s="13">
        <v>43748</v>
      </c>
      <c r="P253" t="s">
        <v>8732</v>
      </c>
    </row>
    <row r="254" spans="1:16" x14ac:dyDescent="0.15">
      <c r="A254" s="5" t="s">
        <v>966</v>
      </c>
      <c r="B254" s="5" t="s">
        <v>1563</v>
      </c>
      <c r="C254" s="5" t="s">
        <v>1578</v>
      </c>
      <c r="D254" s="5" t="s">
        <v>1693</v>
      </c>
      <c r="E254" s="5" t="s">
        <v>35</v>
      </c>
      <c r="F254" s="12">
        <v>43753.572523148148</v>
      </c>
      <c r="G254" t="s">
        <v>8732</v>
      </c>
      <c r="H254" s="5" t="s">
        <v>969</v>
      </c>
      <c r="I254" s="6">
        <v>18135</v>
      </c>
      <c r="J254" s="5" t="s">
        <v>15</v>
      </c>
      <c r="K254" s="6">
        <v>18</v>
      </c>
      <c r="L254" s="6">
        <v>326430</v>
      </c>
      <c r="M254" s="5" t="s">
        <v>1560</v>
      </c>
      <c r="N254" s="5" t="s">
        <v>1558</v>
      </c>
      <c r="O254" s="13">
        <v>43752</v>
      </c>
      <c r="P254" t="s">
        <v>8732</v>
      </c>
    </row>
    <row r="255" spans="1:16" x14ac:dyDescent="0.15">
      <c r="A255" s="5" t="s">
        <v>176</v>
      </c>
      <c r="B255" s="5" t="s">
        <v>1563</v>
      </c>
      <c r="C255" s="5" t="s">
        <v>1600</v>
      </c>
      <c r="D255" s="5" t="s">
        <v>1693</v>
      </c>
      <c r="E255" s="5" t="s">
        <v>35</v>
      </c>
      <c r="F255" s="12">
        <v>43753.631481481483</v>
      </c>
      <c r="G255" t="s">
        <v>8732</v>
      </c>
      <c r="H255" s="5" t="s">
        <v>974</v>
      </c>
      <c r="I255" s="6">
        <v>5850</v>
      </c>
      <c r="J255" s="5" t="s">
        <v>15</v>
      </c>
      <c r="K255" s="6">
        <v>18</v>
      </c>
      <c r="L255" s="6">
        <v>105300</v>
      </c>
      <c r="M255" s="5" t="s">
        <v>1560</v>
      </c>
      <c r="N255" s="5" t="s">
        <v>1558</v>
      </c>
      <c r="O255" s="13">
        <v>43753</v>
      </c>
      <c r="P255" t="s">
        <v>8732</v>
      </c>
    </row>
    <row r="256" spans="1:16" x14ac:dyDescent="0.15">
      <c r="A256" s="5" t="s">
        <v>179</v>
      </c>
      <c r="B256" s="5" t="s">
        <v>1563</v>
      </c>
      <c r="C256" s="5" t="s">
        <v>1571</v>
      </c>
      <c r="D256" s="5" t="s">
        <v>1693</v>
      </c>
      <c r="E256" s="5" t="s">
        <v>35</v>
      </c>
      <c r="F256" s="12">
        <v>43753.823217592595</v>
      </c>
      <c r="G256" t="s">
        <v>8732</v>
      </c>
      <c r="H256" s="5" t="s">
        <v>980</v>
      </c>
      <c r="I256" s="6">
        <v>11992.5</v>
      </c>
      <c r="J256" s="5" t="s">
        <v>15</v>
      </c>
      <c r="K256" s="6">
        <v>16</v>
      </c>
      <c r="L256" s="6">
        <v>191880</v>
      </c>
      <c r="M256" s="5" t="s">
        <v>1560</v>
      </c>
      <c r="N256" s="5" t="s">
        <v>1558</v>
      </c>
      <c r="O256" s="13">
        <v>43754</v>
      </c>
      <c r="P256" t="s">
        <v>8732</v>
      </c>
    </row>
    <row r="257" spans="1:16" x14ac:dyDescent="0.15">
      <c r="A257" s="5" t="s">
        <v>181</v>
      </c>
      <c r="B257" s="5" t="s">
        <v>1563</v>
      </c>
      <c r="C257" s="5" t="s">
        <v>1595</v>
      </c>
      <c r="D257" s="5" t="s">
        <v>1693</v>
      </c>
      <c r="E257" s="5" t="s">
        <v>35</v>
      </c>
      <c r="F257" s="12">
        <v>43759.824363425927</v>
      </c>
      <c r="G257" t="s">
        <v>8732</v>
      </c>
      <c r="H257" s="5" t="s">
        <v>988</v>
      </c>
      <c r="I257" s="6">
        <v>2242.5</v>
      </c>
      <c r="J257" s="5" t="s">
        <v>15</v>
      </c>
      <c r="K257" s="6">
        <v>18</v>
      </c>
      <c r="L257" s="6">
        <v>40365</v>
      </c>
      <c r="M257" s="5" t="s">
        <v>1560</v>
      </c>
      <c r="N257" s="5" t="s">
        <v>1558</v>
      </c>
      <c r="O257" s="13">
        <v>43756</v>
      </c>
      <c r="P257" t="s">
        <v>8732</v>
      </c>
    </row>
    <row r="258" spans="1:16" x14ac:dyDescent="0.15">
      <c r="A258" s="5" t="s">
        <v>183</v>
      </c>
      <c r="B258" s="5" t="s">
        <v>1563</v>
      </c>
      <c r="C258" s="5" t="s">
        <v>1571</v>
      </c>
      <c r="D258" s="5" t="s">
        <v>1693</v>
      </c>
      <c r="E258" s="5" t="s">
        <v>35</v>
      </c>
      <c r="F258" s="12">
        <v>43759.833518518521</v>
      </c>
      <c r="G258" t="s">
        <v>8732</v>
      </c>
      <c r="H258" s="5" t="s">
        <v>992</v>
      </c>
      <c r="I258" s="6">
        <v>1755</v>
      </c>
      <c r="J258" s="5" t="s">
        <v>15</v>
      </c>
      <c r="K258" s="6">
        <v>16</v>
      </c>
      <c r="L258" s="6">
        <v>28080</v>
      </c>
      <c r="M258" s="5" t="s">
        <v>1560</v>
      </c>
      <c r="N258" s="5" t="s">
        <v>1558</v>
      </c>
      <c r="O258" s="13">
        <v>43759</v>
      </c>
      <c r="P258" t="s">
        <v>8732</v>
      </c>
    </row>
    <row r="259" spans="1:16" x14ac:dyDescent="0.15">
      <c r="A259" s="5" t="s">
        <v>184</v>
      </c>
      <c r="B259" s="5" t="s">
        <v>1563</v>
      </c>
      <c r="C259" s="5" t="s">
        <v>1580</v>
      </c>
      <c r="D259" s="5" t="s">
        <v>1693</v>
      </c>
      <c r="E259" s="5" t="s">
        <v>35</v>
      </c>
      <c r="F259" s="12">
        <v>43759.836319444446</v>
      </c>
      <c r="G259" t="s">
        <v>8732</v>
      </c>
      <c r="H259" s="5" t="s">
        <v>993</v>
      </c>
      <c r="I259" s="6">
        <v>487.5</v>
      </c>
      <c r="J259" s="5" t="s">
        <v>15</v>
      </c>
      <c r="K259" s="6">
        <v>17.8</v>
      </c>
      <c r="L259" s="6">
        <v>8677.5</v>
      </c>
      <c r="M259" s="5" t="s">
        <v>1560</v>
      </c>
      <c r="N259" s="5" t="s">
        <v>1558</v>
      </c>
      <c r="O259" s="13">
        <v>43759</v>
      </c>
      <c r="P259" t="s">
        <v>8732</v>
      </c>
    </row>
    <row r="260" spans="1:16" x14ac:dyDescent="0.15">
      <c r="A260" s="5" t="s">
        <v>188</v>
      </c>
      <c r="B260" s="5" t="s">
        <v>1563</v>
      </c>
      <c r="C260" s="5" t="s">
        <v>1579</v>
      </c>
      <c r="D260" s="5" t="s">
        <v>1693</v>
      </c>
      <c r="E260" s="5" t="s">
        <v>35</v>
      </c>
      <c r="F260" s="12">
        <v>43759.85056712963</v>
      </c>
      <c r="G260" t="s">
        <v>8732</v>
      </c>
      <c r="H260" s="5" t="s">
        <v>1000</v>
      </c>
      <c r="I260" s="6">
        <v>24375</v>
      </c>
      <c r="J260" s="5" t="s">
        <v>15</v>
      </c>
      <c r="K260" s="6">
        <v>18</v>
      </c>
      <c r="L260" s="6">
        <v>438750</v>
      </c>
      <c r="M260" s="5" t="s">
        <v>1560</v>
      </c>
      <c r="N260" s="5" t="s">
        <v>1558</v>
      </c>
      <c r="O260" s="13">
        <v>43759</v>
      </c>
      <c r="P260" t="s">
        <v>8732</v>
      </c>
    </row>
    <row r="261" spans="1:16" x14ac:dyDescent="0.15">
      <c r="A261" s="5" t="s">
        <v>1001</v>
      </c>
      <c r="B261" s="5" t="s">
        <v>1563</v>
      </c>
      <c r="C261" s="5" t="s">
        <v>1628</v>
      </c>
      <c r="D261" s="5" t="s">
        <v>1693</v>
      </c>
      <c r="E261" s="5" t="s">
        <v>35</v>
      </c>
      <c r="F261" s="12">
        <v>43760.588888888888</v>
      </c>
      <c r="G261" t="s">
        <v>8732</v>
      </c>
      <c r="H261" s="5" t="s">
        <v>1002</v>
      </c>
      <c r="I261" s="6">
        <v>5557.5</v>
      </c>
      <c r="J261" s="5" t="s">
        <v>15</v>
      </c>
      <c r="K261" s="6">
        <v>18</v>
      </c>
      <c r="L261" s="6">
        <v>100035</v>
      </c>
      <c r="M261" s="5" t="s">
        <v>1560</v>
      </c>
      <c r="N261" s="5" t="s">
        <v>1558</v>
      </c>
      <c r="O261" s="13">
        <v>43760</v>
      </c>
      <c r="P261" t="s">
        <v>8732</v>
      </c>
    </row>
    <row r="262" spans="1:16" x14ac:dyDescent="0.15">
      <c r="A262" s="5" t="s">
        <v>1006</v>
      </c>
      <c r="B262" s="5" t="s">
        <v>1563</v>
      </c>
      <c r="C262" s="5" t="s">
        <v>1585</v>
      </c>
      <c r="D262" s="5" t="s">
        <v>1693</v>
      </c>
      <c r="E262" s="5" t="s">
        <v>35</v>
      </c>
      <c r="F262" s="12">
        <v>43760.707268518519</v>
      </c>
      <c r="G262" t="s">
        <v>8732</v>
      </c>
      <c r="H262" s="5" t="s">
        <v>1007</v>
      </c>
      <c r="I262" s="6">
        <v>2437.5</v>
      </c>
      <c r="J262" s="5" t="s">
        <v>15</v>
      </c>
      <c r="K262" s="6">
        <v>18</v>
      </c>
      <c r="L262" s="6">
        <v>43875</v>
      </c>
      <c r="M262" s="5" t="s">
        <v>1560</v>
      </c>
      <c r="N262" s="5" t="s">
        <v>1558</v>
      </c>
      <c r="O262" s="13">
        <v>43760</v>
      </c>
      <c r="P262" t="s">
        <v>8732</v>
      </c>
    </row>
    <row r="263" spans="1:16" x14ac:dyDescent="0.15">
      <c r="A263" s="5" t="s">
        <v>1006</v>
      </c>
      <c r="B263" s="5" t="s">
        <v>1563</v>
      </c>
      <c r="C263" s="5" t="s">
        <v>1585</v>
      </c>
      <c r="D263" s="5" t="s">
        <v>1693</v>
      </c>
      <c r="E263" s="5" t="s">
        <v>35</v>
      </c>
      <c r="F263" s="12">
        <v>43760.779363425929</v>
      </c>
      <c r="G263" t="s">
        <v>8732</v>
      </c>
      <c r="H263" s="5" t="s">
        <v>1008</v>
      </c>
      <c r="I263" s="6">
        <v>97.5</v>
      </c>
      <c r="J263" s="5" t="s">
        <v>15</v>
      </c>
      <c r="K263" s="6">
        <v>18</v>
      </c>
      <c r="L263" s="6">
        <v>1755</v>
      </c>
      <c r="M263" s="5" t="s">
        <v>1560</v>
      </c>
      <c r="N263" s="5" t="s">
        <v>1558</v>
      </c>
      <c r="O263" s="13">
        <v>43760</v>
      </c>
      <c r="P263" t="s">
        <v>8732</v>
      </c>
    </row>
    <row r="264" spans="1:16" x14ac:dyDescent="0.15">
      <c r="A264" s="5" t="s">
        <v>189</v>
      </c>
      <c r="B264" s="5" t="s">
        <v>1563</v>
      </c>
      <c r="C264" s="5" t="s">
        <v>1629</v>
      </c>
      <c r="D264" s="5" t="s">
        <v>1693</v>
      </c>
      <c r="E264" s="5" t="s">
        <v>35</v>
      </c>
      <c r="F264" s="12">
        <v>43760.761099537034</v>
      </c>
      <c r="G264" t="s">
        <v>8732</v>
      </c>
      <c r="H264" s="5" t="s">
        <v>1009</v>
      </c>
      <c r="I264" s="6">
        <v>3120</v>
      </c>
      <c r="J264" s="5" t="s">
        <v>15</v>
      </c>
      <c r="K264" s="6">
        <v>17</v>
      </c>
      <c r="L264" s="6">
        <v>53040</v>
      </c>
      <c r="M264" s="5" t="s">
        <v>1560</v>
      </c>
      <c r="N264" s="5" t="s">
        <v>1558</v>
      </c>
      <c r="O264" s="13">
        <v>43747</v>
      </c>
      <c r="P264" t="s">
        <v>8732</v>
      </c>
    </row>
    <row r="265" spans="1:16" x14ac:dyDescent="0.15">
      <c r="A265" s="5" t="s">
        <v>193</v>
      </c>
      <c r="B265" s="5" t="s">
        <v>1563</v>
      </c>
      <c r="C265" s="5" t="s">
        <v>1571</v>
      </c>
      <c r="D265" s="5" t="s">
        <v>1693</v>
      </c>
      <c r="E265" s="5" t="s">
        <v>35</v>
      </c>
      <c r="F265" s="12">
        <v>43763.572754629633</v>
      </c>
      <c r="G265" t="s">
        <v>8732</v>
      </c>
      <c r="H265" s="5" t="s">
        <v>1013</v>
      </c>
      <c r="I265" s="6">
        <v>1852.5</v>
      </c>
      <c r="J265" s="5" t="s">
        <v>15</v>
      </c>
      <c r="K265" s="6">
        <v>14</v>
      </c>
      <c r="L265" s="6">
        <v>25935</v>
      </c>
      <c r="M265" s="5" t="s">
        <v>1560</v>
      </c>
      <c r="N265" s="5" t="s">
        <v>1558</v>
      </c>
      <c r="O265" s="13">
        <v>43761</v>
      </c>
      <c r="P265" t="s">
        <v>8732</v>
      </c>
    </row>
    <row r="266" spans="1:16" x14ac:dyDescent="0.15">
      <c r="A266" s="5" t="s">
        <v>194</v>
      </c>
      <c r="B266" s="5" t="s">
        <v>1563</v>
      </c>
      <c r="C266" s="5" t="s">
        <v>1570</v>
      </c>
      <c r="D266" s="5" t="s">
        <v>1693</v>
      </c>
      <c r="E266" s="5" t="s">
        <v>35</v>
      </c>
      <c r="F266" s="12">
        <v>43763.581365740742</v>
      </c>
      <c r="G266" t="s">
        <v>8732</v>
      </c>
      <c r="H266" s="5" t="s">
        <v>1014</v>
      </c>
      <c r="I266" s="6">
        <v>6142.5</v>
      </c>
      <c r="J266" s="5" t="s">
        <v>15</v>
      </c>
      <c r="K266" s="6">
        <v>18</v>
      </c>
      <c r="L266" s="6">
        <v>110565</v>
      </c>
      <c r="M266" s="5" t="s">
        <v>1560</v>
      </c>
      <c r="N266" s="5" t="s">
        <v>1558</v>
      </c>
      <c r="O266" s="13">
        <v>43762</v>
      </c>
      <c r="P266" t="s">
        <v>8732</v>
      </c>
    </row>
    <row r="267" spans="1:16" x14ac:dyDescent="0.15">
      <c r="A267" s="5" t="s">
        <v>197</v>
      </c>
      <c r="B267" s="5" t="s">
        <v>1563</v>
      </c>
      <c r="C267" s="5" t="s">
        <v>1571</v>
      </c>
      <c r="D267" s="5" t="s">
        <v>1693</v>
      </c>
      <c r="E267" s="5" t="s">
        <v>35</v>
      </c>
      <c r="F267" s="12">
        <v>43766.850486111114</v>
      </c>
      <c r="G267" t="s">
        <v>8732</v>
      </c>
      <c r="H267" s="5" t="s">
        <v>1024</v>
      </c>
      <c r="I267" s="6">
        <v>4875</v>
      </c>
      <c r="J267" s="5" t="s">
        <v>15</v>
      </c>
      <c r="K267" s="6">
        <v>18</v>
      </c>
      <c r="L267" s="6">
        <v>87750</v>
      </c>
      <c r="M267" s="5" t="s">
        <v>1560</v>
      </c>
      <c r="N267" s="5" t="s">
        <v>1558</v>
      </c>
      <c r="O267" s="13">
        <v>43766</v>
      </c>
      <c r="P267" t="s">
        <v>8732</v>
      </c>
    </row>
    <row r="268" spans="1:16" x14ac:dyDescent="0.15">
      <c r="A268" s="5" t="s">
        <v>201</v>
      </c>
      <c r="B268" s="5" t="s">
        <v>1563</v>
      </c>
      <c r="C268" s="5" t="s">
        <v>1579</v>
      </c>
      <c r="D268" s="5" t="s">
        <v>1693</v>
      </c>
      <c r="E268" s="5" t="s">
        <v>35</v>
      </c>
      <c r="F268" s="12">
        <v>43773.779641203706</v>
      </c>
      <c r="G268" t="s">
        <v>8734</v>
      </c>
      <c r="H268" s="5" t="s">
        <v>1039</v>
      </c>
      <c r="I268" s="6">
        <v>2145</v>
      </c>
      <c r="J268" s="5" t="s">
        <v>15</v>
      </c>
      <c r="K268" s="6">
        <v>18</v>
      </c>
      <c r="L268" s="6">
        <v>38610</v>
      </c>
      <c r="M268" s="5" t="s">
        <v>1560</v>
      </c>
      <c r="N268" s="5" t="s">
        <v>1558</v>
      </c>
      <c r="O268" s="13">
        <v>43773</v>
      </c>
      <c r="P268" t="s">
        <v>8734</v>
      </c>
    </row>
    <row r="269" spans="1:16" x14ac:dyDescent="0.15">
      <c r="A269" s="5" t="s">
        <v>202</v>
      </c>
      <c r="B269" s="5" t="s">
        <v>1563</v>
      </c>
      <c r="C269" s="5" t="s">
        <v>1581</v>
      </c>
      <c r="D269" s="5" t="s">
        <v>1693</v>
      </c>
      <c r="E269" s="5" t="s">
        <v>35</v>
      </c>
      <c r="F269" s="12">
        <v>43773.796030092592</v>
      </c>
      <c r="G269" t="s">
        <v>8734</v>
      </c>
      <c r="H269" s="5" t="s">
        <v>1041</v>
      </c>
      <c r="I269" s="6">
        <v>7215</v>
      </c>
      <c r="J269" s="5" t="s">
        <v>15</v>
      </c>
      <c r="K269" s="6">
        <v>14.5</v>
      </c>
      <c r="L269" s="6">
        <v>104617.5</v>
      </c>
      <c r="M269" s="5" t="s">
        <v>1560</v>
      </c>
      <c r="N269" s="5" t="s">
        <v>1558</v>
      </c>
      <c r="O269" s="13">
        <v>43773</v>
      </c>
      <c r="P269" t="s">
        <v>8734</v>
      </c>
    </row>
    <row r="270" spans="1:16" x14ac:dyDescent="0.15">
      <c r="A270" s="5" t="s">
        <v>1042</v>
      </c>
      <c r="B270" s="5" t="s">
        <v>1563</v>
      </c>
      <c r="C270" s="5" t="s">
        <v>1582</v>
      </c>
      <c r="D270" s="5" t="s">
        <v>1693</v>
      </c>
      <c r="E270" s="5" t="s">
        <v>35</v>
      </c>
      <c r="F270" s="12">
        <v>43773.799317129633</v>
      </c>
      <c r="G270" t="s">
        <v>8734</v>
      </c>
      <c r="H270" s="5" t="s">
        <v>1043</v>
      </c>
      <c r="I270" s="6">
        <v>780</v>
      </c>
      <c r="J270" s="5" t="s">
        <v>15</v>
      </c>
      <c r="K270" s="6">
        <v>18</v>
      </c>
      <c r="L270" s="6">
        <v>14040</v>
      </c>
      <c r="M270" s="5" t="s">
        <v>1560</v>
      </c>
      <c r="N270" s="5" t="s">
        <v>1558</v>
      </c>
      <c r="O270" s="13">
        <v>43773</v>
      </c>
      <c r="P270" t="s">
        <v>8734</v>
      </c>
    </row>
    <row r="271" spans="1:16" x14ac:dyDescent="0.15">
      <c r="A271" s="5" t="s">
        <v>1044</v>
      </c>
      <c r="B271" s="5" t="s">
        <v>1563</v>
      </c>
      <c r="C271" s="5" t="s">
        <v>1582</v>
      </c>
      <c r="D271" s="5" t="s">
        <v>1693</v>
      </c>
      <c r="E271" s="5" t="s">
        <v>35</v>
      </c>
      <c r="F271" s="12">
        <v>43773.802187499998</v>
      </c>
      <c r="G271" t="s">
        <v>8734</v>
      </c>
      <c r="H271" s="5" t="s">
        <v>1046</v>
      </c>
      <c r="I271" s="6">
        <v>585</v>
      </c>
      <c r="J271" s="5" t="s">
        <v>15</v>
      </c>
      <c r="K271" s="6">
        <v>18</v>
      </c>
      <c r="L271" s="6">
        <v>10530</v>
      </c>
      <c r="M271" s="5" t="s">
        <v>1560</v>
      </c>
      <c r="N271" s="5" t="s">
        <v>1558</v>
      </c>
      <c r="O271" s="13">
        <v>43773</v>
      </c>
      <c r="P271" t="s">
        <v>8734</v>
      </c>
    </row>
    <row r="272" spans="1:16" x14ac:dyDescent="0.15">
      <c r="A272" s="5" t="s">
        <v>206</v>
      </c>
      <c r="B272" s="5" t="s">
        <v>1563</v>
      </c>
      <c r="C272" s="5" t="s">
        <v>1595</v>
      </c>
      <c r="D272" s="5" t="s">
        <v>1693</v>
      </c>
      <c r="E272" s="5" t="s">
        <v>35</v>
      </c>
      <c r="F272" s="12">
        <v>43775.616319444445</v>
      </c>
      <c r="G272" t="s">
        <v>8734</v>
      </c>
      <c r="H272" s="5" t="s">
        <v>1052</v>
      </c>
      <c r="I272" s="6">
        <v>975</v>
      </c>
      <c r="J272" s="5" t="s">
        <v>15</v>
      </c>
      <c r="K272" s="6">
        <v>18</v>
      </c>
      <c r="L272" s="6">
        <v>17550</v>
      </c>
      <c r="M272" s="5" t="s">
        <v>1560</v>
      </c>
      <c r="N272" s="5" t="s">
        <v>1558</v>
      </c>
      <c r="O272" s="13">
        <v>43775</v>
      </c>
      <c r="P272" t="s">
        <v>8734</v>
      </c>
    </row>
    <row r="273" spans="1:16" x14ac:dyDescent="0.15">
      <c r="A273" s="5" t="s">
        <v>206</v>
      </c>
      <c r="B273" s="5" t="s">
        <v>1563</v>
      </c>
      <c r="C273" s="5" t="s">
        <v>1595</v>
      </c>
      <c r="D273" s="5" t="s">
        <v>1693</v>
      </c>
      <c r="E273" s="5" t="s">
        <v>35</v>
      </c>
      <c r="F273" s="12">
        <v>43775.758356481485</v>
      </c>
      <c r="G273" t="s">
        <v>8734</v>
      </c>
      <c r="H273" s="5" t="s">
        <v>1053</v>
      </c>
      <c r="I273" s="6">
        <v>-292.5</v>
      </c>
      <c r="J273" s="5" t="s">
        <v>15</v>
      </c>
      <c r="K273" s="6">
        <v>18</v>
      </c>
      <c r="L273" s="6">
        <v>-5265</v>
      </c>
      <c r="M273" s="5" t="s">
        <v>1560</v>
      </c>
      <c r="N273" s="5" t="s">
        <v>1558</v>
      </c>
      <c r="O273" s="13">
        <v>43775</v>
      </c>
      <c r="P273" t="s">
        <v>8734</v>
      </c>
    </row>
    <row r="274" spans="1:16" x14ac:dyDescent="0.15">
      <c r="A274" s="5" t="s">
        <v>216</v>
      </c>
      <c r="B274" s="5" t="s">
        <v>1563</v>
      </c>
      <c r="C274" s="5" t="s">
        <v>1576</v>
      </c>
      <c r="D274" s="5" t="s">
        <v>1693</v>
      </c>
      <c r="E274" s="5" t="s">
        <v>35</v>
      </c>
      <c r="F274" s="12">
        <v>43781.690439814818</v>
      </c>
      <c r="G274" t="s">
        <v>8734</v>
      </c>
      <c r="H274" s="5" t="s">
        <v>1073</v>
      </c>
      <c r="I274" s="6">
        <v>3900</v>
      </c>
      <c r="J274" s="5" t="s">
        <v>15</v>
      </c>
      <c r="K274" s="6">
        <v>16</v>
      </c>
      <c r="L274" s="6">
        <v>62400</v>
      </c>
      <c r="M274" s="5" t="s">
        <v>1560</v>
      </c>
      <c r="N274" s="5" t="s">
        <v>1558</v>
      </c>
      <c r="O274" s="13">
        <v>43781</v>
      </c>
      <c r="P274" t="s">
        <v>8734</v>
      </c>
    </row>
    <row r="275" spans="1:16" x14ac:dyDescent="0.15">
      <c r="A275" s="5" t="s">
        <v>222</v>
      </c>
      <c r="B275" s="5" t="s">
        <v>1563</v>
      </c>
      <c r="C275" s="5" t="s">
        <v>1582</v>
      </c>
      <c r="D275" s="5" t="s">
        <v>1693</v>
      </c>
      <c r="E275" s="5" t="s">
        <v>35</v>
      </c>
      <c r="F275" s="12">
        <v>43783.662939814814</v>
      </c>
      <c r="G275" t="s">
        <v>8734</v>
      </c>
      <c r="H275" s="5" t="s">
        <v>1081</v>
      </c>
      <c r="I275" s="6">
        <v>1365</v>
      </c>
      <c r="J275" s="5" t="s">
        <v>15</v>
      </c>
      <c r="K275" s="6">
        <v>18</v>
      </c>
      <c r="L275" s="6">
        <v>24570</v>
      </c>
      <c r="M275" s="5" t="s">
        <v>1560</v>
      </c>
      <c r="N275" s="5" t="s">
        <v>1558</v>
      </c>
      <c r="O275" s="13">
        <v>43783</v>
      </c>
      <c r="P275" t="s">
        <v>8734</v>
      </c>
    </row>
    <row r="276" spans="1:16" x14ac:dyDescent="0.15">
      <c r="A276" s="5" t="s">
        <v>223</v>
      </c>
      <c r="B276" s="5" t="s">
        <v>1563</v>
      </c>
      <c r="C276" s="5" t="s">
        <v>1630</v>
      </c>
      <c r="D276" s="5" t="s">
        <v>1693</v>
      </c>
      <c r="E276" s="5" t="s">
        <v>35</v>
      </c>
      <c r="F276" s="12">
        <v>43783.708518518521</v>
      </c>
      <c r="G276" t="s">
        <v>8734</v>
      </c>
      <c r="H276" s="5" t="s">
        <v>1082</v>
      </c>
      <c r="I276" s="6">
        <v>585</v>
      </c>
      <c r="J276" s="5" t="s">
        <v>15</v>
      </c>
      <c r="K276" s="6">
        <v>0.66</v>
      </c>
      <c r="L276" s="6">
        <v>386.1</v>
      </c>
      <c r="M276" s="5" t="s">
        <v>1560</v>
      </c>
      <c r="N276" s="5" t="s">
        <v>1558</v>
      </c>
      <c r="O276" s="13">
        <v>43783</v>
      </c>
      <c r="P276" t="s">
        <v>8734</v>
      </c>
    </row>
    <row r="277" spans="1:16" x14ac:dyDescent="0.15">
      <c r="A277" s="5" t="s">
        <v>226</v>
      </c>
      <c r="B277" s="5" t="s">
        <v>1563</v>
      </c>
      <c r="C277" s="5" t="s">
        <v>1572</v>
      </c>
      <c r="D277" s="5" t="s">
        <v>1693</v>
      </c>
      <c r="E277" s="5" t="s">
        <v>35</v>
      </c>
      <c r="F277" s="12">
        <v>43783.761180555557</v>
      </c>
      <c r="G277" t="s">
        <v>8734</v>
      </c>
      <c r="H277" s="5" t="s">
        <v>1085</v>
      </c>
      <c r="I277" s="6">
        <v>1170</v>
      </c>
      <c r="J277" s="5" t="s">
        <v>15</v>
      </c>
      <c r="K277" s="6">
        <v>17.5</v>
      </c>
      <c r="L277" s="6">
        <v>20475</v>
      </c>
      <c r="M277" s="5" t="s">
        <v>1560</v>
      </c>
      <c r="N277" s="5" t="s">
        <v>1558</v>
      </c>
      <c r="O277" s="13">
        <v>43782</v>
      </c>
      <c r="P277" t="s">
        <v>8734</v>
      </c>
    </row>
    <row r="278" spans="1:16" x14ac:dyDescent="0.15">
      <c r="A278" s="5" t="s">
        <v>227</v>
      </c>
      <c r="B278" s="5" t="s">
        <v>1563</v>
      </c>
      <c r="C278" s="5" t="s">
        <v>1594</v>
      </c>
      <c r="D278" s="5" t="s">
        <v>1693</v>
      </c>
      <c r="E278" s="5" t="s">
        <v>35</v>
      </c>
      <c r="F278" s="12">
        <v>43787.664155092592</v>
      </c>
      <c r="G278" t="s">
        <v>8734</v>
      </c>
      <c r="H278" s="5" t="s">
        <v>1088</v>
      </c>
      <c r="I278" s="6">
        <v>487.5</v>
      </c>
      <c r="J278" s="5" t="s">
        <v>15</v>
      </c>
      <c r="K278" s="6">
        <v>18</v>
      </c>
      <c r="L278" s="6">
        <v>8775</v>
      </c>
      <c r="M278" s="5" t="s">
        <v>1560</v>
      </c>
      <c r="N278" s="5" t="s">
        <v>1558</v>
      </c>
      <c r="O278" s="13">
        <v>43787</v>
      </c>
      <c r="P278" t="s">
        <v>8734</v>
      </c>
    </row>
    <row r="279" spans="1:16" x14ac:dyDescent="0.15">
      <c r="A279" s="5" t="s">
        <v>229</v>
      </c>
      <c r="B279" s="5" t="s">
        <v>1563</v>
      </c>
      <c r="C279" s="5" t="s">
        <v>1600</v>
      </c>
      <c r="D279" s="5" t="s">
        <v>1693</v>
      </c>
      <c r="E279" s="5" t="s">
        <v>35</v>
      </c>
      <c r="F279" s="12">
        <v>43787.846759259257</v>
      </c>
      <c r="G279" t="s">
        <v>8734</v>
      </c>
      <c r="H279" s="5" t="s">
        <v>1092</v>
      </c>
      <c r="I279" s="6">
        <v>3900</v>
      </c>
      <c r="J279" s="5" t="s">
        <v>15</v>
      </c>
      <c r="K279" s="6">
        <v>18</v>
      </c>
      <c r="L279" s="6">
        <v>70200</v>
      </c>
      <c r="M279" s="5" t="s">
        <v>1560</v>
      </c>
      <c r="N279" s="5" t="s">
        <v>1558</v>
      </c>
      <c r="O279" s="13">
        <v>43790</v>
      </c>
      <c r="P279" t="s">
        <v>8734</v>
      </c>
    </row>
    <row r="280" spans="1:16" x14ac:dyDescent="0.15">
      <c r="A280" s="5" t="s">
        <v>230</v>
      </c>
      <c r="B280" s="5" t="s">
        <v>1563</v>
      </c>
      <c r="C280" s="5" t="s">
        <v>1572</v>
      </c>
      <c r="D280" s="5" t="s">
        <v>1693</v>
      </c>
      <c r="E280" s="5" t="s">
        <v>35</v>
      </c>
      <c r="F280" s="12">
        <v>43787.863796296297</v>
      </c>
      <c r="G280" t="s">
        <v>8734</v>
      </c>
      <c r="H280" s="5" t="s">
        <v>1093</v>
      </c>
      <c r="I280" s="6">
        <v>1852.5</v>
      </c>
      <c r="J280" s="5" t="s">
        <v>15</v>
      </c>
      <c r="K280" s="6">
        <v>17.5</v>
      </c>
      <c r="L280" s="6">
        <v>32418.75</v>
      </c>
      <c r="M280" s="5" t="s">
        <v>1560</v>
      </c>
      <c r="N280" s="5" t="s">
        <v>1558</v>
      </c>
      <c r="O280" s="13">
        <v>43787</v>
      </c>
      <c r="P280" t="s">
        <v>8734</v>
      </c>
    </row>
    <row r="281" spans="1:16" x14ac:dyDescent="0.15">
      <c r="A281" s="5" t="s">
        <v>233</v>
      </c>
      <c r="B281" s="5" t="s">
        <v>1563</v>
      </c>
      <c r="C281" s="5" t="s">
        <v>1585</v>
      </c>
      <c r="D281" s="5" t="s">
        <v>1693</v>
      </c>
      <c r="E281" s="5" t="s">
        <v>35</v>
      </c>
      <c r="F281" s="12">
        <v>43790.623553240737</v>
      </c>
      <c r="G281" t="s">
        <v>8734</v>
      </c>
      <c r="H281" s="5" t="s">
        <v>1101</v>
      </c>
      <c r="I281" s="6">
        <v>2047.5</v>
      </c>
      <c r="J281" s="5" t="s">
        <v>15</v>
      </c>
      <c r="K281" s="6">
        <v>18</v>
      </c>
      <c r="L281" s="6">
        <v>36855</v>
      </c>
      <c r="M281" s="5" t="s">
        <v>1560</v>
      </c>
      <c r="N281" s="5" t="s">
        <v>1558</v>
      </c>
      <c r="O281" s="13">
        <v>43788</v>
      </c>
      <c r="P281" t="s">
        <v>8734</v>
      </c>
    </row>
    <row r="282" spans="1:16" x14ac:dyDescent="0.15">
      <c r="A282" s="5" t="s">
        <v>1102</v>
      </c>
      <c r="B282" s="5" t="s">
        <v>1563</v>
      </c>
      <c r="C282" s="5" t="s">
        <v>1585</v>
      </c>
      <c r="D282" s="5" t="s">
        <v>1693</v>
      </c>
      <c r="E282" s="5" t="s">
        <v>35</v>
      </c>
      <c r="F282" s="12">
        <v>43790.625219907408</v>
      </c>
      <c r="G282" t="s">
        <v>8734</v>
      </c>
      <c r="H282" s="5" t="s">
        <v>1103</v>
      </c>
      <c r="I282" s="6">
        <v>1852.5</v>
      </c>
      <c r="J282" s="5" t="s">
        <v>15</v>
      </c>
      <c r="K282" s="6">
        <v>18</v>
      </c>
      <c r="L282" s="6">
        <v>33345</v>
      </c>
      <c r="M282" s="5" t="s">
        <v>1560</v>
      </c>
      <c r="N282" s="5" t="s">
        <v>1558</v>
      </c>
      <c r="O282" s="13">
        <v>43788</v>
      </c>
      <c r="P282" t="s">
        <v>8734</v>
      </c>
    </row>
    <row r="283" spans="1:16" x14ac:dyDescent="0.15">
      <c r="A283" s="5" t="s">
        <v>234</v>
      </c>
      <c r="B283" s="5" t="s">
        <v>1563</v>
      </c>
      <c r="C283" s="5" t="s">
        <v>1628</v>
      </c>
      <c r="D283" s="5" t="s">
        <v>1693</v>
      </c>
      <c r="E283" s="5" t="s">
        <v>35</v>
      </c>
      <c r="F283" s="12">
        <v>43790.660949074074</v>
      </c>
      <c r="G283" t="s">
        <v>8734</v>
      </c>
      <c r="H283" s="5" t="s">
        <v>1107</v>
      </c>
      <c r="I283" s="6">
        <v>-5557.5</v>
      </c>
      <c r="J283" s="5" t="s">
        <v>15</v>
      </c>
      <c r="K283" s="6">
        <v>18</v>
      </c>
      <c r="L283" s="6">
        <v>-100035</v>
      </c>
      <c r="M283" s="5" t="s">
        <v>1560</v>
      </c>
      <c r="N283" s="5" t="s">
        <v>1558</v>
      </c>
      <c r="O283" s="13">
        <v>43790</v>
      </c>
      <c r="P283" t="s">
        <v>8734</v>
      </c>
    </row>
    <row r="284" spans="1:16" x14ac:dyDescent="0.15">
      <c r="A284" s="5" t="s">
        <v>1109</v>
      </c>
      <c r="B284" s="5" t="s">
        <v>1563</v>
      </c>
      <c r="C284" s="5" t="s">
        <v>1615</v>
      </c>
      <c r="D284" s="5" t="s">
        <v>1693</v>
      </c>
      <c r="E284" s="5" t="s">
        <v>35</v>
      </c>
      <c r="F284" s="12">
        <v>43791.631111111114</v>
      </c>
      <c r="G284" t="s">
        <v>8734</v>
      </c>
      <c r="H284" s="5" t="s">
        <v>1110</v>
      </c>
      <c r="I284" s="6">
        <v>20475</v>
      </c>
      <c r="J284" s="5" t="s">
        <v>15</v>
      </c>
      <c r="K284" s="6">
        <v>15</v>
      </c>
      <c r="L284" s="6">
        <v>307125</v>
      </c>
      <c r="M284" s="5" t="s">
        <v>1560</v>
      </c>
      <c r="N284" s="5" t="s">
        <v>1558</v>
      </c>
      <c r="O284" s="13">
        <v>43790</v>
      </c>
      <c r="P284" t="s">
        <v>8734</v>
      </c>
    </row>
    <row r="285" spans="1:16" x14ac:dyDescent="0.15">
      <c r="A285" s="5" t="s">
        <v>238</v>
      </c>
      <c r="B285" s="5" t="s">
        <v>1563</v>
      </c>
      <c r="C285" s="5" t="s">
        <v>1571</v>
      </c>
      <c r="D285" s="5" t="s">
        <v>1693</v>
      </c>
      <c r="E285" s="5" t="s">
        <v>35</v>
      </c>
      <c r="F285" s="12">
        <v>43796.689687500002</v>
      </c>
      <c r="G285" t="s">
        <v>8734</v>
      </c>
      <c r="H285" s="5" t="s">
        <v>1117</v>
      </c>
      <c r="I285" s="6">
        <v>2437.5</v>
      </c>
      <c r="J285" s="5" t="s">
        <v>15</v>
      </c>
      <c r="K285" s="6">
        <v>18</v>
      </c>
      <c r="L285" s="6">
        <v>43875</v>
      </c>
      <c r="M285" s="5" t="s">
        <v>1560</v>
      </c>
      <c r="N285" s="5" t="s">
        <v>1558</v>
      </c>
      <c r="O285" s="13">
        <v>43796</v>
      </c>
      <c r="P285" t="s">
        <v>8734</v>
      </c>
    </row>
    <row r="286" spans="1:16" x14ac:dyDescent="0.15">
      <c r="A286" s="5" t="s">
        <v>239</v>
      </c>
      <c r="B286" s="5" t="s">
        <v>1563</v>
      </c>
      <c r="C286" s="5" t="s">
        <v>1580</v>
      </c>
      <c r="D286" s="5" t="s">
        <v>1693</v>
      </c>
      <c r="E286" s="5" t="s">
        <v>35</v>
      </c>
      <c r="F286" s="12">
        <v>43796.69976851852</v>
      </c>
      <c r="G286" t="s">
        <v>8734</v>
      </c>
      <c r="H286" s="5" t="s">
        <v>1118</v>
      </c>
      <c r="I286" s="6">
        <v>3900</v>
      </c>
      <c r="J286" s="5" t="s">
        <v>15</v>
      </c>
      <c r="K286" s="6">
        <v>17</v>
      </c>
      <c r="L286" s="6">
        <v>66300</v>
      </c>
      <c r="M286" s="5" t="s">
        <v>1560</v>
      </c>
      <c r="N286" s="5" t="s">
        <v>1558</v>
      </c>
      <c r="O286" s="13">
        <v>43796</v>
      </c>
      <c r="P286" t="s">
        <v>8734</v>
      </c>
    </row>
    <row r="287" spans="1:16" x14ac:dyDescent="0.15">
      <c r="A287" s="5" t="s">
        <v>1122</v>
      </c>
      <c r="B287" s="5" t="s">
        <v>1563</v>
      </c>
      <c r="C287" s="5" t="s">
        <v>1600</v>
      </c>
      <c r="D287" s="5" t="s">
        <v>1693</v>
      </c>
      <c r="E287" s="5" t="s">
        <v>35</v>
      </c>
      <c r="F287" s="12">
        <v>43796.812222222223</v>
      </c>
      <c r="G287" t="s">
        <v>8734</v>
      </c>
      <c r="H287" s="5" t="s">
        <v>1124</v>
      </c>
      <c r="I287" s="6">
        <v>1950</v>
      </c>
      <c r="J287" s="5" t="s">
        <v>15</v>
      </c>
      <c r="K287" s="6">
        <v>18</v>
      </c>
      <c r="L287" s="6">
        <v>35100</v>
      </c>
      <c r="M287" s="5" t="s">
        <v>1560</v>
      </c>
      <c r="N287" s="5" t="s">
        <v>1558</v>
      </c>
      <c r="O287" s="13">
        <v>43796</v>
      </c>
      <c r="P287" t="s">
        <v>8734</v>
      </c>
    </row>
    <row r="288" spans="1:16" x14ac:dyDescent="0.15">
      <c r="A288" s="5" t="s">
        <v>242</v>
      </c>
      <c r="B288" s="5" t="s">
        <v>1563</v>
      </c>
      <c r="C288" s="5" t="s">
        <v>1631</v>
      </c>
      <c r="D288" s="5" t="s">
        <v>1693</v>
      </c>
      <c r="E288" s="5" t="s">
        <v>35</v>
      </c>
      <c r="F288" s="12">
        <v>43796.823171296295</v>
      </c>
      <c r="G288" t="s">
        <v>8734</v>
      </c>
      <c r="H288" s="5" t="s">
        <v>1126</v>
      </c>
      <c r="I288" s="6">
        <v>780</v>
      </c>
      <c r="J288" s="5" t="s">
        <v>15</v>
      </c>
      <c r="K288" s="6">
        <v>18.5</v>
      </c>
      <c r="L288" s="6">
        <v>14430</v>
      </c>
      <c r="M288" s="5" t="s">
        <v>1560</v>
      </c>
      <c r="N288" s="5" t="s">
        <v>1558</v>
      </c>
      <c r="O288" s="13">
        <v>43796</v>
      </c>
      <c r="P288" t="s">
        <v>8734</v>
      </c>
    </row>
    <row r="289" spans="1:16" x14ac:dyDescent="0.15">
      <c r="A289" s="5" t="s">
        <v>1129</v>
      </c>
      <c r="B289" s="5" t="s">
        <v>1563</v>
      </c>
      <c r="C289" s="5" t="s">
        <v>1616</v>
      </c>
      <c r="D289" s="5" t="s">
        <v>1693</v>
      </c>
      <c r="E289" s="5" t="s">
        <v>35</v>
      </c>
      <c r="F289" s="12">
        <v>43796.891643518517</v>
      </c>
      <c r="G289" t="s">
        <v>8734</v>
      </c>
      <c r="H289" s="5" t="s">
        <v>1130</v>
      </c>
      <c r="I289" s="6">
        <v>1950</v>
      </c>
      <c r="J289" s="5" t="s">
        <v>15</v>
      </c>
      <c r="K289" s="6">
        <v>18</v>
      </c>
      <c r="L289" s="6">
        <v>35100</v>
      </c>
      <c r="M289" s="5" t="s">
        <v>1560</v>
      </c>
      <c r="N289" s="5" t="s">
        <v>1558</v>
      </c>
      <c r="O289" s="13">
        <v>43796</v>
      </c>
      <c r="P289" t="s">
        <v>8734</v>
      </c>
    </row>
    <row r="290" spans="1:16" x14ac:dyDescent="0.15">
      <c r="A290" s="5" t="s">
        <v>245</v>
      </c>
      <c r="B290" s="5" t="s">
        <v>1563</v>
      </c>
      <c r="C290" s="5" t="s">
        <v>1600</v>
      </c>
      <c r="D290" s="5" t="s">
        <v>1693</v>
      </c>
      <c r="E290" s="5" t="s">
        <v>35</v>
      </c>
      <c r="F290" s="12">
        <v>43798.658009259256</v>
      </c>
      <c r="G290" t="s">
        <v>8734</v>
      </c>
      <c r="H290" s="5" t="s">
        <v>1132</v>
      </c>
      <c r="I290" s="6">
        <v>-1950</v>
      </c>
      <c r="J290" s="5" t="s">
        <v>15</v>
      </c>
      <c r="K290" s="6">
        <v>18</v>
      </c>
      <c r="L290" s="6">
        <v>-35100</v>
      </c>
      <c r="M290" s="5" t="s">
        <v>1560</v>
      </c>
      <c r="N290" s="5" t="s">
        <v>1558</v>
      </c>
      <c r="O290" s="13">
        <v>43798</v>
      </c>
      <c r="P290" t="s">
        <v>8734</v>
      </c>
    </row>
    <row r="291" spans="1:16" x14ac:dyDescent="0.15">
      <c r="A291" s="5" t="s">
        <v>252</v>
      </c>
      <c r="B291" s="5" t="s">
        <v>1563</v>
      </c>
      <c r="C291" s="5" t="s">
        <v>1600</v>
      </c>
      <c r="D291" s="5" t="s">
        <v>1693</v>
      </c>
      <c r="E291" s="5" t="s">
        <v>35</v>
      </c>
      <c r="F291" s="12">
        <v>43802.673217592594</v>
      </c>
      <c r="G291" t="s">
        <v>8735</v>
      </c>
      <c r="H291" s="5" t="s">
        <v>1143</v>
      </c>
      <c r="I291" s="6">
        <v>1950</v>
      </c>
      <c r="J291" s="5" t="s">
        <v>15</v>
      </c>
      <c r="K291" s="6">
        <v>18</v>
      </c>
      <c r="L291" s="6">
        <v>35100</v>
      </c>
      <c r="M291" s="5" t="s">
        <v>1560</v>
      </c>
      <c r="N291" s="5" t="s">
        <v>1558</v>
      </c>
      <c r="O291" s="13">
        <v>43801</v>
      </c>
      <c r="P291" t="s">
        <v>8735</v>
      </c>
    </row>
    <row r="292" spans="1:16" x14ac:dyDescent="0.15">
      <c r="A292" s="5" t="s">
        <v>254</v>
      </c>
      <c r="B292" s="5" t="s">
        <v>1563</v>
      </c>
      <c r="C292" s="5" t="s">
        <v>1626</v>
      </c>
      <c r="D292" s="5" t="s">
        <v>1693</v>
      </c>
      <c r="E292" s="5" t="s">
        <v>35</v>
      </c>
      <c r="F292" s="12">
        <v>43802.680127314816</v>
      </c>
      <c r="G292" t="s">
        <v>8735</v>
      </c>
      <c r="H292" s="5" t="s">
        <v>1145</v>
      </c>
      <c r="I292" s="6">
        <v>5557.5</v>
      </c>
      <c r="J292" s="5" t="s">
        <v>15</v>
      </c>
      <c r="K292" s="6">
        <v>18</v>
      </c>
      <c r="L292" s="6">
        <v>100035</v>
      </c>
      <c r="M292" s="5" t="s">
        <v>1560</v>
      </c>
      <c r="N292" s="5" t="s">
        <v>1558</v>
      </c>
      <c r="O292" s="13">
        <v>43802</v>
      </c>
      <c r="P292" t="s">
        <v>8735</v>
      </c>
    </row>
    <row r="293" spans="1:16" x14ac:dyDescent="0.15">
      <c r="A293" s="5" t="s">
        <v>261</v>
      </c>
      <c r="B293" s="5" t="s">
        <v>1563</v>
      </c>
      <c r="C293" s="5" t="s">
        <v>1575</v>
      </c>
      <c r="D293" s="5" t="s">
        <v>1693</v>
      </c>
      <c r="E293" s="5" t="s">
        <v>35</v>
      </c>
      <c r="F293" s="12">
        <v>43810.674837962964</v>
      </c>
      <c r="G293" t="s">
        <v>8735</v>
      </c>
      <c r="H293" s="5" t="s">
        <v>1160</v>
      </c>
      <c r="I293" s="6">
        <v>14040</v>
      </c>
      <c r="J293" s="5" t="s">
        <v>15</v>
      </c>
      <c r="K293" s="6">
        <v>17</v>
      </c>
      <c r="L293" s="6">
        <v>238680</v>
      </c>
      <c r="M293" s="5" t="s">
        <v>1560</v>
      </c>
      <c r="N293" s="5" t="s">
        <v>1558</v>
      </c>
      <c r="O293" s="13">
        <v>43810</v>
      </c>
      <c r="P293" t="s">
        <v>8735</v>
      </c>
    </row>
    <row r="294" spans="1:16" x14ac:dyDescent="0.15">
      <c r="A294" s="5" t="s">
        <v>265</v>
      </c>
      <c r="B294" s="5" t="s">
        <v>1563</v>
      </c>
      <c r="C294" s="5" t="s">
        <v>1632</v>
      </c>
      <c r="D294" s="5" t="s">
        <v>1693</v>
      </c>
      <c r="E294" s="5" t="s">
        <v>35</v>
      </c>
      <c r="F294" s="12">
        <v>43811.651712962965</v>
      </c>
      <c r="G294" t="s">
        <v>8735</v>
      </c>
      <c r="H294" s="5" t="s">
        <v>1164</v>
      </c>
      <c r="I294" s="6">
        <v>292.5</v>
      </c>
      <c r="J294" s="5" t="s">
        <v>15</v>
      </c>
      <c r="K294" s="6">
        <v>18</v>
      </c>
      <c r="L294" s="6">
        <v>5265</v>
      </c>
      <c r="M294" s="5" t="s">
        <v>1560</v>
      </c>
      <c r="N294" s="5" t="s">
        <v>1558</v>
      </c>
      <c r="O294" s="13">
        <v>43810</v>
      </c>
      <c r="P294" t="s">
        <v>8735</v>
      </c>
    </row>
    <row r="295" spans="1:16" x14ac:dyDescent="0.15">
      <c r="A295" s="5" t="s">
        <v>269</v>
      </c>
      <c r="B295" s="5" t="s">
        <v>1563</v>
      </c>
      <c r="C295" s="5" t="s">
        <v>1633</v>
      </c>
      <c r="D295" s="5" t="s">
        <v>1693</v>
      </c>
      <c r="E295" s="5" t="s">
        <v>35</v>
      </c>
      <c r="F295" s="12">
        <v>43815.651423611111</v>
      </c>
      <c r="G295" t="s">
        <v>8735</v>
      </c>
      <c r="H295" s="5" t="s">
        <v>1168</v>
      </c>
      <c r="I295" s="6">
        <v>3997.5</v>
      </c>
      <c r="J295" s="5" t="s">
        <v>15</v>
      </c>
      <c r="K295" s="6">
        <v>16</v>
      </c>
      <c r="L295" s="6">
        <v>63960</v>
      </c>
      <c r="M295" s="5" t="s">
        <v>1560</v>
      </c>
      <c r="N295" s="5" t="s">
        <v>1558</v>
      </c>
      <c r="O295" s="13">
        <v>43815</v>
      </c>
      <c r="P295" t="s">
        <v>8735</v>
      </c>
    </row>
    <row r="296" spans="1:16" x14ac:dyDescent="0.15">
      <c r="A296" s="5" t="s">
        <v>270</v>
      </c>
      <c r="B296" s="5" t="s">
        <v>1563</v>
      </c>
      <c r="C296" s="5" t="s">
        <v>1572</v>
      </c>
      <c r="D296" s="5" t="s">
        <v>1693</v>
      </c>
      <c r="E296" s="5" t="s">
        <v>35</v>
      </c>
      <c r="F296" s="12">
        <v>43815.658912037034</v>
      </c>
      <c r="G296" t="s">
        <v>8735</v>
      </c>
      <c r="H296" s="5" t="s">
        <v>1170</v>
      </c>
      <c r="I296" s="6">
        <v>7995</v>
      </c>
      <c r="J296" s="5" t="s">
        <v>15</v>
      </c>
      <c r="K296" s="6">
        <v>19.89</v>
      </c>
      <c r="L296" s="6">
        <v>159020.54999999999</v>
      </c>
      <c r="M296" s="5" t="s">
        <v>1560</v>
      </c>
      <c r="N296" s="5" t="s">
        <v>1558</v>
      </c>
      <c r="O296" s="13">
        <v>43815</v>
      </c>
      <c r="P296" t="s">
        <v>8735</v>
      </c>
    </row>
    <row r="297" spans="1:16" x14ac:dyDescent="0.15">
      <c r="A297" s="5" t="s">
        <v>1171</v>
      </c>
      <c r="B297" s="5" t="s">
        <v>1563</v>
      </c>
      <c r="C297" s="5" t="s">
        <v>1600</v>
      </c>
      <c r="D297" s="5" t="s">
        <v>1693</v>
      </c>
      <c r="E297" s="5" t="s">
        <v>35</v>
      </c>
      <c r="F297" s="12">
        <v>43815.662326388891</v>
      </c>
      <c r="G297" t="s">
        <v>8735</v>
      </c>
      <c r="H297" s="5" t="s">
        <v>1172</v>
      </c>
      <c r="I297" s="6">
        <v>195</v>
      </c>
      <c r="J297" s="5" t="s">
        <v>15</v>
      </c>
      <c r="K297" s="6">
        <v>18</v>
      </c>
      <c r="L297" s="6">
        <v>3510</v>
      </c>
      <c r="M297" s="5" t="s">
        <v>1560</v>
      </c>
      <c r="N297" s="5" t="s">
        <v>1558</v>
      </c>
      <c r="O297" s="13">
        <v>43816</v>
      </c>
      <c r="P297" t="s">
        <v>8735</v>
      </c>
    </row>
    <row r="298" spans="1:16" x14ac:dyDescent="0.15">
      <c r="A298" s="5" t="s">
        <v>1198</v>
      </c>
      <c r="B298" s="5" t="s">
        <v>1562</v>
      </c>
      <c r="C298" s="5" t="s">
        <v>1566</v>
      </c>
      <c r="D298" s="5" t="s">
        <v>1692</v>
      </c>
      <c r="E298" s="5" t="s">
        <v>51</v>
      </c>
      <c r="F298" s="12">
        <v>43508.752962962964</v>
      </c>
      <c r="G298" t="s">
        <v>8724</v>
      </c>
      <c r="H298" s="5" t="s">
        <v>1202</v>
      </c>
      <c r="I298" s="6">
        <v>3900</v>
      </c>
      <c r="J298" s="5" t="s">
        <v>15</v>
      </c>
      <c r="K298" s="6">
        <v>1.64</v>
      </c>
      <c r="L298" s="6">
        <v>6396</v>
      </c>
      <c r="M298" s="5" t="s">
        <v>1557</v>
      </c>
      <c r="N298" s="5" t="s">
        <v>1558</v>
      </c>
      <c r="O298" s="13">
        <v>43511</v>
      </c>
      <c r="P298" t="s">
        <v>8724</v>
      </c>
    </row>
    <row r="299" spans="1:16" x14ac:dyDescent="0.15">
      <c r="A299" s="5" t="s">
        <v>1253</v>
      </c>
      <c r="B299" s="5" t="s">
        <v>1562</v>
      </c>
      <c r="C299" s="5" t="s">
        <v>1566</v>
      </c>
      <c r="D299" s="5" t="s">
        <v>1692</v>
      </c>
      <c r="E299" s="5" t="s">
        <v>51</v>
      </c>
      <c r="F299" s="12">
        <v>43620.711192129631</v>
      </c>
      <c r="G299" t="s">
        <v>8728</v>
      </c>
      <c r="H299" s="5" t="s">
        <v>1254</v>
      </c>
      <c r="I299" s="6">
        <v>25350</v>
      </c>
      <c r="J299" s="5" t="s">
        <v>15</v>
      </c>
      <c r="K299" s="6">
        <v>1.7</v>
      </c>
      <c r="L299" s="6">
        <v>43095</v>
      </c>
      <c r="M299" s="5" t="s">
        <v>1557</v>
      </c>
      <c r="N299" s="5" t="s">
        <v>1558</v>
      </c>
      <c r="O299" s="13">
        <v>43647</v>
      </c>
      <c r="P299" t="s">
        <v>8729</v>
      </c>
    </row>
    <row r="300" spans="1:16" x14ac:dyDescent="0.15">
      <c r="A300" s="5" t="s">
        <v>1285</v>
      </c>
      <c r="B300" s="5" t="s">
        <v>1562</v>
      </c>
      <c r="C300" s="5" t="s">
        <v>1566</v>
      </c>
      <c r="D300" s="5" t="s">
        <v>1692</v>
      </c>
      <c r="E300" s="5" t="s">
        <v>51</v>
      </c>
      <c r="F300" s="12">
        <v>43726.657037037039</v>
      </c>
      <c r="G300" t="s">
        <v>8731</v>
      </c>
      <c r="H300" s="5" t="s">
        <v>1286</v>
      </c>
      <c r="I300" s="6">
        <v>9750</v>
      </c>
      <c r="J300" s="5" t="s">
        <v>15</v>
      </c>
      <c r="K300" s="6">
        <v>1.67</v>
      </c>
      <c r="L300" s="6">
        <v>16282.5</v>
      </c>
      <c r="M300" s="5" t="s">
        <v>1557</v>
      </c>
      <c r="N300" s="5" t="s">
        <v>1558</v>
      </c>
      <c r="O300" s="13">
        <v>43745</v>
      </c>
      <c r="P300" t="s">
        <v>8732</v>
      </c>
    </row>
    <row r="301" spans="1:16" x14ac:dyDescent="0.15">
      <c r="A301" s="5" t="s">
        <v>1289</v>
      </c>
      <c r="B301" s="5" t="s">
        <v>1562</v>
      </c>
      <c r="C301" s="5" t="s">
        <v>1566</v>
      </c>
      <c r="D301" s="5" t="s">
        <v>1692</v>
      </c>
      <c r="E301" s="5" t="s">
        <v>51</v>
      </c>
      <c r="F301" s="12">
        <v>43731.837627314817</v>
      </c>
      <c r="G301" t="s">
        <v>8731</v>
      </c>
      <c r="H301" s="5" t="s">
        <v>1290</v>
      </c>
      <c r="I301" s="6">
        <v>1950</v>
      </c>
      <c r="J301" s="5" t="s">
        <v>15</v>
      </c>
      <c r="K301" s="6">
        <v>1.67</v>
      </c>
      <c r="L301" s="6">
        <v>3256.5</v>
      </c>
      <c r="M301" s="5" t="s">
        <v>1557</v>
      </c>
      <c r="N301" s="5" t="s">
        <v>1558</v>
      </c>
      <c r="O301" s="13">
        <v>43745</v>
      </c>
      <c r="P301" t="s">
        <v>8732</v>
      </c>
    </row>
    <row r="302" spans="1:16" x14ac:dyDescent="0.15">
      <c r="A302" s="5" t="s">
        <v>359</v>
      </c>
      <c r="B302" s="5" t="s">
        <v>1563</v>
      </c>
      <c r="C302" s="5" t="s">
        <v>1633</v>
      </c>
      <c r="D302" s="5" t="s">
        <v>1693</v>
      </c>
      <c r="E302" s="5" t="s">
        <v>51</v>
      </c>
      <c r="F302" s="12">
        <v>43570.62060185185</v>
      </c>
      <c r="G302" t="s">
        <v>8726</v>
      </c>
      <c r="H302" s="5" t="s">
        <v>360</v>
      </c>
      <c r="I302" s="6">
        <v>2145</v>
      </c>
      <c r="J302" s="5" t="s">
        <v>15</v>
      </c>
      <c r="K302" s="6">
        <v>16</v>
      </c>
      <c r="L302" s="6">
        <v>34320</v>
      </c>
      <c r="M302" s="5" t="s">
        <v>1560</v>
      </c>
      <c r="N302" s="5" t="s">
        <v>1558</v>
      </c>
      <c r="O302" s="13">
        <v>43570</v>
      </c>
      <c r="P302" t="s">
        <v>8726</v>
      </c>
    </row>
    <row r="303" spans="1:16" x14ac:dyDescent="0.15">
      <c r="A303" s="5" t="s">
        <v>413</v>
      </c>
      <c r="B303" s="5" t="s">
        <v>1563</v>
      </c>
      <c r="C303" s="5" t="s">
        <v>1633</v>
      </c>
      <c r="D303" s="5" t="s">
        <v>1693</v>
      </c>
      <c r="E303" s="5" t="s">
        <v>51</v>
      </c>
      <c r="F303" s="12">
        <v>43593.660891203705</v>
      </c>
      <c r="G303" t="s">
        <v>8727</v>
      </c>
      <c r="H303" s="5" t="s">
        <v>414</v>
      </c>
      <c r="I303" s="6">
        <v>4290</v>
      </c>
      <c r="J303" s="5" t="s">
        <v>15</v>
      </c>
      <c r="K303" s="6">
        <v>16</v>
      </c>
      <c r="L303" s="6">
        <v>68640</v>
      </c>
      <c r="M303" s="5" t="s">
        <v>1560</v>
      </c>
      <c r="N303" s="5" t="s">
        <v>1558</v>
      </c>
      <c r="O303" s="13">
        <v>43593</v>
      </c>
      <c r="P303" t="s">
        <v>8727</v>
      </c>
    </row>
    <row r="304" spans="1:16" x14ac:dyDescent="0.15">
      <c r="A304" s="5" t="s">
        <v>422</v>
      </c>
      <c r="B304" s="5" t="s">
        <v>1563</v>
      </c>
      <c r="C304" s="5" t="s">
        <v>1603</v>
      </c>
      <c r="D304" s="5" t="s">
        <v>1693</v>
      </c>
      <c r="E304" s="5" t="s">
        <v>51</v>
      </c>
      <c r="F304" s="12">
        <v>43595.677974537037</v>
      </c>
      <c r="G304" t="s">
        <v>8727</v>
      </c>
      <c r="H304" s="5" t="s">
        <v>423</v>
      </c>
      <c r="I304" s="6">
        <v>195</v>
      </c>
      <c r="J304" s="5" t="s">
        <v>15</v>
      </c>
      <c r="K304" s="6">
        <v>20</v>
      </c>
      <c r="L304" s="6">
        <v>3900</v>
      </c>
      <c r="M304" s="5" t="s">
        <v>1560</v>
      </c>
      <c r="N304" s="5" t="s">
        <v>1558</v>
      </c>
      <c r="O304" s="13">
        <v>43595</v>
      </c>
      <c r="P304" t="s">
        <v>8727</v>
      </c>
    </row>
    <row r="305" spans="1:16" x14ac:dyDescent="0.15">
      <c r="A305" s="5" t="s">
        <v>435</v>
      </c>
      <c r="B305" s="5" t="s">
        <v>1563</v>
      </c>
      <c r="C305" s="5" t="s">
        <v>1633</v>
      </c>
      <c r="D305" s="5" t="s">
        <v>1693</v>
      </c>
      <c r="E305" s="5" t="s">
        <v>51</v>
      </c>
      <c r="F305" s="12">
        <v>43600.785578703704</v>
      </c>
      <c r="G305" t="s">
        <v>8727</v>
      </c>
      <c r="H305" s="5" t="s">
        <v>436</v>
      </c>
      <c r="I305" s="6">
        <v>5265</v>
      </c>
      <c r="J305" s="5" t="s">
        <v>15</v>
      </c>
      <c r="K305" s="6">
        <v>18</v>
      </c>
      <c r="L305" s="6">
        <v>94770</v>
      </c>
      <c r="M305" s="5" t="s">
        <v>1560</v>
      </c>
      <c r="N305" s="5" t="s">
        <v>1558</v>
      </c>
      <c r="O305" s="13">
        <v>43601</v>
      </c>
      <c r="P305" t="s">
        <v>8727</v>
      </c>
    </row>
    <row r="306" spans="1:16" x14ac:dyDescent="0.15">
      <c r="A306" s="5" t="s">
        <v>437</v>
      </c>
      <c r="B306" s="5" t="s">
        <v>1564</v>
      </c>
      <c r="C306" s="5" t="s">
        <v>1634</v>
      </c>
      <c r="D306" s="5" t="s">
        <v>1705</v>
      </c>
      <c r="E306" s="5" t="s">
        <v>51</v>
      </c>
      <c r="F306" s="12">
        <v>43605.621203703704</v>
      </c>
      <c r="G306" t="s">
        <v>8727</v>
      </c>
      <c r="H306" s="5" t="s">
        <v>439</v>
      </c>
      <c r="I306" s="6">
        <v>2925</v>
      </c>
      <c r="J306" s="5" t="s">
        <v>15</v>
      </c>
      <c r="K306" s="6">
        <v>3.3</v>
      </c>
      <c r="L306" s="6">
        <v>9652.5</v>
      </c>
      <c r="M306" s="5" t="s">
        <v>1557</v>
      </c>
      <c r="N306" s="5" t="s">
        <v>1558</v>
      </c>
      <c r="O306" s="13">
        <v>43605</v>
      </c>
      <c r="P306" t="s">
        <v>8727</v>
      </c>
    </row>
    <row r="307" spans="1:16" x14ac:dyDescent="0.15">
      <c r="A307" s="5" t="s">
        <v>511</v>
      </c>
      <c r="B307" s="5" t="s">
        <v>1563</v>
      </c>
      <c r="C307" s="5" t="s">
        <v>1572</v>
      </c>
      <c r="D307" s="5" t="s">
        <v>1693</v>
      </c>
      <c r="E307" s="5" t="s">
        <v>51</v>
      </c>
      <c r="F307" s="12">
        <v>43630.753310185188</v>
      </c>
      <c r="G307" t="s">
        <v>8728</v>
      </c>
      <c r="H307" s="5" t="s">
        <v>513</v>
      </c>
      <c r="I307" s="6">
        <v>7800</v>
      </c>
      <c r="J307" s="5" t="s">
        <v>15</v>
      </c>
      <c r="K307" s="6">
        <v>17.5</v>
      </c>
      <c r="L307" s="6">
        <v>136500</v>
      </c>
      <c r="M307" s="5" t="s">
        <v>1560</v>
      </c>
      <c r="N307" s="5" t="s">
        <v>1558</v>
      </c>
      <c r="O307" s="13">
        <v>43630</v>
      </c>
      <c r="P307" t="s">
        <v>8728</v>
      </c>
    </row>
    <row r="308" spans="1:16" x14ac:dyDescent="0.15">
      <c r="A308" s="5" t="s">
        <v>531</v>
      </c>
      <c r="B308" s="5" t="s">
        <v>1564</v>
      </c>
      <c r="C308" s="5" t="s">
        <v>1634</v>
      </c>
      <c r="D308" s="5" t="s">
        <v>1705</v>
      </c>
      <c r="E308" s="5" t="s">
        <v>51</v>
      </c>
      <c r="F308" s="12">
        <v>43643.667384259257</v>
      </c>
      <c r="G308" t="s">
        <v>8728</v>
      </c>
      <c r="H308" s="5" t="s">
        <v>532</v>
      </c>
      <c r="I308" s="6">
        <v>15600</v>
      </c>
      <c r="J308" s="5" t="s">
        <v>15</v>
      </c>
      <c r="K308" s="6">
        <v>3.3</v>
      </c>
      <c r="L308" s="6">
        <v>51480</v>
      </c>
      <c r="M308" s="5" t="s">
        <v>1557</v>
      </c>
      <c r="N308" s="5" t="s">
        <v>1558</v>
      </c>
      <c r="O308" s="13">
        <v>43643</v>
      </c>
      <c r="P308" t="s">
        <v>8728</v>
      </c>
    </row>
    <row r="309" spans="1:16" x14ac:dyDescent="0.15">
      <c r="A309" s="5" t="s">
        <v>531</v>
      </c>
      <c r="B309" s="5" t="s">
        <v>1564</v>
      </c>
      <c r="C309" s="5" t="s">
        <v>1634</v>
      </c>
      <c r="D309" s="5" t="s">
        <v>1705</v>
      </c>
      <c r="E309" s="5" t="s">
        <v>51</v>
      </c>
      <c r="F309" s="12">
        <v>43643.669560185182</v>
      </c>
      <c r="G309" t="s">
        <v>8728</v>
      </c>
      <c r="H309" s="5" t="s">
        <v>534</v>
      </c>
      <c r="I309" s="6">
        <v>1950</v>
      </c>
      <c r="J309" s="5" t="s">
        <v>15</v>
      </c>
      <c r="K309" s="6">
        <v>3.3</v>
      </c>
      <c r="L309" s="6">
        <v>6435</v>
      </c>
      <c r="M309" s="5" t="s">
        <v>1557</v>
      </c>
      <c r="N309" s="5" t="s">
        <v>1558</v>
      </c>
      <c r="O309" s="13">
        <v>43643</v>
      </c>
      <c r="P309" t="s">
        <v>8728</v>
      </c>
    </row>
    <row r="310" spans="1:16" x14ac:dyDescent="0.15">
      <c r="A310" s="5" t="s">
        <v>862</v>
      </c>
      <c r="B310" s="5" t="s">
        <v>1563</v>
      </c>
      <c r="C310" s="5" t="s">
        <v>1633</v>
      </c>
      <c r="D310" s="5" t="s">
        <v>1693</v>
      </c>
      <c r="E310" s="5" t="s">
        <v>51</v>
      </c>
      <c r="F310" s="12">
        <v>43725.754305555558</v>
      </c>
      <c r="G310" t="s">
        <v>8731</v>
      </c>
      <c r="H310" s="5" t="s">
        <v>863</v>
      </c>
      <c r="I310" s="6">
        <v>4095</v>
      </c>
      <c r="J310" s="5" t="s">
        <v>15</v>
      </c>
      <c r="K310" s="6">
        <v>16</v>
      </c>
      <c r="L310" s="6">
        <v>65520</v>
      </c>
      <c r="M310" s="5" t="s">
        <v>1560</v>
      </c>
      <c r="N310" s="5" t="s">
        <v>1558</v>
      </c>
      <c r="O310" s="13">
        <v>43725</v>
      </c>
      <c r="P310" t="s">
        <v>8731</v>
      </c>
    </row>
    <row r="311" spans="1:16" x14ac:dyDescent="0.15">
      <c r="A311" s="5" t="s">
        <v>874</v>
      </c>
      <c r="B311" s="5" t="s">
        <v>1564</v>
      </c>
      <c r="C311" s="5" t="s">
        <v>1634</v>
      </c>
      <c r="D311" s="5" t="s">
        <v>1705</v>
      </c>
      <c r="E311" s="5" t="s">
        <v>51</v>
      </c>
      <c r="F311" s="12">
        <v>43727.793634259258</v>
      </c>
      <c r="G311" t="s">
        <v>8731</v>
      </c>
      <c r="H311" s="5" t="s">
        <v>875</v>
      </c>
      <c r="I311" s="6">
        <v>13650</v>
      </c>
      <c r="J311" s="5" t="s">
        <v>15</v>
      </c>
      <c r="K311" s="6">
        <v>3.3</v>
      </c>
      <c r="L311" s="6">
        <v>45045</v>
      </c>
      <c r="M311" s="5" t="s">
        <v>1557</v>
      </c>
      <c r="N311" s="5" t="s">
        <v>1558</v>
      </c>
      <c r="O311" s="13">
        <v>43728</v>
      </c>
      <c r="P311" t="s">
        <v>8731</v>
      </c>
    </row>
    <row r="312" spans="1:16" x14ac:dyDescent="0.15">
      <c r="A312" s="5" t="s">
        <v>1015</v>
      </c>
      <c r="B312" s="5" t="s">
        <v>1564</v>
      </c>
      <c r="C312" s="5" t="s">
        <v>1634</v>
      </c>
      <c r="D312" s="5" t="s">
        <v>1705</v>
      </c>
      <c r="E312" s="5" t="s">
        <v>51</v>
      </c>
      <c r="F312" s="12">
        <v>43766.635682870372</v>
      </c>
      <c r="G312" t="s">
        <v>8732</v>
      </c>
      <c r="H312" s="5" t="s">
        <v>1016</v>
      </c>
      <c r="I312" s="6">
        <v>5070</v>
      </c>
      <c r="J312" s="5" t="s">
        <v>15</v>
      </c>
      <c r="K312" s="6">
        <v>3.3</v>
      </c>
      <c r="L312" s="6">
        <v>16731</v>
      </c>
      <c r="M312" s="5" t="s">
        <v>1557</v>
      </c>
      <c r="N312" s="5" t="s">
        <v>1558</v>
      </c>
      <c r="O312" s="13">
        <v>43766</v>
      </c>
      <c r="P312" t="s">
        <v>8732</v>
      </c>
    </row>
    <row r="313" spans="1:16" x14ac:dyDescent="0.15">
      <c r="A313" s="5" t="s">
        <v>200</v>
      </c>
      <c r="B313" s="5" t="s">
        <v>1563</v>
      </c>
      <c r="C313" s="5" t="s">
        <v>1633</v>
      </c>
      <c r="D313" s="5" t="s">
        <v>1693</v>
      </c>
      <c r="E313" s="5" t="s">
        <v>51</v>
      </c>
      <c r="F313" s="12">
        <v>43773.77684027778</v>
      </c>
      <c r="G313" t="s">
        <v>8734</v>
      </c>
      <c r="H313" s="5" t="s">
        <v>1037</v>
      </c>
      <c r="I313" s="6">
        <v>2925</v>
      </c>
      <c r="J313" s="5" t="s">
        <v>15</v>
      </c>
      <c r="K313" s="6">
        <v>16</v>
      </c>
      <c r="L313" s="6">
        <v>46800</v>
      </c>
      <c r="M313" s="5" t="s">
        <v>1560</v>
      </c>
      <c r="N313" s="5" t="s">
        <v>1558</v>
      </c>
      <c r="O313" s="13">
        <v>43773</v>
      </c>
      <c r="P313" t="s">
        <v>8734</v>
      </c>
    </row>
    <row r="314" spans="1:16" x14ac:dyDescent="0.15">
      <c r="A314" s="5" t="s">
        <v>269</v>
      </c>
      <c r="B314" s="5" t="s">
        <v>1563</v>
      </c>
      <c r="C314" s="5" t="s">
        <v>1633</v>
      </c>
      <c r="D314" s="5" t="s">
        <v>1693</v>
      </c>
      <c r="E314" s="5" t="s">
        <v>51</v>
      </c>
      <c r="F314" s="12">
        <v>43815.651759259257</v>
      </c>
      <c r="G314" t="s">
        <v>8735</v>
      </c>
      <c r="H314" s="5" t="s">
        <v>1169</v>
      </c>
      <c r="I314" s="6">
        <v>3022.5</v>
      </c>
      <c r="J314" s="5" t="s">
        <v>15</v>
      </c>
      <c r="K314" s="6">
        <v>16</v>
      </c>
      <c r="L314" s="6">
        <v>48360</v>
      </c>
      <c r="M314" s="5" t="s">
        <v>1560</v>
      </c>
      <c r="N314" s="5" t="s">
        <v>1558</v>
      </c>
      <c r="O314" s="13">
        <v>43815</v>
      </c>
      <c r="P314" t="s">
        <v>8735</v>
      </c>
    </row>
    <row r="315" spans="1:16" x14ac:dyDescent="0.15">
      <c r="A315" s="5" t="s">
        <v>1211</v>
      </c>
      <c r="B315" s="5" t="s">
        <v>1562</v>
      </c>
      <c r="C315" s="5" t="s">
        <v>1566</v>
      </c>
      <c r="D315" s="5" t="s">
        <v>1692</v>
      </c>
      <c r="E315" s="5" t="s">
        <v>65</v>
      </c>
      <c r="F315" s="12">
        <v>43524.738275462965</v>
      </c>
      <c r="G315" t="s">
        <v>8724</v>
      </c>
      <c r="H315" s="5" t="s">
        <v>1212</v>
      </c>
      <c r="I315" s="6">
        <v>3000</v>
      </c>
      <c r="J315" s="5" t="s">
        <v>15</v>
      </c>
      <c r="K315" s="6">
        <v>2.9</v>
      </c>
      <c r="L315" s="6">
        <v>8700</v>
      </c>
      <c r="M315" s="5" t="s">
        <v>1557</v>
      </c>
      <c r="N315" s="5" t="s">
        <v>1558</v>
      </c>
      <c r="O315" s="13">
        <v>43528</v>
      </c>
      <c r="P315" t="s">
        <v>8725</v>
      </c>
    </row>
    <row r="316" spans="1:16" x14ac:dyDescent="0.15">
      <c r="A316" s="5" t="s">
        <v>1227</v>
      </c>
      <c r="B316" s="5" t="s">
        <v>1562</v>
      </c>
      <c r="C316" s="5" t="s">
        <v>1566</v>
      </c>
      <c r="D316" s="5" t="s">
        <v>1692</v>
      </c>
      <c r="E316" s="5" t="s">
        <v>65</v>
      </c>
      <c r="F316" s="12">
        <v>43553.833958333336</v>
      </c>
      <c r="G316" t="s">
        <v>8725</v>
      </c>
      <c r="H316" s="5" t="s">
        <v>1229</v>
      </c>
      <c r="I316" s="6">
        <v>3000</v>
      </c>
      <c r="J316" s="5" t="s">
        <v>15</v>
      </c>
      <c r="K316" s="6">
        <v>2.9</v>
      </c>
      <c r="L316" s="6">
        <v>8700</v>
      </c>
      <c r="M316" s="5" t="s">
        <v>1557</v>
      </c>
      <c r="N316" s="5" t="s">
        <v>1558</v>
      </c>
      <c r="O316" s="13">
        <v>43563</v>
      </c>
      <c r="P316" t="s">
        <v>8726</v>
      </c>
    </row>
    <row r="317" spans="1:16" x14ac:dyDescent="0.15">
      <c r="A317" s="5" t="s">
        <v>1269</v>
      </c>
      <c r="B317" s="5" t="s">
        <v>1562</v>
      </c>
      <c r="C317" s="5" t="s">
        <v>1566</v>
      </c>
      <c r="D317" s="5" t="s">
        <v>1692</v>
      </c>
      <c r="E317" s="5" t="s">
        <v>65</v>
      </c>
      <c r="F317" s="12">
        <v>43664.738425925927</v>
      </c>
      <c r="G317" t="s">
        <v>8729</v>
      </c>
      <c r="H317" s="5" t="s">
        <v>1271</v>
      </c>
      <c r="I317" s="6">
        <v>6000</v>
      </c>
      <c r="J317" s="5" t="s">
        <v>15</v>
      </c>
      <c r="K317" s="6">
        <v>2.9</v>
      </c>
      <c r="L317" s="6">
        <v>17400</v>
      </c>
      <c r="M317" s="5" t="s">
        <v>1557</v>
      </c>
      <c r="N317" s="5" t="s">
        <v>1558</v>
      </c>
      <c r="O317" s="13">
        <v>43682</v>
      </c>
      <c r="P317" t="s">
        <v>8730</v>
      </c>
    </row>
    <row r="318" spans="1:16" x14ac:dyDescent="0.15">
      <c r="A318" s="5" t="s">
        <v>1409</v>
      </c>
      <c r="B318" s="5" t="s">
        <v>1562</v>
      </c>
      <c r="C318" s="5" t="s">
        <v>1566</v>
      </c>
      <c r="D318" s="5" t="s">
        <v>1697</v>
      </c>
      <c r="E318" s="5" t="s">
        <v>65</v>
      </c>
      <c r="F318" s="12">
        <v>43595.647812499999</v>
      </c>
      <c r="G318" t="s">
        <v>8727</v>
      </c>
      <c r="H318" s="5" t="s">
        <v>1411</v>
      </c>
      <c r="I318" s="6">
        <v>1350</v>
      </c>
      <c r="J318" s="5" t="s">
        <v>15</v>
      </c>
      <c r="K318" s="6">
        <v>2.9</v>
      </c>
      <c r="L318" s="6">
        <v>3915</v>
      </c>
      <c r="M318" s="5" t="s">
        <v>1557</v>
      </c>
      <c r="N318" s="5" t="s">
        <v>1558</v>
      </c>
      <c r="O318" s="13">
        <v>43598</v>
      </c>
      <c r="P318" t="s">
        <v>8727</v>
      </c>
    </row>
    <row r="319" spans="1:16" x14ac:dyDescent="0.15">
      <c r="A319" s="5" t="s">
        <v>1419</v>
      </c>
      <c r="B319" s="5" t="s">
        <v>1562</v>
      </c>
      <c r="C319" s="5" t="s">
        <v>1566</v>
      </c>
      <c r="D319" s="5" t="s">
        <v>1697</v>
      </c>
      <c r="E319" s="5" t="s">
        <v>65</v>
      </c>
      <c r="F319" s="12">
        <v>43608.865879629629</v>
      </c>
      <c r="G319" t="s">
        <v>8727</v>
      </c>
      <c r="H319" s="5" t="s">
        <v>1420</v>
      </c>
      <c r="I319" s="6">
        <v>3000</v>
      </c>
      <c r="J319" s="5" t="s">
        <v>15</v>
      </c>
      <c r="K319" s="6">
        <v>2.9</v>
      </c>
      <c r="L319" s="6">
        <v>8700</v>
      </c>
      <c r="M319" s="5" t="s">
        <v>1557</v>
      </c>
      <c r="N319" s="5" t="s">
        <v>1558</v>
      </c>
      <c r="O319" s="13">
        <v>43626</v>
      </c>
      <c r="P319" t="s">
        <v>8728</v>
      </c>
    </row>
    <row r="320" spans="1:16" x14ac:dyDescent="0.15">
      <c r="A320" s="5" t="s">
        <v>1448</v>
      </c>
      <c r="B320" s="5" t="s">
        <v>1562</v>
      </c>
      <c r="C320" s="5" t="s">
        <v>1566</v>
      </c>
      <c r="D320" s="5" t="s">
        <v>1701</v>
      </c>
      <c r="E320" s="5" t="s">
        <v>65</v>
      </c>
      <c r="F320" s="12">
        <v>43664.595937500002</v>
      </c>
      <c r="G320" t="s">
        <v>8729</v>
      </c>
      <c r="H320" s="5" t="s">
        <v>1449</v>
      </c>
      <c r="I320" s="6">
        <v>1500</v>
      </c>
      <c r="J320" s="5" t="s">
        <v>15</v>
      </c>
      <c r="K320" s="6">
        <v>2.9</v>
      </c>
      <c r="L320" s="6">
        <v>4350</v>
      </c>
      <c r="M320" s="5" t="s">
        <v>1557</v>
      </c>
      <c r="N320" s="5" t="s">
        <v>1558</v>
      </c>
      <c r="O320" s="13">
        <v>43683</v>
      </c>
      <c r="P320" t="s">
        <v>8730</v>
      </c>
    </row>
    <row r="321" spans="1:16" x14ac:dyDescent="0.15">
      <c r="A321" s="5" t="s">
        <v>1454</v>
      </c>
      <c r="B321" s="5" t="s">
        <v>1562</v>
      </c>
      <c r="C321" s="5" t="s">
        <v>1566</v>
      </c>
      <c r="D321" s="5" t="s">
        <v>1701</v>
      </c>
      <c r="E321" s="5" t="s">
        <v>65</v>
      </c>
      <c r="F321" s="12">
        <v>43693.938923611109</v>
      </c>
      <c r="G321" t="s">
        <v>8730</v>
      </c>
      <c r="H321" s="5" t="s">
        <v>1455</v>
      </c>
      <c r="I321" s="6">
        <v>19500</v>
      </c>
      <c r="J321" s="5" t="s">
        <v>15</v>
      </c>
      <c r="K321" s="6">
        <v>2.9</v>
      </c>
      <c r="L321" s="6">
        <v>56550</v>
      </c>
      <c r="M321" s="5" t="s">
        <v>1557</v>
      </c>
      <c r="N321" s="5" t="s">
        <v>1558</v>
      </c>
      <c r="O321" s="13">
        <v>43711</v>
      </c>
      <c r="P321" t="s">
        <v>8731</v>
      </c>
    </row>
    <row r="322" spans="1:16" x14ac:dyDescent="0.15">
      <c r="A322" s="5" t="s">
        <v>1193</v>
      </c>
      <c r="B322" s="5" t="s">
        <v>1562</v>
      </c>
      <c r="C322" s="5" t="s">
        <v>1584</v>
      </c>
      <c r="D322" s="5" t="s">
        <v>1699</v>
      </c>
      <c r="E322" s="5" t="s">
        <v>44</v>
      </c>
      <c r="F322" s="12">
        <v>43768.701018518521</v>
      </c>
      <c r="G322" t="s">
        <v>8732</v>
      </c>
      <c r="H322" s="5" t="s">
        <v>1194</v>
      </c>
      <c r="I322" s="6">
        <v>682.5</v>
      </c>
      <c r="J322" s="5" t="s">
        <v>15</v>
      </c>
      <c r="K322" s="6">
        <v>2.93</v>
      </c>
      <c r="L322" s="6">
        <v>1999.73</v>
      </c>
      <c r="M322" s="5" t="s">
        <v>1557</v>
      </c>
      <c r="N322" s="5" t="s">
        <v>1558</v>
      </c>
      <c r="O322" s="13">
        <v>43767</v>
      </c>
      <c r="P322" t="s">
        <v>8732</v>
      </c>
    </row>
    <row r="323" spans="1:16" x14ac:dyDescent="0.15">
      <c r="A323" s="5" t="s">
        <v>1198</v>
      </c>
      <c r="B323" s="5" t="s">
        <v>1562</v>
      </c>
      <c r="C323" s="5" t="s">
        <v>1566</v>
      </c>
      <c r="D323" s="5" t="s">
        <v>1692</v>
      </c>
      <c r="E323" s="5" t="s">
        <v>44</v>
      </c>
      <c r="F323" s="12">
        <v>43508.752939814818</v>
      </c>
      <c r="G323" t="s">
        <v>8724</v>
      </c>
      <c r="H323" s="5" t="s">
        <v>1201</v>
      </c>
      <c r="I323" s="6">
        <v>5850</v>
      </c>
      <c r="J323" s="5" t="s">
        <v>15</v>
      </c>
      <c r="K323" s="6">
        <v>3.1</v>
      </c>
      <c r="L323" s="6">
        <v>18135</v>
      </c>
      <c r="M323" s="5" t="s">
        <v>1557</v>
      </c>
      <c r="N323" s="5" t="s">
        <v>1558</v>
      </c>
      <c r="O323" s="13">
        <v>43511</v>
      </c>
      <c r="P323" t="s">
        <v>8724</v>
      </c>
    </row>
    <row r="324" spans="1:16" x14ac:dyDescent="0.15">
      <c r="A324" s="5" t="s">
        <v>1221</v>
      </c>
      <c r="B324" s="5" t="s">
        <v>1562</v>
      </c>
      <c r="C324" s="5" t="s">
        <v>1566</v>
      </c>
      <c r="D324" s="5" t="s">
        <v>1700</v>
      </c>
      <c r="E324" s="5" t="s">
        <v>44</v>
      </c>
      <c r="F324" s="12">
        <v>43550.980555555558</v>
      </c>
      <c r="G324" t="s">
        <v>8725</v>
      </c>
      <c r="H324" s="5" t="s">
        <v>1222</v>
      </c>
      <c r="I324" s="6">
        <v>25350</v>
      </c>
      <c r="J324" s="5" t="s">
        <v>15</v>
      </c>
      <c r="K324" s="6">
        <v>2.92</v>
      </c>
      <c r="L324" s="6">
        <v>74022</v>
      </c>
      <c r="M324" s="5" t="s">
        <v>1557</v>
      </c>
      <c r="N324" s="5" t="s">
        <v>1558</v>
      </c>
      <c r="O324" s="13">
        <v>43661</v>
      </c>
      <c r="P324" t="s">
        <v>8729</v>
      </c>
    </row>
    <row r="325" spans="1:16" x14ac:dyDescent="0.15">
      <c r="A325" s="5" t="s">
        <v>1223</v>
      </c>
      <c r="B325" s="5" t="s">
        <v>1562</v>
      </c>
      <c r="C325" s="5" t="s">
        <v>1566</v>
      </c>
      <c r="D325" s="5" t="s">
        <v>1692</v>
      </c>
      <c r="E325" s="5" t="s">
        <v>44</v>
      </c>
      <c r="F325" s="12">
        <v>43553.833055555559</v>
      </c>
      <c r="G325" t="s">
        <v>8725</v>
      </c>
      <c r="H325" s="5" t="s">
        <v>1226</v>
      </c>
      <c r="I325" s="6">
        <v>5850</v>
      </c>
      <c r="J325" s="5" t="s">
        <v>15</v>
      </c>
      <c r="K325" s="6">
        <v>2.92</v>
      </c>
      <c r="L325" s="6">
        <v>17082</v>
      </c>
      <c r="M325" s="5" t="s">
        <v>1557</v>
      </c>
      <c r="N325" s="5" t="s">
        <v>1558</v>
      </c>
      <c r="O325" s="13">
        <v>43563</v>
      </c>
      <c r="P325" t="s">
        <v>8726</v>
      </c>
    </row>
    <row r="326" spans="1:16" x14ac:dyDescent="0.15">
      <c r="A326" s="5" t="s">
        <v>1255</v>
      </c>
      <c r="B326" s="5" t="s">
        <v>1562</v>
      </c>
      <c r="C326" s="5" t="s">
        <v>1566</v>
      </c>
      <c r="D326" s="5" t="s">
        <v>1692</v>
      </c>
      <c r="E326" s="5" t="s">
        <v>44</v>
      </c>
      <c r="F326" s="12">
        <v>43620.711886574078</v>
      </c>
      <c r="G326" t="s">
        <v>8728</v>
      </c>
      <c r="H326" s="5" t="s">
        <v>1256</v>
      </c>
      <c r="I326" s="6">
        <v>5850</v>
      </c>
      <c r="J326" s="5" t="s">
        <v>15</v>
      </c>
      <c r="K326" s="6">
        <v>2.92</v>
      </c>
      <c r="L326" s="6">
        <v>17082</v>
      </c>
      <c r="M326" s="5" t="s">
        <v>1557</v>
      </c>
      <c r="N326" s="5" t="s">
        <v>1558</v>
      </c>
      <c r="O326" s="13">
        <v>43647</v>
      </c>
      <c r="P326" t="s">
        <v>8729</v>
      </c>
    </row>
    <row r="327" spans="1:16" x14ac:dyDescent="0.15">
      <c r="A327" s="5" t="s">
        <v>1266</v>
      </c>
      <c r="B327" s="5" t="s">
        <v>1562</v>
      </c>
      <c r="C327" s="5" t="s">
        <v>1566</v>
      </c>
      <c r="D327" s="5" t="s">
        <v>1692</v>
      </c>
      <c r="E327" s="5" t="s">
        <v>44</v>
      </c>
      <c r="F327" s="12">
        <v>43657.625636574077</v>
      </c>
      <c r="G327" t="s">
        <v>8729</v>
      </c>
      <c r="H327" s="5" t="s">
        <v>1267</v>
      </c>
      <c r="I327" s="6">
        <v>5850</v>
      </c>
      <c r="J327" s="5" t="s">
        <v>15</v>
      </c>
      <c r="K327" s="6">
        <v>2.92</v>
      </c>
      <c r="L327" s="6">
        <v>17082</v>
      </c>
      <c r="M327" s="5" t="s">
        <v>1557</v>
      </c>
      <c r="N327" s="5" t="s">
        <v>1558</v>
      </c>
      <c r="O327" s="13">
        <v>43657</v>
      </c>
      <c r="P327" t="s">
        <v>8729</v>
      </c>
    </row>
    <row r="328" spans="1:16" x14ac:dyDescent="0.15">
      <c r="A328" s="5" t="s">
        <v>1398</v>
      </c>
      <c r="B328" s="5" t="s">
        <v>1562</v>
      </c>
      <c r="C328" s="5" t="s">
        <v>1566</v>
      </c>
      <c r="D328" s="5" t="s">
        <v>1696</v>
      </c>
      <c r="E328" s="5" t="s">
        <v>44</v>
      </c>
      <c r="F328" s="12">
        <v>43668.553078703706</v>
      </c>
      <c r="G328" t="s">
        <v>8729</v>
      </c>
      <c r="H328" s="5" t="s">
        <v>1403</v>
      </c>
      <c r="I328" s="6">
        <v>5850</v>
      </c>
      <c r="J328" s="5" t="s">
        <v>15</v>
      </c>
      <c r="K328" s="6">
        <v>2.92</v>
      </c>
      <c r="L328" s="6">
        <v>17082</v>
      </c>
      <c r="M328" s="5" t="s">
        <v>1557</v>
      </c>
      <c r="N328" s="5" t="s">
        <v>1558</v>
      </c>
      <c r="O328" s="13">
        <v>43724</v>
      </c>
      <c r="P328" t="s">
        <v>8731</v>
      </c>
    </row>
    <row r="329" spans="1:16" x14ac:dyDescent="0.15">
      <c r="A329" s="5" t="s">
        <v>1412</v>
      </c>
      <c r="B329" s="5" t="s">
        <v>1562</v>
      </c>
      <c r="C329" s="5" t="s">
        <v>1566</v>
      </c>
      <c r="D329" s="5" t="s">
        <v>1701</v>
      </c>
      <c r="E329" s="5" t="s">
        <v>44</v>
      </c>
      <c r="F329" s="12">
        <v>43595.868587962963</v>
      </c>
      <c r="G329" t="s">
        <v>8727</v>
      </c>
      <c r="H329" s="5" t="s">
        <v>1416</v>
      </c>
      <c r="I329" s="6">
        <v>3900</v>
      </c>
      <c r="J329" s="5" t="s">
        <v>15</v>
      </c>
      <c r="K329" s="6">
        <v>2.92</v>
      </c>
      <c r="L329" s="6">
        <v>11388</v>
      </c>
      <c r="M329" s="5" t="s">
        <v>1557</v>
      </c>
      <c r="N329" s="5" t="s">
        <v>1558</v>
      </c>
      <c r="O329" s="13">
        <v>43600</v>
      </c>
      <c r="P329" t="s">
        <v>8727</v>
      </c>
    </row>
    <row r="330" spans="1:16" x14ac:dyDescent="0.15">
      <c r="A330" s="5" t="s">
        <v>1425</v>
      </c>
      <c r="B330" s="5" t="s">
        <v>1562</v>
      </c>
      <c r="C330" s="5" t="s">
        <v>1566</v>
      </c>
      <c r="D330" s="5" t="s">
        <v>1701</v>
      </c>
      <c r="E330" s="5" t="s">
        <v>44</v>
      </c>
      <c r="F330" s="12">
        <v>43614.947916666664</v>
      </c>
      <c r="G330" t="s">
        <v>8727</v>
      </c>
      <c r="H330" s="5" t="s">
        <v>1428</v>
      </c>
      <c r="I330" s="6">
        <v>19500</v>
      </c>
      <c r="J330" s="5" t="s">
        <v>15</v>
      </c>
      <c r="K330" s="6">
        <v>2.92</v>
      </c>
      <c r="L330" s="6">
        <v>56940</v>
      </c>
      <c r="M330" s="5" t="s">
        <v>1557</v>
      </c>
      <c r="N330" s="5" t="s">
        <v>1558</v>
      </c>
      <c r="O330" s="13">
        <v>43621</v>
      </c>
      <c r="P330" t="s">
        <v>8728</v>
      </c>
    </row>
    <row r="331" spans="1:16" x14ac:dyDescent="0.15">
      <c r="A331" s="5" t="s">
        <v>1440</v>
      </c>
      <c r="B331" s="5" t="s">
        <v>1562</v>
      </c>
      <c r="C331" s="5" t="s">
        <v>1566</v>
      </c>
      <c r="D331" s="5" t="s">
        <v>1701</v>
      </c>
      <c r="E331" s="5" t="s">
        <v>44</v>
      </c>
      <c r="F331" s="12">
        <v>43643.714953703704</v>
      </c>
      <c r="G331" t="s">
        <v>8728</v>
      </c>
      <c r="H331" s="5" t="s">
        <v>1441</v>
      </c>
      <c r="I331" s="6">
        <v>38707.5</v>
      </c>
      <c r="J331" s="5" t="s">
        <v>15</v>
      </c>
      <c r="K331" s="6">
        <v>2.92</v>
      </c>
      <c r="L331" s="6">
        <v>113025.9</v>
      </c>
      <c r="M331" s="5" t="s">
        <v>1557</v>
      </c>
      <c r="N331" s="5" t="s">
        <v>1558</v>
      </c>
      <c r="O331" s="13">
        <v>43691</v>
      </c>
      <c r="P331" t="s">
        <v>8730</v>
      </c>
    </row>
    <row r="332" spans="1:16" x14ac:dyDescent="0.15">
      <c r="A332" s="5" t="s">
        <v>1444</v>
      </c>
      <c r="B332" s="5" t="s">
        <v>1562</v>
      </c>
      <c r="C332" s="5" t="s">
        <v>1566</v>
      </c>
      <c r="D332" s="5" t="s">
        <v>1701</v>
      </c>
      <c r="E332" s="5" t="s">
        <v>44</v>
      </c>
      <c r="F332" s="12">
        <v>43654.650347222225</v>
      </c>
      <c r="G332" t="s">
        <v>8729</v>
      </c>
      <c r="H332" s="5" t="s">
        <v>1447</v>
      </c>
      <c r="I332" s="6">
        <v>7800</v>
      </c>
      <c r="J332" s="5" t="s">
        <v>15</v>
      </c>
      <c r="K332" s="6">
        <v>2.92</v>
      </c>
      <c r="L332" s="6">
        <v>22776</v>
      </c>
      <c r="M332" s="5" t="s">
        <v>1557</v>
      </c>
      <c r="N332" s="5" t="s">
        <v>1558</v>
      </c>
      <c r="O332" s="13">
        <v>43677</v>
      </c>
      <c r="P332" t="s">
        <v>8729</v>
      </c>
    </row>
    <row r="333" spans="1:16" x14ac:dyDescent="0.15">
      <c r="A333" s="5" t="s">
        <v>1448</v>
      </c>
      <c r="B333" s="5" t="s">
        <v>1562</v>
      </c>
      <c r="C333" s="5" t="s">
        <v>1566</v>
      </c>
      <c r="D333" s="5" t="s">
        <v>1701</v>
      </c>
      <c r="E333" s="5" t="s">
        <v>44</v>
      </c>
      <c r="F333" s="12">
        <v>43664.595949074072</v>
      </c>
      <c r="G333" t="s">
        <v>8729</v>
      </c>
      <c r="H333" s="5" t="s">
        <v>1450</v>
      </c>
      <c r="I333" s="6">
        <v>7800</v>
      </c>
      <c r="J333" s="5" t="s">
        <v>15</v>
      </c>
      <c r="K333" s="6">
        <v>2.92</v>
      </c>
      <c r="L333" s="6">
        <v>22776</v>
      </c>
      <c r="M333" s="5" t="s">
        <v>1557</v>
      </c>
      <c r="N333" s="5" t="s">
        <v>1558</v>
      </c>
      <c r="O333" s="13">
        <v>43683</v>
      </c>
      <c r="P333" t="s">
        <v>8730</v>
      </c>
    </row>
    <row r="334" spans="1:16" x14ac:dyDescent="0.15">
      <c r="A334" s="5" t="s">
        <v>1451</v>
      </c>
      <c r="B334" s="5" t="s">
        <v>1562</v>
      </c>
      <c r="C334" s="5" t="s">
        <v>1566</v>
      </c>
      <c r="D334" s="5" t="s">
        <v>1701</v>
      </c>
      <c r="E334" s="5" t="s">
        <v>44</v>
      </c>
      <c r="F334" s="12">
        <v>43693.938472222224</v>
      </c>
      <c r="G334" t="s">
        <v>8730</v>
      </c>
      <c r="H334" s="5" t="s">
        <v>1453</v>
      </c>
      <c r="I334" s="6">
        <v>1950</v>
      </c>
      <c r="J334" s="5" t="s">
        <v>15</v>
      </c>
      <c r="K334" s="6">
        <v>2.92</v>
      </c>
      <c r="L334" s="6">
        <v>5694</v>
      </c>
      <c r="M334" s="5" t="s">
        <v>1557</v>
      </c>
      <c r="N334" s="5" t="s">
        <v>1558</v>
      </c>
      <c r="O334" s="13">
        <v>43705</v>
      </c>
      <c r="P334" t="s">
        <v>8730</v>
      </c>
    </row>
    <row r="335" spans="1:16" x14ac:dyDescent="0.15">
      <c r="A335" s="5" t="s">
        <v>1486</v>
      </c>
      <c r="B335" s="5" t="s">
        <v>1562</v>
      </c>
      <c r="C335" s="5" t="s">
        <v>1567</v>
      </c>
      <c r="D335" s="5" t="s">
        <v>1698</v>
      </c>
      <c r="E335" s="5" t="s">
        <v>44</v>
      </c>
      <c r="F335" s="12">
        <v>43549.74009259259</v>
      </c>
      <c r="G335" t="s">
        <v>8725</v>
      </c>
      <c r="H335" s="5" t="s">
        <v>1488</v>
      </c>
      <c r="I335" s="6">
        <v>3900</v>
      </c>
      <c r="J335" s="5" t="s">
        <v>15</v>
      </c>
      <c r="K335" s="6">
        <v>2.92</v>
      </c>
      <c r="L335" s="6">
        <v>11388</v>
      </c>
      <c r="M335" s="5" t="s">
        <v>1557</v>
      </c>
      <c r="N335" s="5" t="s">
        <v>1558</v>
      </c>
      <c r="O335" s="13">
        <v>43556</v>
      </c>
      <c r="P335" t="s">
        <v>8726</v>
      </c>
    </row>
    <row r="336" spans="1:16" x14ac:dyDescent="0.15">
      <c r="A336" s="5" t="s">
        <v>1516</v>
      </c>
      <c r="B336" s="5" t="s">
        <v>1562</v>
      </c>
      <c r="C336" s="5" t="s">
        <v>1567</v>
      </c>
      <c r="D336" s="5" t="s">
        <v>1702</v>
      </c>
      <c r="E336" s="5" t="s">
        <v>44</v>
      </c>
      <c r="F336" s="12">
        <v>43507.971145833333</v>
      </c>
      <c r="G336" t="s">
        <v>8724</v>
      </c>
      <c r="H336" s="5" t="s">
        <v>1519</v>
      </c>
      <c r="I336" s="6">
        <v>1950</v>
      </c>
      <c r="J336" s="5" t="s">
        <v>15</v>
      </c>
      <c r="K336" s="6">
        <v>3.1</v>
      </c>
      <c r="L336" s="6">
        <v>6045</v>
      </c>
      <c r="M336" s="5" t="s">
        <v>1557</v>
      </c>
      <c r="N336" s="5" t="s">
        <v>1558</v>
      </c>
      <c r="O336" s="13">
        <v>43509</v>
      </c>
      <c r="P336" t="s">
        <v>8724</v>
      </c>
    </row>
    <row r="337" spans="1:16" x14ac:dyDescent="0.15">
      <c r="A337" s="5" t="s">
        <v>1534</v>
      </c>
      <c r="B337" s="5" t="s">
        <v>1562</v>
      </c>
      <c r="C337" s="5" t="s">
        <v>1566</v>
      </c>
      <c r="D337" s="5" t="s">
        <v>1692</v>
      </c>
      <c r="E337" s="5" t="s">
        <v>44</v>
      </c>
      <c r="F337" s="12">
        <v>43655.621180555558</v>
      </c>
      <c r="G337" t="s">
        <v>8729</v>
      </c>
      <c r="H337" s="5" t="s">
        <v>1535</v>
      </c>
      <c r="I337" s="6">
        <v>-5850</v>
      </c>
      <c r="J337" s="5" t="s">
        <v>15</v>
      </c>
      <c r="K337" s="6">
        <v>2.92</v>
      </c>
      <c r="L337" s="6">
        <v>-17082</v>
      </c>
      <c r="M337" s="5" t="s">
        <v>1557</v>
      </c>
      <c r="N337" s="5" t="s">
        <v>1558</v>
      </c>
      <c r="O337" s="13">
        <v>43655</v>
      </c>
      <c r="P337" t="s">
        <v>8729</v>
      </c>
    </row>
    <row r="338" spans="1:16" x14ac:dyDescent="0.15">
      <c r="A338" s="5" t="s">
        <v>78</v>
      </c>
      <c r="B338" s="5" t="s">
        <v>1563</v>
      </c>
      <c r="C338" s="5" t="s">
        <v>1597</v>
      </c>
      <c r="D338" s="5" t="s">
        <v>1693</v>
      </c>
      <c r="E338" s="5" t="s">
        <v>44</v>
      </c>
      <c r="F338" s="12">
        <v>43661.634652777779</v>
      </c>
      <c r="G338" t="s">
        <v>8729</v>
      </c>
      <c r="H338" s="5" t="s">
        <v>590</v>
      </c>
      <c r="I338" s="6">
        <v>487.5</v>
      </c>
      <c r="J338" s="5" t="s">
        <v>15</v>
      </c>
      <c r="K338" s="6">
        <v>28</v>
      </c>
      <c r="L338" s="6">
        <v>13650</v>
      </c>
      <c r="M338" s="5" t="s">
        <v>1560</v>
      </c>
      <c r="N338" s="5" t="s">
        <v>1558</v>
      </c>
      <c r="O338" s="13">
        <v>43661</v>
      </c>
      <c r="P338" t="s">
        <v>8729</v>
      </c>
    </row>
    <row r="339" spans="1:16" x14ac:dyDescent="0.15">
      <c r="A339" s="5" t="s">
        <v>591</v>
      </c>
      <c r="B339" s="5" t="s">
        <v>1563</v>
      </c>
      <c r="C339" s="5" t="s">
        <v>1597</v>
      </c>
      <c r="D339" s="5" t="s">
        <v>1693</v>
      </c>
      <c r="E339" s="5" t="s">
        <v>44</v>
      </c>
      <c r="F339" s="12">
        <v>43661.675023148149</v>
      </c>
      <c r="G339" t="s">
        <v>8729</v>
      </c>
      <c r="H339" s="5" t="s">
        <v>592</v>
      </c>
      <c r="I339" s="6">
        <v>97.5</v>
      </c>
      <c r="J339" s="5" t="s">
        <v>15</v>
      </c>
      <c r="K339" s="6">
        <v>28</v>
      </c>
      <c r="L339" s="6">
        <v>2730</v>
      </c>
      <c r="M339" s="5" t="s">
        <v>1560</v>
      </c>
      <c r="N339" s="5" t="s">
        <v>1558</v>
      </c>
      <c r="O339" s="13">
        <v>43661</v>
      </c>
      <c r="P339" t="s">
        <v>8729</v>
      </c>
    </row>
    <row r="340" spans="1:16" x14ac:dyDescent="0.15">
      <c r="A340" s="5" t="s">
        <v>83</v>
      </c>
      <c r="B340" s="5" t="s">
        <v>1563</v>
      </c>
      <c r="C340" s="5" t="s">
        <v>1572</v>
      </c>
      <c r="D340" s="5" t="s">
        <v>1693</v>
      </c>
      <c r="E340" s="5" t="s">
        <v>44</v>
      </c>
      <c r="F340" s="12">
        <v>43668.746817129628</v>
      </c>
      <c r="G340" t="s">
        <v>8729</v>
      </c>
      <c r="H340" s="5" t="s">
        <v>616</v>
      </c>
      <c r="I340" s="6">
        <v>10042.5</v>
      </c>
      <c r="J340" s="5" t="s">
        <v>15</v>
      </c>
      <c r="K340" s="6">
        <v>31</v>
      </c>
      <c r="L340" s="6">
        <v>311317.5</v>
      </c>
      <c r="M340" s="5" t="s">
        <v>1560</v>
      </c>
      <c r="N340" s="5" t="s">
        <v>1558</v>
      </c>
      <c r="O340" s="13">
        <v>43668</v>
      </c>
      <c r="P340" t="s">
        <v>8729</v>
      </c>
    </row>
    <row r="341" spans="1:16" x14ac:dyDescent="0.15">
      <c r="A341" s="5" t="s">
        <v>693</v>
      </c>
      <c r="B341" s="5" t="s">
        <v>1563</v>
      </c>
      <c r="C341" s="5" t="s">
        <v>1612</v>
      </c>
      <c r="D341" s="5" t="s">
        <v>1693</v>
      </c>
      <c r="E341" s="5" t="s">
        <v>44</v>
      </c>
      <c r="F341" s="12">
        <v>43684.73133101852</v>
      </c>
      <c r="G341" t="s">
        <v>8730</v>
      </c>
      <c r="H341" s="5" t="s">
        <v>697</v>
      </c>
      <c r="I341" s="6">
        <v>780</v>
      </c>
      <c r="J341" s="5" t="s">
        <v>15</v>
      </c>
      <c r="K341" s="6">
        <v>7</v>
      </c>
      <c r="L341" s="6">
        <v>5460</v>
      </c>
      <c r="M341" s="5" t="s">
        <v>1560</v>
      </c>
      <c r="N341" s="5" t="s">
        <v>1558</v>
      </c>
      <c r="O341" s="13">
        <v>43684</v>
      </c>
      <c r="P341" t="s">
        <v>8730</v>
      </c>
    </row>
    <row r="342" spans="1:16" x14ac:dyDescent="0.15">
      <c r="A342" s="5" t="s">
        <v>1541</v>
      </c>
      <c r="B342" s="5" t="s">
        <v>1562</v>
      </c>
      <c r="C342" s="5" t="s">
        <v>1584</v>
      </c>
      <c r="D342" s="5" t="s">
        <v>1698</v>
      </c>
      <c r="E342" s="5" t="s">
        <v>44</v>
      </c>
      <c r="F342" s="12">
        <v>43803.716770833336</v>
      </c>
      <c r="G342" t="s">
        <v>8735</v>
      </c>
      <c r="H342" s="5" t="s">
        <v>1543</v>
      </c>
      <c r="I342" s="6">
        <v>-682.5</v>
      </c>
      <c r="J342" s="5" t="s">
        <v>15</v>
      </c>
      <c r="K342" s="6">
        <v>0</v>
      </c>
      <c r="L342" s="6">
        <v>-1999.73</v>
      </c>
      <c r="M342" s="5" t="s">
        <v>1557</v>
      </c>
      <c r="N342" s="5" t="s">
        <v>1558</v>
      </c>
      <c r="O342" s="13">
        <v>43799</v>
      </c>
      <c r="P342" t="s">
        <v>8734</v>
      </c>
    </row>
    <row r="343" spans="1:16" x14ac:dyDescent="0.15">
      <c r="A343" s="5" t="s">
        <v>1541</v>
      </c>
      <c r="B343" s="5" t="s">
        <v>1562</v>
      </c>
      <c r="C343" s="5" t="s">
        <v>1584</v>
      </c>
      <c r="D343" s="5" t="s">
        <v>1698</v>
      </c>
      <c r="E343" s="5" t="s">
        <v>44</v>
      </c>
      <c r="F343" s="12">
        <v>43803.717615740738</v>
      </c>
      <c r="G343" t="s">
        <v>8735</v>
      </c>
      <c r="H343" s="5" t="s">
        <v>1545</v>
      </c>
      <c r="I343" s="6">
        <v>682.5</v>
      </c>
      <c r="J343" s="5" t="s">
        <v>15</v>
      </c>
      <c r="K343" s="6">
        <v>0</v>
      </c>
      <c r="L343" s="6">
        <v>1999.73</v>
      </c>
      <c r="M343" s="5" t="s">
        <v>1557</v>
      </c>
      <c r="N343" s="5" t="s">
        <v>1558</v>
      </c>
      <c r="O343" s="13">
        <v>43799</v>
      </c>
      <c r="P343" t="s">
        <v>8734</v>
      </c>
    </row>
    <row r="344" spans="1:16" x14ac:dyDescent="0.15">
      <c r="A344" s="5" t="s">
        <v>544</v>
      </c>
      <c r="B344" s="5" t="s">
        <v>1563</v>
      </c>
      <c r="C344" s="5" t="s">
        <v>1585</v>
      </c>
      <c r="D344" s="5" t="s">
        <v>1693</v>
      </c>
      <c r="E344" s="5" t="s">
        <v>55</v>
      </c>
      <c r="F344" s="12">
        <v>43649.654976851853</v>
      </c>
      <c r="G344" t="s">
        <v>8729</v>
      </c>
      <c r="H344" s="5" t="s">
        <v>546</v>
      </c>
      <c r="I344" s="6">
        <v>550</v>
      </c>
      <c r="J344" s="5" t="s">
        <v>15</v>
      </c>
      <c r="K344" s="6">
        <v>8</v>
      </c>
      <c r="L344" s="6">
        <v>4400</v>
      </c>
      <c r="M344" s="5" t="s">
        <v>1560</v>
      </c>
      <c r="N344" s="5" t="s">
        <v>1558</v>
      </c>
      <c r="O344" s="13">
        <v>43648</v>
      </c>
      <c r="P344" t="s">
        <v>8729</v>
      </c>
    </row>
    <row r="345" spans="1:16" x14ac:dyDescent="0.15">
      <c r="A345" s="5" t="s">
        <v>739</v>
      </c>
      <c r="B345" s="5" t="s">
        <v>1563</v>
      </c>
      <c r="C345" s="5" t="s">
        <v>1577</v>
      </c>
      <c r="D345" s="5" t="s">
        <v>1693</v>
      </c>
      <c r="E345" s="5" t="s">
        <v>55</v>
      </c>
      <c r="F345" s="12">
        <v>43696.701435185183</v>
      </c>
      <c r="G345" t="s">
        <v>8730</v>
      </c>
      <c r="H345" s="5" t="s">
        <v>740</v>
      </c>
      <c r="I345" s="6">
        <v>100</v>
      </c>
      <c r="J345" s="5" t="s">
        <v>15</v>
      </c>
      <c r="K345" s="6">
        <v>17.5</v>
      </c>
      <c r="L345" s="6">
        <v>1750</v>
      </c>
      <c r="M345" s="5" t="s">
        <v>1560</v>
      </c>
      <c r="N345" s="5" t="s">
        <v>1558</v>
      </c>
      <c r="O345" s="13">
        <v>43700</v>
      </c>
      <c r="P345" t="s">
        <v>8730</v>
      </c>
    </row>
    <row r="346" spans="1:16" x14ac:dyDescent="0.15">
      <c r="A346" s="5" t="s">
        <v>739</v>
      </c>
      <c r="B346" s="5" t="s">
        <v>1563</v>
      </c>
      <c r="C346" s="5" t="s">
        <v>1577</v>
      </c>
      <c r="D346" s="5" t="s">
        <v>1693</v>
      </c>
      <c r="E346" s="5" t="s">
        <v>55</v>
      </c>
      <c r="F346" s="12">
        <v>43700.69976851852</v>
      </c>
      <c r="G346" t="s">
        <v>8730</v>
      </c>
      <c r="H346" s="5" t="s">
        <v>741</v>
      </c>
      <c r="I346" s="6">
        <v>100</v>
      </c>
      <c r="J346" s="5" t="s">
        <v>15</v>
      </c>
      <c r="K346" s="6">
        <v>17.5</v>
      </c>
      <c r="L346" s="6">
        <v>1750</v>
      </c>
      <c r="M346" s="5" t="s">
        <v>1560</v>
      </c>
      <c r="N346" s="5" t="s">
        <v>1558</v>
      </c>
      <c r="O346" s="13">
        <v>43700</v>
      </c>
      <c r="P346" t="s">
        <v>8730</v>
      </c>
    </row>
    <row r="347" spans="1:16" x14ac:dyDescent="0.15">
      <c r="A347" s="5" t="s">
        <v>770</v>
      </c>
      <c r="B347" s="5" t="s">
        <v>1563</v>
      </c>
      <c r="C347" s="5" t="s">
        <v>1618</v>
      </c>
      <c r="D347" s="5" t="s">
        <v>1693</v>
      </c>
      <c r="E347" s="5" t="s">
        <v>55</v>
      </c>
      <c r="F347" s="12">
        <v>43703.630381944444</v>
      </c>
      <c r="G347" t="s">
        <v>8730</v>
      </c>
      <c r="H347" s="5" t="s">
        <v>772</v>
      </c>
      <c r="I347" s="6">
        <v>500</v>
      </c>
      <c r="J347" s="5" t="s">
        <v>15</v>
      </c>
      <c r="K347" s="6">
        <v>9</v>
      </c>
      <c r="L347" s="6">
        <v>4500</v>
      </c>
      <c r="M347" s="5" t="s">
        <v>1560</v>
      </c>
      <c r="N347" s="5" t="s">
        <v>1558</v>
      </c>
      <c r="O347" s="13">
        <v>43703</v>
      </c>
      <c r="P347" t="s">
        <v>8730</v>
      </c>
    </row>
    <row r="348" spans="1:16" x14ac:dyDescent="0.15">
      <c r="A348" s="5" t="s">
        <v>1177</v>
      </c>
      <c r="B348" s="5" t="s">
        <v>1562</v>
      </c>
      <c r="C348" s="5" t="s">
        <v>1584</v>
      </c>
      <c r="D348" s="5" t="s">
        <v>1699</v>
      </c>
      <c r="E348" s="5" t="s">
        <v>43</v>
      </c>
      <c r="F348" s="12">
        <v>43572.882349537038</v>
      </c>
      <c r="G348" t="s">
        <v>8726</v>
      </c>
      <c r="H348" s="5" t="s">
        <v>1180</v>
      </c>
      <c r="I348" s="6">
        <v>242.5</v>
      </c>
      <c r="J348" s="5" t="s">
        <v>15</v>
      </c>
      <c r="K348" s="6">
        <v>0.67</v>
      </c>
      <c r="L348" s="6">
        <v>162.47999999999999</v>
      </c>
      <c r="M348" s="5" t="s">
        <v>1557</v>
      </c>
      <c r="N348" s="5" t="s">
        <v>1558</v>
      </c>
      <c r="O348" s="13">
        <v>43573</v>
      </c>
      <c r="P348" t="s">
        <v>8726</v>
      </c>
    </row>
    <row r="349" spans="1:16" x14ac:dyDescent="0.15">
      <c r="A349" s="5" t="s">
        <v>1181</v>
      </c>
      <c r="B349" s="5" t="s">
        <v>1562</v>
      </c>
      <c r="C349" s="5" t="s">
        <v>1584</v>
      </c>
      <c r="D349" s="5" t="s">
        <v>1699</v>
      </c>
      <c r="E349" s="5" t="s">
        <v>43</v>
      </c>
      <c r="F349" s="12">
        <v>43605.87394675926</v>
      </c>
      <c r="G349" t="s">
        <v>8727</v>
      </c>
      <c r="H349" s="5" t="s">
        <v>1182</v>
      </c>
      <c r="I349" s="6">
        <v>824.5</v>
      </c>
      <c r="J349" s="5" t="s">
        <v>15</v>
      </c>
      <c r="K349" s="6">
        <v>0.67</v>
      </c>
      <c r="L349" s="6">
        <v>552.41999999999996</v>
      </c>
      <c r="M349" s="5" t="s">
        <v>1557</v>
      </c>
      <c r="N349" s="5" t="s">
        <v>1558</v>
      </c>
      <c r="O349" s="13">
        <v>43606</v>
      </c>
      <c r="P349" t="s">
        <v>8727</v>
      </c>
    </row>
    <row r="350" spans="1:16" x14ac:dyDescent="0.15">
      <c r="A350" s="5" t="s">
        <v>1187</v>
      </c>
      <c r="B350" s="5" t="s">
        <v>1562</v>
      </c>
      <c r="C350" s="5" t="s">
        <v>1584</v>
      </c>
      <c r="D350" s="5" t="s">
        <v>1706</v>
      </c>
      <c r="E350" s="5" t="s">
        <v>43</v>
      </c>
      <c r="F350" s="12">
        <v>43664.750335648147</v>
      </c>
      <c r="G350" t="s">
        <v>8729</v>
      </c>
      <c r="H350" s="5" t="s">
        <v>1188</v>
      </c>
      <c r="I350" s="6">
        <v>388</v>
      </c>
      <c r="J350" s="5" t="s">
        <v>15</v>
      </c>
      <c r="K350" s="6">
        <v>0.67</v>
      </c>
      <c r="L350" s="6">
        <v>259.95999999999998</v>
      </c>
      <c r="M350" s="5" t="s">
        <v>1557</v>
      </c>
      <c r="N350" s="5" t="s">
        <v>1558</v>
      </c>
      <c r="O350" s="13">
        <v>43664</v>
      </c>
      <c r="P350" t="s">
        <v>8729</v>
      </c>
    </row>
    <row r="351" spans="1:16" x14ac:dyDescent="0.15">
      <c r="A351" s="5" t="s">
        <v>1203</v>
      </c>
      <c r="B351" s="5" t="s">
        <v>1562</v>
      </c>
      <c r="C351" s="5" t="s">
        <v>1566</v>
      </c>
      <c r="D351" s="5" t="s">
        <v>1692</v>
      </c>
      <c r="E351" s="5" t="s">
        <v>43</v>
      </c>
      <c r="F351" s="12">
        <v>43523.786087962966</v>
      </c>
      <c r="G351" t="s">
        <v>8724</v>
      </c>
      <c r="H351" s="5" t="s">
        <v>1206</v>
      </c>
      <c r="I351" s="6">
        <v>3880</v>
      </c>
      <c r="J351" s="5" t="s">
        <v>15</v>
      </c>
      <c r="K351" s="6">
        <v>0.67</v>
      </c>
      <c r="L351" s="6">
        <v>2599.6</v>
      </c>
      <c r="M351" s="5" t="s">
        <v>1557</v>
      </c>
      <c r="N351" s="5" t="s">
        <v>1558</v>
      </c>
      <c r="O351" s="13">
        <v>43528</v>
      </c>
      <c r="P351" t="s">
        <v>8725</v>
      </c>
    </row>
    <row r="352" spans="1:16" x14ac:dyDescent="0.15">
      <c r="A352" s="5" t="s">
        <v>1296</v>
      </c>
      <c r="B352" s="5" t="s">
        <v>1562</v>
      </c>
      <c r="C352" s="5" t="s">
        <v>1566</v>
      </c>
      <c r="D352" s="5" t="s">
        <v>1692</v>
      </c>
      <c r="E352" s="5" t="s">
        <v>43</v>
      </c>
      <c r="F352" s="12">
        <v>43762.744212962964</v>
      </c>
      <c r="G352" t="s">
        <v>8732</v>
      </c>
      <c r="H352" s="5" t="s">
        <v>1298</v>
      </c>
      <c r="I352" s="6">
        <v>1940</v>
      </c>
      <c r="J352" s="5" t="s">
        <v>15</v>
      </c>
      <c r="K352" s="6">
        <v>0.67</v>
      </c>
      <c r="L352" s="6">
        <v>1299.8</v>
      </c>
      <c r="M352" s="5" t="s">
        <v>1557</v>
      </c>
      <c r="N352" s="5" t="s">
        <v>1558</v>
      </c>
      <c r="O352" s="13">
        <v>43766</v>
      </c>
      <c r="P352" t="s">
        <v>8732</v>
      </c>
    </row>
    <row r="353" spans="1:16" x14ac:dyDescent="0.15">
      <c r="A353" s="5" t="s">
        <v>1314</v>
      </c>
      <c r="B353" s="5" t="s">
        <v>1562</v>
      </c>
      <c r="C353" s="5" t="s">
        <v>1566</v>
      </c>
      <c r="D353" s="5" t="s">
        <v>1694</v>
      </c>
      <c r="E353" s="5" t="s">
        <v>43</v>
      </c>
      <c r="F353" s="12">
        <v>43623.789780092593</v>
      </c>
      <c r="G353" t="s">
        <v>8728</v>
      </c>
      <c r="H353" s="5" t="s">
        <v>1316</v>
      </c>
      <c r="I353" s="6">
        <v>4268</v>
      </c>
      <c r="J353" s="5" t="s">
        <v>15</v>
      </c>
      <c r="K353" s="6">
        <v>0.67</v>
      </c>
      <c r="L353" s="6">
        <v>2859.56</v>
      </c>
      <c r="M353" s="5" t="s">
        <v>1557</v>
      </c>
      <c r="N353" s="5" t="s">
        <v>1558</v>
      </c>
      <c r="O353" s="13">
        <v>43633</v>
      </c>
      <c r="P353" t="s">
        <v>8728</v>
      </c>
    </row>
    <row r="354" spans="1:16" x14ac:dyDescent="0.15">
      <c r="A354" s="5" t="s">
        <v>1319</v>
      </c>
      <c r="B354" s="5" t="s">
        <v>1562</v>
      </c>
      <c r="C354" s="5" t="s">
        <v>1566</v>
      </c>
      <c r="D354" s="5" t="s">
        <v>1694</v>
      </c>
      <c r="E354" s="5" t="s">
        <v>43</v>
      </c>
      <c r="F354" s="12">
        <v>43640.956701388888</v>
      </c>
      <c r="G354" t="s">
        <v>8728</v>
      </c>
      <c r="H354" s="5" t="s">
        <v>1321</v>
      </c>
      <c r="I354" s="6">
        <v>2134</v>
      </c>
      <c r="J354" s="5" t="s">
        <v>15</v>
      </c>
      <c r="K354" s="6">
        <v>0.67</v>
      </c>
      <c r="L354" s="6">
        <v>1429.78</v>
      </c>
      <c r="M354" s="5" t="s">
        <v>1557</v>
      </c>
      <c r="N354" s="5" t="s">
        <v>1558</v>
      </c>
      <c r="O354" s="13">
        <v>43641</v>
      </c>
      <c r="P354" t="s">
        <v>8728</v>
      </c>
    </row>
    <row r="355" spans="1:16" x14ac:dyDescent="0.15">
      <c r="A355" s="5" t="s">
        <v>1336</v>
      </c>
      <c r="B355" s="5" t="s">
        <v>1562</v>
      </c>
      <c r="C355" s="5" t="s">
        <v>1566</v>
      </c>
      <c r="D355" s="5" t="s">
        <v>1695</v>
      </c>
      <c r="E355" s="5" t="s">
        <v>43</v>
      </c>
      <c r="F355" s="12">
        <v>43514.885983796295</v>
      </c>
      <c r="G355" t="s">
        <v>8724</v>
      </c>
      <c r="H355" s="5" t="s">
        <v>1337</v>
      </c>
      <c r="I355" s="6">
        <v>9700</v>
      </c>
      <c r="J355" s="5" t="s">
        <v>15</v>
      </c>
      <c r="K355" s="6">
        <v>0.64</v>
      </c>
      <c r="L355" s="6">
        <v>6208</v>
      </c>
      <c r="M355" s="5" t="s">
        <v>1557</v>
      </c>
      <c r="N355" s="5" t="s">
        <v>1558</v>
      </c>
      <c r="O355" s="13">
        <v>43514</v>
      </c>
      <c r="P355" t="s">
        <v>8724</v>
      </c>
    </row>
    <row r="356" spans="1:16" x14ac:dyDescent="0.15">
      <c r="A356" s="5" t="s">
        <v>1341</v>
      </c>
      <c r="B356" s="5" t="s">
        <v>1562</v>
      </c>
      <c r="C356" s="5" t="s">
        <v>1566</v>
      </c>
      <c r="D356" s="5" t="s">
        <v>1695</v>
      </c>
      <c r="E356" s="5" t="s">
        <v>43</v>
      </c>
      <c r="F356" s="12">
        <v>43515.98646990741</v>
      </c>
      <c r="G356" t="s">
        <v>8724</v>
      </c>
      <c r="H356" s="5" t="s">
        <v>1342</v>
      </c>
      <c r="I356" s="6">
        <v>23280</v>
      </c>
      <c r="J356" s="5" t="s">
        <v>15</v>
      </c>
      <c r="K356" s="6">
        <v>0.64</v>
      </c>
      <c r="L356" s="6">
        <v>14899.2</v>
      </c>
      <c r="M356" s="5" t="s">
        <v>1557</v>
      </c>
      <c r="N356" s="5" t="s">
        <v>1558</v>
      </c>
      <c r="O356" s="13">
        <v>43521</v>
      </c>
      <c r="P356" t="s">
        <v>8724</v>
      </c>
    </row>
    <row r="357" spans="1:16" x14ac:dyDescent="0.15">
      <c r="A357" s="5" t="s">
        <v>1349</v>
      </c>
      <c r="B357" s="5" t="s">
        <v>1562</v>
      </c>
      <c r="C357" s="5" t="s">
        <v>1566</v>
      </c>
      <c r="D357" s="5" t="s">
        <v>1695</v>
      </c>
      <c r="E357" s="5" t="s">
        <v>43</v>
      </c>
      <c r="F357" s="12">
        <v>43565.668912037036</v>
      </c>
      <c r="G357" t="s">
        <v>8726</v>
      </c>
      <c r="H357" s="5" t="s">
        <v>1350</v>
      </c>
      <c r="I357" s="6">
        <v>23280</v>
      </c>
      <c r="J357" s="5" t="s">
        <v>15</v>
      </c>
      <c r="K357" s="6">
        <v>0.67</v>
      </c>
      <c r="L357" s="6">
        <v>15597.6</v>
      </c>
      <c r="M357" s="5" t="s">
        <v>1557</v>
      </c>
      <c r="N357" s="5" t="s">
        <v>1558</v>
      </c>
      <c r="O357" s="13">
        <v>43570</v>
      </c>
      <c r="P357" t="s">
        <v>8726</v>
      </c>
    </row>
    <row r="358" spans="1:16" x14ac:dyDescent="0.15">
      <c r="A358" s="5" t="s">
        <v>1351</v>
      </c>
      <c r="B358" s="5" t="s">
        <v>1562</v>
      </c>
      <c r="C358" s="5" t="s">
        <v>1566</v>
      </c>
      <c r="D358" s="5" t="s">
        <v>1695</v>
      </c>
      <c r="E358" s="5" t="s">
        <v>43</v>
      </c>
      <c r="F358" s="12">
        <v>43605.590150462966</v>
      </c>
      <c r="G358" t="s">
        <v>8727</v>
      </c>
      <c r="H358" s="5" t="s">
        <v>1355</v>
      </c>
      <c r="I358" s="6">
        <v>7760</v>
      </c>
      <c r="J358" s="5" t="s">
        <v>15</v>
      </c>
      <c r="K358" s="6">
        <v>0.67</v>
      </c>
      <c r="L358" s="6">
        <v>5199.2</v>
      </c>
      <c r="M358" s="5" t="s">
        <v>1557</v>
      </c>
      <c r="N358" s="5" t="s">
        <v>1558</v>
      </c>
      <c r="O358" s="13">
        <v>43612</v>
      </c>
      <c r="P358" t="s">
        <v>8727</v>
      </c>
    </row>
    <row r="359" spans="1:16" x14ac:dyDescent="0.15">
      <c r="A359" s="5" t="s">
        <v>1357</v>
      </c>
      <c r="B359" s="5" t="s">
        <v>1562</v>
      </c>
      <c r="C359" s="5" t="s">
        <v>1566</v>
      </c>
      <c r="D359" s="5" t="s">
        <v>1695</v>
      </c>
      <c r="E359" s="5" t="s">
        <v>43</v>
      </c>
      <c r="F359" s="12">
        <v>43606.654502314814</v>
      </c>
      <c r="G359" t="s">
        <v>8727</v>
      </c>
      <c r="H359" s="5" t="s">
        <v>1358</v>
      </c>
      <c r="I359" s="6">
        <v>19400</v>
      </c>
      <c r="J359" s="5" t="s">
        <v>15</v>
      </c>
      <c r="K359" s="6">
        <v>0.67</v>
      </c>
      <c r="L359" s="6">
        <v>12998</v>
      </c>
      <c r="M359" s="5" t="s">
        <v>1557</v>
      </c>
      <c r="N359" s="5" t="s">
        <v>1558</v>
      </c>
      <c r="O359" s="13">
        <v>43613</v>
      </c>
      <c r="P359" t="s">
        <v>8727</v>
      </c>
    </row>
    <row r="360" spans="1:16" x14ac:dyDescent="0.15">
      <c r="A360" s="5" t="s">
        <v>1360</v>
      </c>
      <c r="B360" s="5" t="s">
        <v>1562</v>
      </c>
      <c r="C360" s="5" t="s">
        <v>1566</v>
      </c>
      <c r="D360" s="5" t="s">
        <v>1695</v>
      </c>
      <c r="E360" s="5" t="s">
        <v>43</v>
      </c>
      <c r="F360" s="12">
        <v>43627.609155092592</v>
      </c>
      <c r="G360" t="s">
        <v>8728</v>
      </c>
      <c r="H360" s="5" t="s">
        <v>1362</v>
      </c>
      <c r="I360" s="6">
        <v>7760</v>
      </c>
      <c r="J360" s="5" t="s">
        <v>15</v>
      </c>
      <c r="K360" s="6">
        <v>0.67</v>
      </c>
      <c r="L360" s="6">
        <v>5199.2</v>
      </c>
      <c r="M360" s="5" t="s">
        <v>1557</v>
      </c>
      <c r="N360" s="5" t="s">
        <v>1558</v>
      </c>
      <c r="O360" s="13">
        <v>43633</v>
      </c>
      <c r="P360" t="s">
        <v>8728</v>
      </c>
    </row>
    <row r="361" spans="1:16" x14ac:dyDescent="0.15">
      <c r="A361" s="5" t="s">
        <v>1363</v>
      </c>
      <c r="B361" s="5" t="s">
        <v>1562</v>
      </c>
      <c r="C361" s="5" t="s">
        <v>1566</v>
      </c>
      <c r="D361" s="5" t="s">
        <v>1695</v>
      </c>
      <c r="E361" s="5" t="s">
        <v>43</v>
      </c>
      <c r="F361" s="12">
        <v>43627.609803240739</v>
      </c>
      <c r="G361" t="s">
        <v>8728</v>
      </c>
      <c r="H361" s="5" t="s">
        <v>1365</v>
      </c>
      <c r="I361" s="6">
        <v>5820</v>
      </c>
      <c r="J361" s="5" t="s">
        <v>15</v>
      </c>
      <c r="K361" s="6">
        <v>0.67</v>
      </c>
      <c r="L361" s="6">
        <v>3899.4</v>
      </c>
      <c r="M361" s="5" t="s">
        <v>1557</v>
      </c>
      <c r="N361" s="5" t="s">
        <v>1558</v>
      </c>
      <c r="O361" s="13">
        <v>43641</v>
      </c>
      <c r="P361" t="s">
        <v>8728</v>
      </c>
    </row>
    <row r="362" spans="1:16" x14ac:dyDescent="0.15">
      <c r="A362" s="5" t="s">
        <v>1366</v>
      </c>
      <c r="B362" s="5" t="s">
        <v>1562</v>
      </c>
      <c r="C362" s="5" t="s">
        <v>1566</v>
      </c>
      <c r="D362" s="5" t="s">
        <v>1695</v>
      </c>
      <c r="E362" s="5" t="s">
        <v>43</v>
      </c>
      <c r="F362" s="12">
        <v>43635.880370370367</v>
      </c>
      <c r="G362" t="s">
        <v>8728</v>
      </c>
      <c r="H362" s="5" t="s">
        <v>1368</v>
      </c>
      <c r="I362" s="6">
        <v>5820</v>
      </c>
      <c r="J362" s="5" t="s">
        <v>15</v>
      </c>
      <c r="K362" s="6">
        <v>0.67</v>
      </c>
      <c r="L362" s="6">
        <v>3899.4</v>
      </c>
      <c r="M362" s="5" t="s">
        <v>1557</v>
      </c>
      <c r="N362" s="5" t="s">
        <v>1558</v>
      </c>
      <c r="O362" s="13">
        <v>43641</v>
      </c>
      <c r="P362" t="s">
        <v>8728</v>
      </c>
    </row>
    <row r="363" spans="1:16" x14ac:dyDescent="0.15">
      <c r="A363" s="5" t="s">
        <v>1369</v>
      </c>
      <c r="B363" s="5" t="s">
        <v>1562</v>
      </c>
      <c r="C363" s="5" t="s">
        <v>1566</v>
      </c>
      <c r="D363" s="5" t="s">
        <v>1695</v>
      </c>
      <c r="E363" s="5" t="s">
        <v>43</v>
      </c>
      <c r="F363" s="12">
        <v>43654.84646990741</v>
      </c>
      <c r="G363" t="s">
        <v>8729</v>
      </c>
      <c r="H363" s="5" t="s">
        <v>1370</v>
      </c>
      <c r="I363" s="6">
        <v>5820</v>
      </c>
      <c r="J363" s="5" t="s">
        <v>15</v>
      </c>
      <c r="K363" s="6">
        <v>0.67</v>
      </c>
      <c r="L363" s="6">
        <v>3899.4</v>
      </c>
      <c r="M363" s="5" t="s">
        <v>1557</v>
      </c>
      <c r="N363" s="5" t="s">
        <v>1558</v>
      </c>
      <c r="O363" s="13">
        <v>43665</v>
      </c>
      <c r="P363" t="s">
        <v>8729</v>
      </c>
    </row>
    <row r="364" spans="1:16" x14ac:dyDescent="0.15">
      <c r="A364" s="5" t="s">
        <v>1372</v>
      </c>
      <c r="B364" s="5" t="s">
        <v>1562</v>
      </c>
      <c r="C364" s="5" t="s">
        <v>1566</v>
      </c>
      <c r="D364" s="5" t="s">
        <v>1695</v>
      </c>
      <c r="E364" s="5" t="s">
        <v>43</v>
      </c>
      <c r="F364" s="12">
        <v>43656.936388888891</v>
      </c>
      <c r="G364" t="s">
        <v>8729</v>
      </c>
      <c r="H364" s="5" t="s">
        <v>1375</v>
      </c>
      <c r="I364" s="6">
        <v>5820</v>
      </c>
      <c r="J364" s="5" t="s">
        <v>15</v>
      </c>
      <c r="K364" s="6">
        <v>0.67</v>
      </c>
      <c r="L364" s="6">
        <v>3899.4</v>
      </c>
      <c r="M364" s="5" t="s">
        <v>1557</v>
      </c>
      <c r="N364" s="5" t="s">
        <v>1558</v>
      </c>
      <c r="O364" s="13">
        <v>43661</v>
      </c>
      <c r="P364" t="s">
        <v>8729</v>
      </c>
    </row>
    <row r="365" spans="1:16" x14ac:dyDescent="0.15">
      <c r="A365" s="5" t="s">
        <v>1376</v>
      </c>
      <c r="B365" s="5" t="s">
        <v>1562</v>
      </c>
      <c r="C365" s="5" t="s">
        <v>1566</v>
      </c>
      <c r="D365" s="5" t="s">
        <v>1695</v>
      </c>
      <c r="E365" s="5" t="s">
        <v>43</v>
      </c>
      <c r="F365" s="12">
        <v>43661.539027777777</v>
      </c>
      <c r="G365" t="s">
        <v>8729</v>
      </c>
      <c r="H365" s="5" t="s">
        <v>1378</v>
      </c>
      <c r="I365" s="6">
        <v>5820</v>
      </c>
      <c r="J365" s="5" t="s">
        <v>15</v>
      </c>
      <c r="K365" s="6">
        <v>0.67</v>
      </c>
      <c r="L365" s="6">
        <v>3899.4</v>
      </c>
      <c r="M365" s="5" t="s">
        <v>1557</v>
      </c>
      <c r="N365" s="5" t="s">
        <v>1558</v>
      </c>
      <c r="O365" s="13">
        <v>43675</v>
      </c>
      <c r="P365" t="s">
        <v>8729</v>
      </c>
    </row>
    <row r="366" spans="1:16" x14ac:dyDescent="0.15">
      <c r="A366" s="5" t="s">
        <v>1379</v>
      </c>
      <c r="B366" s="5" t="s">
        <v>1562</v>
      </c>
      <c r="C366" s="5" t="s">
        <v>1566</v>
      </c>
      <c r="D366" s="5" t="s">
        <v>1695</v>
      </c>
      <c r="E366" s="5" t="s">
        <v>43</v>
      </c>
      <c r="F366" s="12">
        <v>43685.621782407405</v>
      </c>
      <c r="G366" t="s">
        <v>8730</v>
      </c>
      <c r="H366" s="5" t="s">
        <v>1380</v>
      </c>
      <c r="I366" s="6">
        <v>3880</v>
      </c>
      <c r="J366" s="5" t="s">
        <v>15</v>
      </c>
      <c r="K366" s="6">
        <v>0.67</v>
      </c>
      <c r="L366" s="6">
        <v>2599.6</v>
      </c>
      <c r="M366" s="5" t="s">
        <v>1557</v>
      </c>
      <c r="N366" s="5" t="s">
        <v>1558</v>
      </c>
      <c r="O366" s="13">
        <v>43696</v>
      </c>
      <c r="P366" t="s">
        <v>8730</v>
      </c>
    </row>
    <row r="367" spans="1:16" x14ac:dyDescent="0.15">
      <c r="A367" s="5" t="s">
        <v>1382</v>
      </c>
      <c r="B367" s="5" t="s">
        <v>1562</v>
      </c>
      <c r="C367" s="5" t="s">
        <v>1566</v>
      </c>
      <c r="D367" s="5" t="s">
        <v>1695</v>
      </c>
      <c r="E367" s="5" t="s">
        <v>43</v>
      </c>
      <c r="F367" s="12">
        <v>43685.622129629628</v>
      </c>
      <c r="G367" t="s">
        <v>8730</v>
      </c>
      <c r="H367" s="5" t="s">
        <v>1383</v>
      </c>
      <c r="I367" s="6">
        <v>23280</v>
      </c>
      <c r="J367" s="5" t="s">
        <v>15</v>
      </c>
      <c r="K367" s="6">
        <v>0.67</v>
      </c>
      <c r="L367" s="6">
        <v>15597.6</v>
      </c>
      <c r="M367" s="5" t="s">
        <v>1557</v>
      </c>
      <c r="N367" s="5" t="s">
        <v>1558</v>
      </c>
      <c r="O367" s="13">
        <v>43696</v>
      </c>
      <c r="P367" t="s">
        <v>8730</v>
      </c>
    </row>
    <row r="368" spans="1:16" x14ac:dyDescent="0.15">
      <c r="A368" s="5" t="s">
        <v>1384</v>
      </c>
      <c r="B368" s="5" t="s">
        <v>1562</v>
      </c>
      <c r="C368" s="5" t="s">
        <v>1566</v>
      </c>
      <c r="D368" s="5" t="s">
        <v>1695</v>
      </c>
      <c r="E368" s="5" t="s">
        <v>43</v>
      </c>
      <c r="F368" s="12">
        <v>43724.67769675926</v>
      </c>
      <c r="G368" t="s">
        <v>8731</v>
      </c>
      <c r="H368" s="5" t="s">
        <v>1385</v>
      </c>
      <c r="I368" s="6">
        <v>23280</v>
      </c>
      <c r="J368" s="5" t="s">
        <v>15</v>
      </c>
      <c r="K368" s="6">
        <v>0.67</v>
      </c>
      <c r="L368" s="6">
        <v>15597.6</v>
      </c>
      <c r="M368" s="5" t="s">
        <v>1557</v>
      </c>
      <c r="N368" s="5" t="s">
        <v>1558</v>
      </c>
      <c r="O368" s="13">
        <v>43731</v>
      </c>
      <c r="P368" t="s">
        <v>8731</v>
      </c>
    </row>
    <row r="369" spans="1:16" x14ac:dyDescent="0.15">
      <c r="A369" s="5" t="s">
        <v>1386</v>
      </c>
      <c r="B369" s="5" t="s">
        <v>1562</v>
      </c>
      <c r="C369" s="5" t="s">
        <v>1566</v>
      </c>
      <c r="D369" s="5" t="s">
        <v>1695</v>
      </c>
      <c r="E369" s="5" t="s">
        <v>43</v>
      </c>
      <c r="F369" s="12">
        <v>43725.863888888889</v>
      </c>
      <c r="G369" t="s">
        <v>8731</v>
      </c>
      <c r="H369" s="5" t="s">
        <v>1387</v>
      </c>
      <c r="I369" s="6">
        <v>5820</v>
      </c>
      <c r="J369" s="5" t="s">
        <v>15</v>
      </c>
      <c r="K369" s="6">
        <v>0.67</v>
      </c>
      <c r="L369" s="6">
        <v>3899.4</v>
      </c>
      <c r="M369" s="5" t="s">
        <v>1557</v>
      </c>
      <c r="N369" s="5" t="s">
        <v>1558</v>
      </c>
      <c r="O369" s="13">
        <v>43739</v>
      </c>
      <c r="P369" t="s">
        <v>8732</v>
      </c>
    </row>
    <row r="370" spans="1:16" x14ac:dyDescent="0.15">
      <c r="A370" s="5" t="s">
        <v>1390</v>
      </c>
      <c r="B370" s="5" t="s">
        <v>1562</v>
      </c>
      <c r="C370" s="5" t="s">
        <v>1566</v>
      </c>
      <c r="D370" s="5" t="s">
        <v>1695</v>
      </c>
      <c r="E370" s="5" t="s">
        <v>43</v>
      </c>
      <c r="F370" s="12">
        <v>43748.892210648148</v>
      </c>
      <c r="G370" t="s">
        <v>8732</v>
      </c>
      <c r="H370" s="5" t="s">
        <v>1391</v>
      </c>
      <c r="I370" s="6">
        <v>15520</v>
      </c>
      <c r="J370" s="5" t="s">
        <v>15</v>
      </c>
      <c r="K370" s="6">
        <v>0.67</v>
      </c>
      <c r="L370" s="6">
        <v>10398.4</v>
      </c>
      <c r="M370" s="5" t="s">
        <v>1557</v>
      </c>
      <c r="N370" s="5" t="s">
        <v>1558</v>
      </c>
      <c r="O370" s="13">
        <v>43752</v>
      </c>
      <c r="P370" t="s">
        <v>8732</v>
      </c>
    </row>
    <row r="371" spans="1:16" x14ac:dyDescent="0.15">
      <c r="A371" s="5" t="s">
        <v>1398</v>
      </c>
      <c r="B371" s="5" t="s">
        <v>1562</v>
      </c>
      <c r="C371" s="5" t="s">
        <v>1566</v>
      </c>
      <c r="D371" s="5" t="s">
        <v>1696</v>
      </c>
      <c r="E371" s="5" t="s">
        <v>43</v>
      </c>
      <c r="F371" s="12">
        <v>43668.553055555552</v>
      </c>
      <c r="G371" t="s">
        <v>8729</v>
      </c>
      <c r="H371" s="5" t="s">
        <v>1399</v>
      </c>
      <c r="I371" s="6">
        <v>13580</v>
      </c>
      <c r="J371" s="5" t="s">
        <v>15</v>
      </c>
      <c r="K371" s="6">
        <v>0.67</v>
      </c>
      <c r="L371" s="6">
        <v>9098.6</v>
      </c>
      <c r="M371" s="5" t="s">
        <v>1557</v>
      </c>
      <c r="N371" s="5" t="s">
        <v>1558</v>
      </c>
      <c r="O371" s="13">
        <v>43724</v>
      </c>
      <c r="P371" t="s">
        <v>8731</v>
      </c>
    </row>
    <row r="372" spans="1:16" x14ac:dyDescent="0.15">
      <c r="A372" s="5" t="s">
        <v>1404</v>
      </c>
      <c r="B372" s="5" t="s">
        <v>1562</v>
      </c>
      <c r="C372" s="5" t="s">
        <v>1566</v>
      </c>
      <c r="D372" s="5" t="s">
        <v>1701</v>
      </c>
      <c r="E372" s="5" t="s">
        <v>43</v>
      </c>
      <c r="F372" s="12">
        <v>43571.622407407405</v>
      </c>
      <c r="G372" t="s">
        <v>8726</v>
      </c>
      <c r="H372" s="5" t="s">
        <v>1406</v>
      </c>
      <c r="I372" s="6">
        <v>1940</v>
      </c>
      <c r="J372" s="5" t="s">
        <v>15</v>
      </c>
      <c r="K372" s="6">
        <v>0.67</v>
      </c>
      <c r="L372" s="6">
        <v>1299.8</v>
      </c>
      <c r="M372" s="5" t="s">
        <v>1557</v>
      </c>
      <c r="N372" s="5" t="s">
        <v>1558</v>
      </c>
      <c r="O372" s="13">
        <v>43571</v>
      </c>
      <c r="P372" t="s">
        <v>8726</v>
      </c>
    </row>
    <row r="373" spans="1:16" x14ac:dyDescent="0.15">
      <c r="A373" s="5" t="s">
        <v>1412</v>
      </c>
      <c r="B373" s="5" t="s">
        <v>1562</v>
      </c>
      <c r="C373" s="5" t="s">
        <v>1566</v>
      </c>
      <c r="D373" s="5" t="s">
        <v>1701</v>
      </c>
      <c r="E373" s="5" t="s">
        <v>43</v>
      </c>
      <c r="F373" s="12">
        <v>43595.868564814817</v>
      </c>
      <c r="G373" t="s">
        <v>8727</v>
      </c>
      <c r="H373" s="5" t="s">
        <v>1413</v>
      </c>
      <c r="I373" s="6">
        <v>1940</v>
      </c>
      <c r="J373" s="5" t="s">
        <v>15</v>
      </c>
      <c r="K373" s="6">
        <v>0.67</v>
      </c>
      <c r="L373" s="6">
        <v>1299.8</v>
      </c>
      <c r="M373" s="5" t="s">
        <v>1557</v>
      </c>
      <c r="N373" s="5" t="s">
        <v>1558</v>
      </c>
      <c r="O373" s="13">
        <v>43600</v>
      </c>
      <c r="P373" t="s">
        <v>8727</v>
      </c>
    </row>
    <row r="374" spans="1:16" x14ac:dyDescent="0.15">
      <c r="A374" s="5" t="s">
        <v>1425</v>
      </c>
      <c r="B374" s="5" t="s">
        <v>1562</v>
      </c>
      <c r="C374" s="5" t="s">
        <v>1566</v>
      </c>
      <c r="D374" s="5" t="s">
        <v>1701</v>
      </c>
      <c r="E374" s="5" t="s">
        <v>43</v>
      </c>
      <c r="F374" s="12">
        <v>43614.947893518518</v>
      </c>
      <c r="G374" t="s">
        <v>8727</v>
      </c>
      <c r="H374" s="5" t="s">
        <v>1426</v>
      </c>
      <c r="I374" s="6">
        <v>3880</v>
      </c>
      <c r="J374" s="5" t="s">
        <v>15</v>
      </c>
      <c r="K374" s="6">
        <v>0.67</v>
      </c>
      <c r="L374" s="6">
        <v>2599.6</v>
      </c>
      <c r="M374" s="5" t="s">
        <v>1557</v>
      </c>
      <c r="N374" s="5" t="s">
        <v>1558</v>
      </c>
      <c r="O374" s="13">
        <v>43621</v>
      </c>
      <c r="P374" t="s">
        <v>8728</v>
      </c>
    </row>
    <row r="375" spans="1:16" x14ac:dyDescent="0.15">
      <c r="A375" s="5" t="s">
        <v>1433</v>
      </c>
      <c r="B375" s="5" t="s">
        <v>1562</v>
      </c>
      <c r="C375" s="5" t="s">
        <v>1566</v>
      </c>
      <c r="D375" s="5" t="s">
        <v>1697</v>
      </c>
      <c r="E375" s="5" t="s">
        <v>43</v>
      </c>
      <c r="F375" s="12">
        <v>43627.605370370373</v>
      </c>
      <c r="G375" t="s">
        <v>8728</v>
      </c>
      <c r="H375" s="5" t="s">
        <v>1435</v>
      </c>
      <c r="I375" s="6">
        <v>19400</v>
      </c>
      <c r="J375" s="5" t="s">
        <v>15</v>
      </c>
      <c r="K375" s="6">
        <v>0.67</v>
      </c>
      <c r="L375" s="6">
        <v>12998</v>
      </c>
      <c r="M375" s="5" t="s">
        <v>1557</v>
      </c>
      <c r="N375" s="5" t="s">
        <v>1558</v>
      </c>
      <c r="O375" s="13">
        <v>43633</v>
      </c>
      <c r="P375" t="s">
        <v>8728</v>
      </c>
    </row>
    <row r="376" spans="1:16" x14ac:dyDescent="0.15">
      <c r="A376" s="5" t="s">
        <v>1456</v>
      </c>
      <c r="B376" s="5" t="s">
        <v>1562</v>
      </c>
      <c r="C376" s="5" t="s">
        <v>1566</v>
      </c>
      <c r="D376" s="5" t="s">
        <v>1697</v>
      </c>
      <c r="E376" s="5" t="s">
        <v>43</v>
      </c>
      <c r="F376" s="12">
        <v>43696.803576388891</v>
      </c>
      <c r="G376" t="s">
        <v>8730</v>
      </c>
      <c r="H376" s="5" t="s">
        <v>1457</v>
      </c>
      <c r="I376" s="6">
        <v>3880</v>
      </c>
      <c r="J376" s="5" t="s">
        <v>15</v>
      </c>
      <c r="K376" s="6">
        <v>0.67</v>
      </c>
      <c r="L376" s="6">
        <v>2599.6</v>
      </c>
      <c r="M376" s="5" t="s">
        <v>1557</v>
      </c>
      <c r="N376" s="5" t="s">
        <v>1558</v>
      </c>
      <c r="O376" s="13">
        <v>43710</v>
      </c>
      <c r="P376" t="s">
        <v>8731</v>
      </c>
    </row>
    <row r="377" spans="1:16" x14ac:dyDescent="0.15">
      <c r="A377" s="5" t="s">
        <v>1471</v>
      </c>
      <c r="B377" s="5" t="s">
        <v>1562</v>
      </c>
      <c r="C377" s="5" t="s">
        <v>1566</v>
      </c>
      <c r="D377" s="5" t="s">
        <v>1697</v>
      </c>
      <c r="E377" s="5" t="s">
        <v>43</v>
      </c>
      <c r="F377" s="12">
        <v>43782.735312500001</v>
      </c>
      <c r="G377" t="s">
        <v>8734</v>
      </c>
      <c r="H377" s="5" t="s">
        <v>1472</v>
      </c>
      <c r="I377" s="6">
        <v>7760</v>
      </c>
      <c r="J377" s="5" t="s">
        <v>15</v>
      </c>
      <c r="K377" s="6">
        <v>0.67</v>
      </c>
      <c r="L377" s="6">
        <v>5199.2</v>
      </c>
      <c r="M377" s="5" t="s">
        <v>1557</v>
      </c>
      <c r="N377" s="5" t="s">
        <v>1558</v>
      </c>
      <c r="O377" s="13">
        <v>43787</v>
      </c>
      <c r="P377" t="s">
        <v>8734</v>
      </c>
    </row>
    <row r="378" spans="1:16" x14ac:dyDescent="0.15">
      <c r="A378" s="5" t="s">
        <v>1480</v>
      </c>
      <c r="B378" s="5" t="s">
        <v>1562</v>
      </c>
      <c r="C378" s="5" t="s">
        <v>1567</v>
      </c>
      <c r="D378" s="5" t="s">
        <v>1698</v>
      </c>
      <c r="E378" s="5" t="s">
        <v>43</v>
      </c>
      <c r="F378" s="12">
        <v>43472.95511574074</v>
      </c>
      <c r="G378" t="s">
        <v>8733</v>
      </c>
      <c r="H378" s="5" t="s">
        <v>1482</v>
      </c>
      <c r="I378" s="6">
        <v>9603</v>
      </c>
      <c r="J378" s="5" t="s">
        <v>15</v>
      </c>
      <c r="K378" s="6">
        <v>0.64</v>
      </c>
      <c r="L378" s="6">
        <v>6145.92</v>
      </c>
      <c r="M378" s="5" t="s">
        <v>1557</v>
      </c>
      <c r="N378" s="5" t="s">
        <v>1558</v>
      </c>
      <c r="O378" s="13">
        <v>43489</v>
      </c>
      <c r="P378" t="s">
        <v>8733</v>
      </c>
    </row>
    <row r="379" spans="1:16" x14ac:dyDescent="0.15">
      <c r="A379" s="5" t="s">
        <v>1492</v>
      </c>
      <c r="B379" s="5" t="s">
        <v>1562</v>
      </c>
      <c r="C379" s="5" t="s">
        <v>1567</v>
      </c>
      <c r="D379" s="5" t="s">
        <v>1698</v>
      </c>
      <c r="E379" s="5" t="s">
        <v>43</v>
      </c>
      <c r="F379" s="12">
        <v>43588.923449074071</v>
      </c>
      <c r="G379" t="s">
        <v>8727</v>
      </c>
      <c r="H379" s="5" t="s">
        <v>1493</v>
      </c>
      <c r="I379" s="6">
        <v>9603</v>
      </c>
      <c r="J379" s="5" t="s">
        <v>15</v>
      </c>
      <c r="K379" s="6">
        <v>0.67</v>
      </c>
      <c r="L379" s="6">
        <v>6434.01</v>
      </c>
      <c r="M379" s="5" t="s">
        <v>1557</v>
      </c>
      <c r="N379" s="5" t="s">
        <v>1558</v>
      </c>
      <c r="O379" s="13">
        <v>43602</v>
      </c>
      <c r="P379" t="s">
        <v>8727</v>
      </c>
    </row>
    <row r="380" spans="1:16" x14ac:dyDescent="0.15">
      <c r="A380" s="5" t="s">
        <v>1498</v>
      </c>
      <c r="B380" s="5" t="s">
        <v>1562</v>
      </c>
      <c r="C380" s="5" t="s">
        <v>1567</v>
      </c>
      <c r="D380" s="5" t="s">
        <v>1698</v>
      </c>
      <c r="E380" s="5" t="s">
        <v>43</v>
      </c>
      <c r="F380" s="12">
        <v>43635.680520833332</v>
      </c>
      <c r="G380" t="s">
        <v>8728</v>
      </c>
      <c r="H380" s="5" t="s">
        <v>1499</v>
      </c>
      <c r="I380" s="6">
        <v>5335</v>
      </c>
      <c r="J380" s="5" t="s">
        <v>15</v>
      </c>
      <c r="K380" s="6">
        <v>0.67</v>
      </c>
      <c r="L380" s="6">
        <v>3574.45</v>
      </c>
      <c r="M380" s="5" t="s">
        <v>1557</v>
      </c>
      <c r="N380" s="5" t="s">
        <v>1558</v>
      </c>
      <c r="O380" s="13">
        <v>43654</v>
      </c>
      <c r="P380" t="s">
        <v>8729</v>
      </c>
    </row>
    <row r="381" spans="1:16" x14ac:dyDescent="0.15">
      <c r="A381" s="5" t="s">
        <v>1503</v>
      </c>
      <c r="B381" s="5" t="s">
        <v>1562</v>
      </c>
      <c r="C381" s="5" t="s">
        <v>1567</v>
      </c>
      <c r="D381" s="5" t="s">
        <v>1698</v>
      </c>
      <c r="E381" s="5" t="s">
        <v>43</v>
      </c>
      <c r="F381" s="12">
        <v>43669.713553240741</v>
      </c>
      <c r="G381" t="s">
        <v>8729</v>
      </c>
      <c r="H381" s="5" t="s">
        <v>1505</v>
      </c>
      <c r="I381" s="6">
        <v>5335</v>
      </c>
      <c r="J381" s="5" t="s">
        <v>15</v>
      </c>
      <c r="K381" s="6">
        <v>0.67</v>
      </c>
      <c r="L381" s="6">
        <v>3574.45</v>
      </c>
      <c r="M381" s="5" t="s">
        <v>1557</v>
      </c>
      <c r="N381" s="5" t="s">
        <v>1558</v>
      </c>
      <c r="O381" s="13">
        <v>43685</v>
      </c>
      <c r="P381" t="s">
        <v>8730</v>
      </c>
    </row>
    <row r="382" spans="1:16" x14ac:dyDescent="0.15">
      <c r="A382" s="5" t="s">
        <v>1507</v>
      </c>
      <c r="B382" s="5" t="s">
        <v>1562</v>
      </c>
      <c r="C382" s="5" t="s">
        <v>1567</v>
      </c>
      <c r="D382" s="5" t="s">
        <v>1698</v>
      </c>
      <c r="E382" s="5" t="s">
        <v>43</v>
      </c>
      <c r="F382" s="12">
        <v>43686.857187499998</v>
      </c>
      <c r="G382" t="s">
        <v>8730</v>
      </c>
      <c r="H382" s="5" t="s">
        <v>1510</v>
      </c>
      <c r="I382" s="6">
        <v>533.5</v>
      </c>
      <c r="J382" s="5" t="s">
        <v>15</v>
      </c>
      <c r="K382" s="6">
        <v>0.67</v>
      </c>
      <c r="L382" s="6">
        <v>357.45</v>
      </c>
      <c r="M382" s="5" t="s">
        <v>1557</v>
      </c>
      <c r="N382" s="5" t="s">
        <v>1558</v>
      </c>
      <c r="O382" s="13">
        <v>43717</v>
      </c>
      <c r="P382" t="s">
        <v>8731</v>
      </c>
    </row>
    <row r="383" spans="1:16" x14ac:dyDescent="0.15">
      <c r="A383" s="5" t="s">
        <v>1512</v>
      </c>
      <c r="B383" s="5" t="s">
        <v>1562</v>
      </c>
      <c r="C383" s="5" t="s">
        <v>1567</v>
      </c>
      <c r="D383" s="5" t="s">
        <v>1698</v>
      </c>
      <c r="E383" s="5" t="s">
        <v>43</v>
      </c>
      <c r="F383" s="12">
        <v>43698.834618055553</v>
      </c>
      <c r="G383" t="s">
        <v>8730</v>
      </c>
      <c r="H383" s="5" t="s">
        <v>1515</v>
      </c>
      <c r="I383" s="6">
        <v>6402</v>
      </c>
      <c r="J383" s="5" t="s">
        <v>15</v>
      </c>
      <c r="K383" s="6">
        <v>0.67</v>
      </c>
      <c r="L383" s="6">
        <v>4289.34</v>
      </c>
      <c r="M383" s="5" t="s">
        <v>1557</v>
      </c>
      <c r="N383" s="5" t="s">
        <v>1558</v>
      </c>
      <c r="O383" s="13">
        <v>43717</v>
      </c>
      <c r="P383" t="s">
        <v>8731</v>
      </c>
    </row>
    <row r="384" spans="1:16" x14ac:dyDescent="0.15">
      <c r="A384" s="5" t="s">
        <v>1559</v>
      </c>
      <c r="B384" s="5" t="s">
        <v>1562</v>
      </c>
      <c r="C384" s="5" t="s">
        <v>1567</v>
      </c>
      <c r="D384" s="5" t="s">
        <v>1698</v>
      </c>
      <c r="E384" s="5" t="s">
        <v>43</v>
      </c>
      <c r="F384" s="12">
        <v>43808.875347222223</v>
      </c>
      <c r="G384" t="s">
        <v>8735</v>
      </c>
      <c r="H384" s="5" t="s">
        <v>1711</v>
      </c>
      <c r="I384" s="6">
        <v>9603</v>
      </c>
      <c r="J384" s="5" t="s">
        <v>15</v>
      </c>
      <c r="K384" s="6">
        <v>0.67</v>
      </c>
      <c r="L384" s="6">
        <v>6434.01</v>
      </c>
      <c r="M384" s="5" t="s">
        <v>1557</v>
      </c>
      <c r="N384" s="5" t="s">
        <v>1558</v>
      </c>
      <c r="O384" s="13">
        <v>43847</v>
      </c>
      <c r="P384" t="s">
        <v>8736</v>
      </c>
    </row>
    <row r="385" spans="1:16" x14ac:dyDescent="0.15">
      <c r="A385" s="5" t="s">
        <v>1516</v>
      </c>
      <c r="B385" s="5" t="s">
        <v>1562</v>
      </c>
      <c r="C385" s="5" t="s">
        <v>1567</v>
      </c>
      <c r="D385" s="5" t="s">
        <v>1702</v>
      </c>
      <c r="E385" s="5" t="s">
        <v>43</v>
      </c>
      <c r="F385" s="12">
        <v>43507.97115740741</v>
      </c>
      <c r="G385" t="s">
        <v>8724</v>
      </c>
      <c r="H385" s="5" t="s">
        <v>1520</v>
      </c>
      <c r="I385" s="6">
        <v>1067</v>
      </c>
      <c r="J385" s="5" t="s">
        <v>15</v>
      </c>
      <c r="K385" s="6">
        <v>0.64</v>
      </c>
      <c r="L385" s="6">
        <v>682.88</v>
      </c>
      <c r="M385" s="5" t="s">
        <v>1557</v>
      </c>
      <c r="N385" s="5" t="s">
        <v>1558</v>
      </c>
      <c r="O385" s="13">
        <v>43509</v>
      </c>
      <c r="P385" t="s">
        <v>8724</v>
      </c>
    </row>
    <row r="386" spans="1:16" x14ac:dyDescent="0.15">
      <c r="A386" s="5" t="s">
        <v>1523</v>
      </c>
      <c r="B386" s="5" t="s">
        <v>1562</v>
      </c>
      <c r="C386" s="5" t="s">
        <v>1635</v>
      </c>
      <c r="D386" s="5" t="s">
        <v>1699</v>
      </c>
      <c r="E386" s="5" t="s">
        <v>43</v>
      </c>
      <c r="F386" s="12">
        <v>43760.722951388889</v>
      </c>
      <c r="G386" t="s">
        <v>8732</v>
      </c>
      <c r="H386" s="5" t="s">
        <v>1524</v>
      </c>
      <c r="I386" s="6">
        <v>388</v>
      </c>
      <c r="J386" s="5" t="s">
        <v>15</v>
      </c>
      <c r="K386" s="6">
        <v>0.67</v>
      </c>
      <c r="L386" s="6">
        <v>259.95999999999998</v>
      </c>
      <c r="M386" s="5" t="s">
        <v>1557</v>
      </c>
      <c r="N386" s="5" t="s">
        <v>1558</v>
      </c>
      <c r="O386" s="13">
        <v>43768</v>
      </c>
      <c r="P386" t="s">
        <v>8732</v>
      </c>
    </row>
    <row r="387" spans="1:16" x14ac:dyDescent="0.15">
      <c r="A387" s="5" t="s">
        <v>1525</v>
      </c>
      <c r="B387" s="5" t="s">
        <v>1562</v>
      </c>
      <c r="C387" s="5" t="s">
        <v>1635</v>
      </c>
      <c r="D387" s="5" t="s">
        <v>1706</v>
      </c>
      <c r="E387" s="5" t="s">
        <v>43</v>
      </c>
      <c r="F387" s="12">
        <v>43769.837777777779</v>
      </c>
      <c r="G387" t="s">
        <v>8732</v>
      </c>
      <c r="H387" s="5" t="s">
        <v>1526</v>
      </c>
      <c r="I387" s="6">
        <v>388</v>
      </c>
      <c r="J387" s="5" t="s">
        <v>15</v>
      </c>
      <c r="K387" s="6">
        <v>0.67</v>
      </c>
      <c r="L387" s="6">
        <v>259.95999999999998</v>
      </c>
      <c r="M387" s="5" t="s">
        <v>1557</v>
      </c>
      <c r="N387" s="5" t="s">
        <v>1558</v>
      </c>
      <c r="O387" s="13">
        <v>43769</v>
      </c>
      <c r="P387" t="s">
        <v>8732</v>
      </c>
    </row>
    <row r="388" spans="1:16" x14ac:dyDescent="0.15">
      <c r="A388" s="5" t="s">
        <v>277</v>
      </c>
      <c r="B388" s="5" t="s">
        <v>1563</v>
      </c>
      <c r="C388" s="5" t="s">
        <v>1616</v>
      </c>
      <c r="D388" s="5" t="s">
        <v>1693</v>
      </c>
      <c r="E388" s="5" t="s">
        <v>43</v>
      </c>
      <c r="F388" s="12">
        <v>43489.676863425928</v>
      </c>
      <c r="G388" t="s">
        <v>8733</v>
      </c>
      <c r="H388" s="5" t="s">
        <v>278</v>
      </c>
      <c r="I388" s="6">
        <v>485</v>
      </c>
      <c r="J388" s="5" t="s">
        <v>15</v>
      </c>
      <c r="K388" s="6">
        <v>7.05</v>
      </c>
      <c r="L388" s="6">
        <v>3419.25</v>
      </c>
      <c r="M388" s="5" t="s">
        <v>1560</v>
      </c>
      <c r="N388" s="5" t="s">
        <v>1558</v>
      </c>
      <c r="O388" s="13">
        <v>43489</v>
      </c>
      <c r="P388" t="s">
        <v>8733</v>
      </c>
    </row>
    <row r="389" spans="1:16" x14ac:dyDescent="0.15">
      <c r="A389" s="5" t="s">
        <v>280</v>
      </c>
      <c r="B389" s="5" t="s">
        <v>1563</v>
      </c>
      <c r="C389" s="5" t="s">
        <v>1616</v>
      </c>
      <c r="D389" s="5" t="s">
        <v>1693</v>
      </c>
      <c r="E389" s="5" t="s">
        <v>43</v>
      </c>
      <c r="F389" s="12">
        <v>43490.630532407406</v>
      </c>
      <c r="G389" t="s">
        <v>8733</v>
      </c>
      <c r="H389" s="5" t="s">
        <v>281</v>
      </c>
      <c r="I389" s="6">
        <v>-485</v>
      </c>
      <c r="J389" s="5" t="s">
        <v>15</v>
      </c>
      <c r="K389" s="6">
        <v>7.05</v>
      </c>
      <c r="L389" s="6">
        <v>-3419.25</v>
      </c>
      <c r="M389" s="5" t="s">
        <v>1560</v>
      </c>
      <c r="N389" s="5" t="s">
        <v>1558</v>
      </c>
      <c r="O389" s="13">
        <v>43490</v>
      </c>
      <c r="P389" t="s">
        <v>8733</v>
      </c>
    </row>
    <row r="390" spans="1:16" x14ac:dyDescent="0.15">
      <c r="A390" s="5" t="s">
        <v>283</v>
      </c>
      <c r="B390" s="5" t="s">
        <v>1563</v>
      </c>
      <c r="C390" s="5" t="s">
        <v>1616</v>
      </c>
      <c r="D390" s="5" t="s">
        <v>1693</v>
      </c>
      <c r="E390" s="5" t="s">
        <v>43</v>
      </c>
      <c r="F390" s="12">
        <v>43490.632581018515</v>
      </c>
      <c r="G390" t="s">
        <v>8733</v>
      </c>
      <c r="H390" s="5" t="s">
        <v>284</v>
      </c>
      <c r="I390" s="6">
        <v>485</v>
      </c>
      <c r="J390" s="5" t="s">
        <v>15</v>
      </c>
      <c r="K390" s="6">
        <v>8.0500000000000007</v>
      </c>
      <c r="L390" s="6">
        <v>3904.25</v>
      </c>
      <c r="M390" s="5" t="s">
        <v>1560</v>
      </c>
      <c r="N390" s="5" t="s">
        <v>1558</v>
      </c>
      <c r="O390" s="13">
        <v>43490</v>
      </c>
      <c r="P390" t="s">
        <v>8733</v>
      </c>
    </row>
    <row r="391" spans="1:16" x14ac:dyDescent="0.15">
      <c r="A391" s="5" t="s">
        <v>305</v>
      </c>
      <c r="B391" s="5" t="s">
        <v>1563</v>
      </c>
      <c r="C391" s="5" t="s">
        <v>1571</v>
      </c>
      <c r="D391" s="5" t="s">
        <v>1693</v>
      </c>
      <c r="E391" s="5" t="s">
        <v>43</v>
      </c>
      <c r="F391" s="12">
        <v>43537.643553240741</v>
      </c>
      <c r="G391" t="s">
        <v>8725</v>
      </c>
      <c r="H391" s="5" t="s">
        <v>306</v>
      </c>
      <c r="I391" s="6">
        <v>485</v>
      </c>
      <c r="J391" s="5" t="s">
        <v>15</v>
      </c>
      <c r="K391" s="6">
        <v>7.5</v>
      </c>
      <c r="L391" s="6">
        <v>3637.5</v>
      </c>
      <c r="M391" s="5" t="s">
        <v>1560</v>
      </c>
      <c r="N391" s="5" t="s">
        <v>1558</v>
      </c>
      <c r="O391" s="13">
        <v>43536</v>
      </c>
      <c r="P391" t="s">
        <v>8725</v>
      </c>
    </row>
    <row r="392" spans="1:16" x14ac:dyDescent="0.15">
      <c r="A392" s="5" t="s">
        <v>307</v>
      </c>
      <c r="B392" s="5" t="s">
        <v>1563</v>
      </c>
      <c r="C392" s="5" t="s">
        <v>1571</v>
      </c>
      <c r="D392" s="5" t="s">
        <v>1693</v>
      </c>
      <c r="E392" s="5" t="s">
        <v>43</v>
      </c>
      <c r="F392" s="12">
        <v>43537.645300925928</v>
      </c>
      <c r="G392" t="s">
        <v>8725</v>
      </c>
      <c r="H392" s="5" t="s">
        <v>308</v>
      </c>
      <c r="I392" s="6">
        <v>145.5</v>
      </c>
      <c r="J392" s="5" t="s">
        <v>15</v>
      </c>
      <c r="K392" s="6">
        <v>7.5</v>
      </c>
      <c r="L392" s="6">
        <v>1091.25</v>
      </c>
      <c r="M392" s="5" t="s">
        <v>1560</v>
      </c>
      <c r="N392" s="5" t="s">
        <v>1558</v>
      </c>
      <c r="O392" s="13">
        <v>43536</v>
      </c>
      <c r="P392" t="s">
        <v>8725</v>
      </c>
    </row>
    <row r="393" spans="1:16" x14ac:dyDescent="0.15">
      <c r="A393" s="5" t="s">
        <v>310</v>
      </c>
      <c r="B393" s="5" t="s">
        <v>1563</v>
      </c>
      <c r="C393" s="5" t="s">
        <v>1575</v>
      </c>
      <c r="D393" s="5" t="s">
        <v>1693</v>
      </c>
      <c r="E393" s="5" t="s">
        <v>43</v>
      </c>
      <c r="F393" s="12">
        <v>43537.895069444443</v>
      </c>
      <c r="G393" t="s">
        <v>8725</v>
      </c>
      <c r="H393" s="5" t="s">
        <v>311</v>
      </c>
      <c r="I393" s="6">
        <v>4025.5</v>
      </c>
      <c r="J393" s="5" t="s">
        <v>15</v>
      </c>
      <c r="K393" s="6">
        <v>7.5</v>
      </c>
      <c r="L393" s="6">
        <v>30191.25</v>
      </c>
      <c r="M393" s="5" t="s">
        <v>1560</v>
      </c>
      <c r="N393" s="5" t="s">
        <v>1558</v>
      </c>
      <c r="O393" s="13">
        <v>43537</v>
      </c>
      <c r="P393" t="s">
        <v>8725</v>
      </c>
    </row>
    <row r="394" spans="1:16" x14ac:dyDescent="0.15">
      <c r="A394" s="5" t="s">
        <v>318</v>
      </c>
      <c r="B394" s="5" t="s">
        <v>1563</v>
      </c>
      <c r="C394" s="5" t="s">
        <v>1636</v>
      </c>
      <c r="D394" s="5" t="s">
        <v>1693</v>
      </c>
      <c r="E394" s="5" t="s">
        <v>43</v>
      </c>
      <c r="F394" s="12">
        <v>43545.694039351853</v>
      </c>
      <c r="G394" t="s">
        <v>8725</v>
      </c>
      <c r="H394" s="5" t="s">
        <v>319</v>
      </c>
      <c r="I394" s="6">
        <v>48.5</v>
      </c>
      <c r="J394" s="5" t="s">
        <v>15</v>
      </c>
      <c r="K394" s="6">
        <v>9.5599999999999987</v>
      </c>
      <c r="L394" s="6">
        <v>463.66</v>
      </c>
      <c r="M394" s="5" t="s">
        <v>1560</v>
      </c>
      <c r="N394" s="5" t="s">
        <v>1558</v>
      </c>
      <c r="O394" s="13">
        <v>43544</v>
      </c>
      <c r="P394" t="s">
        <v>8725</v>
      </c>
    </row>
    <row r="395" spans="1:16" x14ac:dyDescent="0.15">
      <c r="A395" s="5" t="s">
        <v>324</v>
      </c>
      <c r="B395" s="5" t="s">
        <v>1563</v>
      </c>
      <c r="C395" s="5" t="s">
        <v>1637</v>
      </c>
      <c r="D395" s="5" t="s">
        <v>1693</v>
      </c>
      <c r="E395" s="5" t="s">
        <v>43</v>
      </c>
      <c r="F395" s="12">
        <v>43550.677199074074</v>
      </c>
      <c r="G395" t="s">
        <v>8725</v>
      </c>
      <c r="H395" s="5" t="s">
        <v>325</v>
      </c>
      <c r="I395" s="6">
        <v>97</v>
      </c>
      <c r="J395" s="5" t="s">
        <v>15</v>
      </c>
      <c r="K395" s="6">
        <v>8.5</v>
      </c>
      <c r="L395" s="6">
        <v>824.5</v>
      </c>
      <c r="M395" s="5" t="s">
        <v>1560</v>
      </c>
      <c r="N395" s="5" t="s">
        <v>1558</v>
      </c>
      <c r="O395" s="13">
        <v>43549</v>
      </c>
      <c r="P395" t="s">
        <v>8725</v>
      </c>
    </row>
    <row r="396" spans="1:16" x14ac:dyDescent="0.15">
      <c r="A396" s="5" t="s">
        <v>341</v>
      </c>
      <c r="B396" s="5" t="s">
        <v>1563</v>
      </c>
      <c r="C396" s="5" t="s">
        <v>1638</v>
      </c>
      <c r="D396" s="5" t="s">
        <v>1693</v>
      </c>
      <c r="E396" s="5" t="s">
        <v>43</v>
      </c>
      <c r="F396" s="12">
        <v>43558.586504629631</v>
      </c>
      <c r="G396" t="s">
        <v>8726</v>
      </c>
      <c r="H396" s="5" t="s">
        <v>342</v>
      </c>
      <c r="I396" s="6">
        <v>679</v>
      </c>
      <c r="J396" s="5" t="s">
        <v>15</v>
      </c>
      <c r="K396" s="6">
        <v>8.07</v>
      </c>
      <c r="L396" s="6">
        <v>5479.53</v>
      </c>
      <c r="M396" s="5" t="s">
        <v>1560</v>
      </c>
      <c r="N396" s="5" t="s">
        <v>1558</v>
      </c>
      <c r="O396" s="13">
        <v>43558</v>
      </c>
      <c r="P396" t="s">
        <v>8726</v>
      </c>
    </row>
    <row r="397" spans="1:16" x14ac:dyDescent="0.15">
      <c r="A397" s="5" t="s">
        <v>348</v>
      </c>
      <c r="B397" s="5" t="s">
        <v>1563</v>
      </c>
      <c r="C397" s="5" t="s">
        <v>1597</v>
      </c>
      <c r="D397" s="5" t="s">
        <v>1693</v>
      </c>
      <c r="E397" s="5" t="s">
        <v>43</v>
      </c>
      <c r="F397" s="12">
        <v>43564.615590277775</v>
      </c>
      <c r="G397" t="s">
        <v>8726</v>
      </c>
      <c r="H397" s="5" t="s">
        <v>350</v>
      </c>
      <c r="I397" s="6">
        <v>485</v>
      </c>
      <c r="J397" s="5" t="s">
        <v>15</v>
      </c>
      <c r="K397" s="6">
        <v>7.9</v>
      </c>
      <c r="L397" s="6">
        <v>3831.5</v>
      </c>
      <c r="M397" s="5" t="s">
        <v>1560</v>
      </c>
      <c r="N397" s="5" t="s">
        <v>1558</v>
      </c>
      <c r="O397" s="13">
        <v>43563</v>
      </c>
      <c r="P397" t="s">
        <v>8726</v>
      </c>
    </row>
    <row r="398" spans="1:16" x14ac:dyDescent="0.15">
      <c r="A398" s="5" t="s">
        <v>361</v>
      </c>
      <c r="B398" s="5" t="s">
        <v>1563</v>
      </c>
      <c r="C398" s="5" t="s">
        <v>1639</v>
      </c>
      <c r="D398" s="5" t="s">
        <v>1693</v>
      </c>
      <c r="E398" s="5" t="s">
        <v>43</v>
      </c>
      <c r="F398" s="12">
        <v>43570.737199074072</v>
      </c>
      <c r="G398" t="s">
        <v>8726</v>
      </c>
      <c r="H398" s="5" t="s">
        <v>362</v>
      </c>
      <c r="I398" s="6">
        <v>485</v>
      </c>
      <c r="J398" s="5" t="s">
        <v>15</v>
      </c>
      <c r="K398" s="6">
        <v>7</v>
      </c>
      <c r="L398" s="6">
        <v>3395</v>
      </c>
      <c r="M398" s="5" t="s">
        <v>1560</v>
      </c>
      <c r="N398" s="5" t="s">
        <v>1558</v>
      </c>
      <c r="O398" s="13">
        <v>43570</v>
      </c>
      <c r="P398" t="s">
        <v>8726</v>
      </c>
    </row>
    <row r="399" spans="1:16" x14ac:dyDescent="0.15">
      <c r="A399" s="5" t="s">
        <v>367</v>
      </c>
      <c r="B399" s="5" t="s">
        <v>1563</v>
      </c>
      <c r="C399" s="5" t="s">
        <v>1582</v>
      </c>
      <c r="D399" s="5" t="s">
        <v>1693</v>
      </c>
      <c r="E399" s="5" t="s">
        <v>43</v>
      </c>
      <c r="F399" s="12">
        <v>43571.594722222224</v>
      </c>
      <c r="G399" t="s">
        <v>8726</v>
      </c>
      <c r="H399" s="5" t="s">
        <v>368</v>
      </c>
      <c r="I399" s="6">
        <v>533.5</v>
      </c>
      <c r="J399" s="5" t="s">
        <v>15</v>
      </c>
      <c r="K399" s="6">
        <v>7.5</v>
      </c>
      <c r="L399" s="6">
        <v>4001.25</v>
      </c>
      <c r="M399" s="5" t="s">
        <v>1560</v>
      </c>
      <c r="N399" s="5" t="s">
        <v>1558</v>
      </c>
      <c r="O399" s="13">
        <v>43571</v>
      </c>
      <c r="P399" t="s">
        <v>8726</v>
      </c>
    </row>
    <row r="400" spans="1:16" x14ac:dyDescent="0.15">
      <c r="A400" s="5" t="s">
        <v>375</v>
      </c>
      <c r="B400" s="5" t="s">
        <v>1563</v>
      </c>
      <c r="C400" s="5" t="s">
        <v>1571</v>
      </c>
      <c r="D400" s="5" t="s">
        <v>1693</v>
      </c>
      <c r="E400" s="5" t="s">
        <v>43</v>
      </c>
      <c r="F400" s="12">
        <v>43571.863993055558</v>
      </c>
      <c r="G400" t="s">
        <v>8726</v>
      </c>
      <c r="H400" s="5" t="s">
        <v>376</v>
      </c>
      <c r="I400" s="6">
        <v>2667.5</v>
      </c>
      <c r="J400" s="5" t="s">
        <v>15</v>
      </c>
      <c r="K400" s="6">
        <v>7</v>
      </c>
      <c r="L400" s="6">
        <v>18672.5</v>
      </c>
      <c r="M400" s="5" t="s">
        <v>1560</v>
      </c>
      <c r="N400" s="5" t="s">
        <v>1558</v>
      </c>
      <c r="O400" s="13">
        <v>43571</v>
      </c>
      <c r="P400" t="s">
        <v>8726</v>
      </c>
    </row>
    <row r="401" spans="1:16" x14ac:dyDescent="0.15">
      <c r="A401" s="5" t="s">
        <v>391</v>
      </c>
      <c r="B401" s="5" t="s">
        <v>1563</v>
      </c>
      <c r="C401" s="5" t="s">
        <v>1589</v>
      </c>
      <c r="D401" s="5" t="s">
        <v>1693</v>
      </c>
      <c r="E401" s="5" t="s">
        <v>43</v>
      </c>
      <c r="F401" s="12">
        <v>43591.731793981482</v>
      </c>
      <c r="G401" t="s">
        <v>8727</v>
      </c>
      <c r="H401" s="5" t="s">
        <v>392</v>
      </c>
      <c r="I401" s="6">
        <v>97</v>
      </c>
      <c r="J401" s="5" t="s">
        <v>15</v>
      </c>
      <c r="K401" s="6">
        <v>7.5</v>
      </c>
      <c r="L401" s="6">
        <v>727.5</v>
      </c>
      <c r="M401" s="5" t="s">
        <v>1560</v>
      </c>
      <c r="N401" s="5" t="s">
        <v>1558</v>
      </c>
      <c r="O401" s="13">
        <v>43591</v>
      </c>
      <c r="P401" t="s">
        <v>8727</v>
      </c>
    </row>
    <row r="402" spans="1:16" x14ac:dyDescent="0.15">
      <c r="A402" s="5" t="s">
        <v>397</v>
      </c>
      <c r="B402" s="5" t="s">
        <v>1563</v>
      </c>
      <c r="C402" s="5" t="s">
        <v>1640</v>
      </c>
      <c r="D402" s="5" t="s">
        <v>1693</v>
      </c>
      <c r="E402" s="5" t="s">
        <v>43</v>
      </c>
      <c r="F402" s="12">
        <v>43592.69767361111</v>
      </c>
      <c r="G402" t="s">
        <v>8727</v>
      </c>
      <c r="H402" s="5" t="s">
        <v>398</v>
      </c>
      <c r="I402" s="6">
        <v>145.5</v>
      </c>
      <c r="J402" s="5" t="s">
        <v>15</v>
      </c>
      <c r="K402" s="6">
        <v>10.18</v>
      </c>
      <c r="L402" s="6">
        <v>1481.19</v>
      </c>
      <c r="M402" s="5" t="s">
        <v>1560</v>
      </c>
      <c r="N402" s="5" t="s">
        <v>1558</v>
      </c>
      <c r="O402" s="13">
        <v>43591</v>
      </c>
      <c r="P402" t="s">
        <v>8727</v>
      </c>
    </row>
    <row r="403" spans="1:16" x14ac:dyDescent="0.15">
      <c r="A403" s="5" t="s">
        <v>428</v>
      </c>
      <c r="B403" s="5" t="s">
        <v>1563</v>
      </c>
      <c r="C403" s="5" t="s">
        <v>1589</v>
      </c>
      <c r="D403" s="5" t="s">
        <v>1693</v>
      </c>
      <c r="E403" s="5" t="s">
        <v>43</v>
      </c>
      <c r="F403" s="12">
        <v>43598.743263888886</v>
      </c>
      <c r="G403" t="s">
        <v>8727</v>
      </c>
      <c r="H403" s="5" t="s">
        <v>429</v>
      </c>
      <c r="I403" s="6">
        <v>1552</v>
      </c>
      <c r="J403" s="5" t="s">
        <v>15</v>
      </c>
      <c r="K403" s="6">
        <v>7.5</v>
      </c>
      <c r="L403" s="6">
        <v>11640</v>
      </c>
      <c r="M403" s="5" t="s">
        <v>1560</v>
      </c>
      <c r="N403" s="5" t="s">
        <v>1558</v>
      </c>
      <c r="O403" s="13">
        <v>43598</v>
      </c>
      <c r="P403" t="s">
        <v>8727</v>
      </c>
    </row>
    <row r="404" spans="1:16" x14ac:dyDescent="0.15">
      <c r="A404" s="5" t="s">
        <v>444</v>
      </c>
      <c r="B404" s="5" t="s">
        <v>1563</v>
      </c>
      <c r="C404" s="5" t="s">
        <v>1641</v>
      </c>
      <c r="D404" s="5" t="s">
        <v>1693</v>
      </c>
      <c r="E404" s="5" t="s">
        <v>43</v>
      </c>
      <c r="F404" s="12">
        <v>43608.624594907407</v>
      </c>
      <c r="G404" t="s">
        <v>8727</v>
      </c>
      <c r="H404" s="5" t="s">
        <v>445</v>
      </c>
      <c r="I404" s="6">
        <v>582</v>
      </c>
      <c r="J404" s="5" t="s">
        <v>15</v>
      </c>
      <c r="K404" s="6">
        <v>8.17</v>
      </c>
      <c r="L404" s="6">
        <v>4754.9399999999996</v>
      </c>
      <c r="M404" s="5" t="s">
        <v>1560</v>
      </c>
      <c r="N404" s="5" t="s">
        <v>1558</v>
      </c>
      <c r="O404" s="13">
        <v>43608</v>
      </c>
      <c r="P404" t="s">
        <v>8727</v>
      </c>
    </row>
    <row r="405" spans="1:16" x14ac:dyDescent="0.15">
      <c r="A405" s="5" t="s">
        <v>448</v>
      </c>
      <c r="B405" s="5" t="s">
        <v>1563</v>
      </c>
      <c r="C405" s="5" t="s">
        <v>1638</v>
      </c>
      <c r="D405" s="5" t="s">
        <v>1693</v>
      </c>
      <c r="E405" s="5" t="s">
        <v>43</v>
      </c>
      <c r="F405" s="12">
        <v>43608.630902777775</v>
      </c>
      <c r="G405" t="s">
        <v>8727</v>
      </c>
      <c r="H405" s="5" t="s">
        <v>449</v>
      </c>
      <c r="I405" s="6">
        <v>2716</v>
      </c>
      <c r="J405" s="5" t="s">
        <v>15</v>
      </c>
      <c r="K405" s="6">
        <v>7.5</v>
      </c>
      <c r="L405" s="6">
        <v>20370</v>
      </c>
      <c r="M405" s="5" t="s">
        <v>1560</v>
      </c>
      <c r="N405" s="5" t="s">
        <v>1558</v>
      </c>
      <c r="O405" s="13">
        <v>43608</v>
      </c>
      <c r="P405" t="s">
        <v>8727</v>
      </c>
    </row>
    <row r="406" spans="1:16" x14ac:dyDescent="0.15">
      <c r="A406" s="5" t="s">
        <v>464</v>
      </c>
      <c r="B406" s="5" t="s">
        <v>1563</v>
      </c>
      <c r="C406" s="5" t="s">
        <v>1620</v>
      </c>
      <c r="D406" s="5" t="s">
        <v>1693</v>
      </c>
      <c r="E406" s="5" t="s">
        <v>43</v>
      </c>
      <c r="F406" s="12">
        <v>43620.663634259261</v>
      </c>
      <c r="G406" t="s">
        <v>8728</v>
      </c>
      <c r="H406" s="5" t="s">
        <v>465</v>
      </c>
      <c r="I406" s="6">
        <v>921.5</v>
      </c>
      <c r="J406" s="5" t="s">
        <v>15</v>
      </c>
      <c r="K406" s="6">
        <v>6.5</v>
      </c>
      <c r="L406" s="6">
        <v>5989.75</v>
      </c>
      <c r="M406" s="5" t="s">
        <v>1560</v>
      </c>
      <c r="N406" s="5" t="s">
        <v>1558</v>
      </c>
      <c r="O406" s="13">
        <v>43619</v>
      </c>
      <c r="P406" t="s">
        <v>8728</v>
      </c>
    </row>
    <row r="407" spans="1:16" x14ac:dyDescent="0.15">
      <c r="A407" s="5" t="s">
        <v>475</v>
      </c>
      <c r="B407" s="5" t="s">
        <v>1563</v>
      </c>
      <c r="C407" s="5" t="s">
        <v>1616</v>
      </c>
      <c r="D407" s="5" t="s">
        <v>1693</v>
      </c>
      <c r="E407" s="5" t="s">
        <v>43</v>
      </c>
      <c r="F407" s="12">
        <v>43621.630208333336</v>
      </c>
      <c r="G407" t="s">
        <v>8728</v>
      </c>
      <c r="H407" s="5" t="s">
        <v>476</v>
      </c>
      <c r="I407" s="6">
        <v>2522</v>
      </c>
      <c r="J407" s="5" t="s">
        <v>15</v>
      </c>
      <c r="K407" s="6">
        <v>7.5</v>
      </c>
      <c r="L407" s="6">
        <v>18915</v>
      </c>
      <c r="M407" s="5" t="s">
        <v>1560</v>
      </c>
      <c r="N407" s="5" t="s">
        <v>1558</v>
      </c>
      <c r="O407" s="13">
        <v>43621</v>
      </c>
      <c r="P407" t="s">
        <v>8728</v>
      </c>
    </row>
    <row r="408" spans="1:16" x14ac:dyDescent="0.15">
      <c r="A408" s="5" t="s">
        <v>488</v>
      </c>
      <c r="B408" s="5" t="s">
        <v>1563</v>
      </c>
      <c r="C408" s="5" t="s">
        <v>1620</v>
      </c>
      <c r="D408" s="5" t="s">
        <v>1693</v>
      </c>
      <c r="E408" s="5" t="s">
        <v>43</v>
      </c>
      <c r="F408" s="12">
        <v>43626.628425925926</v>
      </c>
      <c r="G408" t="s">
        <v>8728</v>
      </c>
      <c r="H408" s="5" t="s">
        <v>489</v>
      </c>
      <c r="I408" s="6">
        <v>776</v>
      </c>
      <c r="J408" s="5" t="s">
        <v>15</v>
      </c>
      <c r="K408" s="6">
        <v>6.5</v>
      </c>
      <c r="L408" s="6">
        <v>5044</v>
      </c>
      <c r="M408" s="5" t="s">
        <v>1560</v>
      </c>
      <c r="N408" s="5" t="s">
        <v>1558</v>
      </c>
      <c r="O408" s="13">
        <v>43626</v>
      </c>
      <c r="P408" t="s">
        <v>8728</v>
      </c>
    </row>
    <row r="409" spans="1:16" x14ac:dyDescent="0.15">
      <c r="A409" s="5" t="s">
        <v>496</v>
      </c>
      <c r="B409" s="5" t="s">
        <v>1563</v>
      </c>
      <c r="C409" s="5" t="s">
        <v>1616</v>
      </c>
      <c r="D409" s="5" t="s">
        <v>1693</v>
      </c>
      <c r="E409" s="5" t="s">
        <v>43</v>
      </c>
      <c r="F409" s="12">
        <v>43627.713807870372</v>
      </c>
      <c r="G409" t="s">
        <v>8728</v>
      </c>
      <c r="H409" s="5" t="s">
        <v>497</v>
      </c>
      <c r="I409" s="6">
        <v>388</v>
      </c>
      <c r="J409" s="5" t="s">
        <v>15</v>
      </c>
      <c r="K409" s="6">
        <v>8.51</v>
      </c>
      <c r="L409" s="6">
        <v>3301.88</v>
      </c>
      <c r="M409" s="5" t="s">
        <v>1560</v>
      </c>
      <c r="N409" s="5" t="s">
        <v>1558</v>
      </c>
      <c r="O409" s="13">
        <v>43627</v>
      </c>
      <c r="P409" t="s">
        <v>8728</v>
      </c>
    </row>
    <row r="410" spans="1:16" x14ac:dyDescent="0.15">
      <c r="A410" s="5" t="s">
        <v>69</v>
      </c>
      <c r="B410" s="5" t="s">
        <v>1563</v>
      </c>
      <c r="C410" s="5" t="s">
        <v>1588</v>
      </c>
      <c r="D410" s="5" t="s">
        <v>1693</v>
      </c>
      <c r="E410" s="5" t="s">
        <v>43</v>
      </c>
      <c r="F410" s="12">
        <v>43629.857581018521</v>
      </c>
      <c r="G410" t="s">
        <v>8728</v>
      </c>
      <c r="H410" s="5" t="s">
        <v>504</v>
      </c>
      <c r="I410" s="6">
        <v>2522</v>
      </c>
      <c r="J410" s="5" t="s">
        <v>15</v>
      </c>
      <c r="K410" s="6">
        <v>7.5</v>
      </c>
      <c r="L410" s="6">
        <v>18915</v>
      </c>
      <c r="M410" s="5" t="s">
        <v>1560</v>
      </c>
      <c r="N410" s="5" t="s">
        <v>1558</v>
      </c>
      <c r="O410" s="13">
        <v>43629</v>
      </c>
      <c r="P410" t="s">
        <v>8728</v>
      </c>
    </row>
    <row r="411" spans="1:16" x14ac:dyDescent="0.15">
      <c r="A411" s="5" t="s">
        <v>70</v>
      </c>
      <c r="B411" s="5" t="s">
        <v>1563</v>
      </c>
      <c r="C411" s="5" t="s">
        <v>1574</v>
      </c>
      <c r="D411" s="5" t="s">
        <v>1693</v>
      </c>
      <c r="E411" s="5" t="s">
        <v>43</v>
      </c>
      <c r="F411" s="12">
        <v>43640.609131944446</v>
      </c>
      <c r="G411" t="s">
        <v>8728</v>
      </c>
      <c r="H411" s="5" t="s">
        <v>520</v>
      </c>
      <c r="I411" s="6">
        <v>7808.5</v>
      </c>
      <c r="J411" s="5" t="s">
        <v>15</v>
      </c>
      <c r="K411" s="6">
        <v>7.5</v>
      </c>
      <c r="L411" s="6">
        <v>58563.75</v>
      </c>
      <c r="M411" s="5" t="s">
        <v>1560</v>
      </c>
      <c r="N411" s="5" t="s">
        <v>1558</v>
      </c>
      <c r="O411" s="13">
        <v>43640</v>
      </c>
      <c r="P411" t="s">
        <v>8728</v>
      </c>
    </row>
    <row r="412" spans="1:16" x14ac:dyDescent="0.15">
      <c r="A412" s="5" t="s">
        <v>524</v>
      </c>
      <c r="B412" s="5" t="s">
        <v>1562</v>
      </c>
      <c r="C412" s="5" t="s">
        <v>1566</v>
      </c>
      <c r="D412" s="5" t="s">
        <v>1698</v>
      </c>
      <c r="E412" s="5" t="s">
        <v>43</v>
      </c>
      <c r="F412" s="12">
        <v>43640.845694444448</v>
      </c>
      <c r="G412" t="s">
        <v>8728</v>
      </c>
      <c r="H412" s="5" t="s">
        <v>1531</v>
      </c>
      <c r="I412" s="6">
        <v>-4268</v>
      </c>
      <c r="J412" s="5" t="s">
        <v>15</v>
      </c>
      <c r="K412" s="6">
        <v>0.67</v>
      </c>
      <c r="L412" s="6">
        <v>-2859.56</v>
      </c>
      <c r="M412" s="5" t="s">
        <v>1557</v>
      </c>
      <c r="N412" s="5" t="s">
        <v>1558</v>
      </c>
      <c r="O412" s="13">
        <v>43640</v>
      </c>
      <c r="P412" t="s">
        <v>8728</v>
      </c>
    </row>
    <row r="413" spans="1:16" x14ac:dyDescent="0.15">
      <c r="A413" s="5" t="s">
        <v>551</v>
      </c>
      <c r="B413" s="5" t="s">
        <v>1563</v>
      </c>
      <c r="C413" s="5" t="s">
        <v>1638</v>
      </c>
      <c r="D413" s="5" t="s">
        <v>1693</v>
      </c>
      <c r="E413" s="5" t="s">
        <v>43</v>
      </c>
      <c r="F413" s="12">
        <v>43649.730740740742</v>
      </c>
      <c r="G413" t="s">
        <v>8729</v>
      </c>
      <c r="H413" s="5" t="s">
        <v>552</v>
      </c>
      <c r="I413" s="6">
        <v>485</v>
      </c>
      <c r="J413" s="5" t="s">
        <v>15</v>
      </c>
      <c r="K413" s="6">
        <v>8.3000000000000007</v>
      </c>
      <c r="L413" s="6">
        <v>4025.5</v>
      </c>
      <c r="M413" s="5" t="s">
        <v>1560</v>
      </c>
      <c r="N413" s="5" t="s">
        <v>1558</v>
      </c>
      <c r="O413" s="13">
        <v>43649</v>
      </c>
      <c r="P413" t="s">
        <v>8729</v>
      </c>
    </row>
    <row r="414" spans="1:16" x14ac:dyDescent="0.15">
      <c r="A414" s="5" t="s">
        <v>75</v>
      </c>
      <c r="B414" s="5" t="s">
        <v>1563</v>
      </c>
      <c r="C414" s="5" t="s">
        <v>1574</v>
      </c>
      <c r="D414" s="5" t="s">
        <v>1693</v>
      </c>
      <c r="E414" s="5" t="s">
        <v>43</v>
      </c>
      <c r="F414" s="12">
        <v>43654.73940972222</v>
      </c>
      <c r="G414" t="s">
        <v>8729</v>
      </c>
      <c r="H414" s="5" t="s">
        <v>568</v>
      </c>
      <c r="I414" s="6">
        <v>970</v>
      </c>
      <c r="J414" s="5" t="s">
        <v>15</v>
      </c>
      <c r="K414" s="6">
        <v>7.5</v>
      </c>
      <c r="L414" s="6">
        <v>7275</v>
      </c>
      <c r="M414" s="5" t="s">
        <v>1560</v>
      </c>
      <c r="N414" s="5" t="s">
        <v>1558</v>
      </c>
      <c r="O414" s="13">
        <v>43654</v>
      </c>
      <c r="P414" t="s">
        <v>8729</v>
      </c>
    </row>
    <row r="415" spans="1:16" x14ac:dyDescent="0.15">
      <c r="A415" s="5" t="s">
        <v>569</v>
      </c>
      <c r="B415" s="5" t="s">
        <v>1563</v>
      </c>
      <c r="C415" s="5" t="s">
        <v>1637</v>
      </c>
      <c r="D415" s="5" t="s">
        <v>1693</v>
      </c>
      <c r="E415" s="5" t="s">
        <v>43</v>
      </c>
      <c r="F415" s="12">
        <v>43655.60429398148</v>
      </c>
      <c r="G415" t="s">
        <v>8729</v>
      </c>
      <c r="H415" s="5" t="s">
        <v>570</v>
      </c>
      <c r="I415" s="6">
        <v>485</v>
      </c>
      <c r="J415" s="5" t="s">
        <v>15</v>
      </c>
      <c r="K415" s="6">
        <v>7.5</v>
      </c>
      <c r="L415" s="6">
        <v>3637.5</v>
      </c>
      <c r="M415" s="5" t="s">
        <v>1560</v>
      </c>
      <c r="N415" s="5" t="s">
        <v>1558</v>
      </c>
      <c r="O415" s="13">
        <v>43655</v>
      </c>
      <c r="P415" t="s">
        <v>8729</v>
      </c>
    </row>
    <row r="416" spans="1:16" x14ac:dyDescent="0.15">
      <c r="A416" s="5" t="s">
        <v>77</v>
      </c>
      <c r="B416" s="5" t="s">
        <v>1563</v>
      </c>
      <c r="C416" s="5" t="s">
        <v>1607</v>
      </c>
      <c r="D416" s="5" t="s">
        <v>1693</v>
      </c>
      <c r="E416" s="5" t="s">
        <v>43</v>
      </c>
      <c r="F416" s="12">
        <v>43657.635775462964</v>
      </c>
      <c r="G416" t="s">
        <v>8729</v>
      </c>
      <c r="H416" s="5" t="s">
        <v>575</v>
      </c>
      <c r="I416" s="6">
        <v>436.5</v>
      </c>
      <c r="J416" s="5" t="s">
        <v>15</v>
      </c>
      <c r="K416" s="6">
        <v>16.5</v>
      </c>
      <c r="L416" s="6">
        <v>7202.25</v>
      </c>
      <c r="M416" s="5" t="s">
        <v>1560</v>
      </c>
      <c r="N416" s="5" t="s">
        <v>1558</v>
      </c>
      <c r="O416" s="13">
        <v>43656</v>
      </c>
      <c r="P416" t="s">
        <v>8729</v>
      </c>
    </row>
    <row r="417" spans="1:16" x14ac:dyDescent="0.15">
      <c r="A417" s="5" t="s">
        <v>600</v>
      </c>
      <c r="B417" s="5" t="s">
        <v>1563</v>
      </c>
      <c r="C417" s="5" t="s">
        <v>1588</v>
      </c>
      <c r="D417" s="5" t="s">
        <v>1693</v>
      </c>
      <c r="E417" s="5" t="s">
        <v>43</v>
      </c>
      <c r="F417" s="12">
        <v>43663.809016203704</v>
      </c>
      <c r="G417" t="s">
        <v>8729</v>
      </c>
      <c r="H417" s="5" t="s">
        <v>601</v>
      </c>
      <c r="I417" s="6">
        <v>533.5</v>
      </c>
      <c r="J417" s="5" t="s">
        <v>15</v>
      </c>
      <c r="K417" s="6">
        <v>7.5</v>
      </c>
      <c r="L417" s="6">
        <v>4001.25</v>
      </c>
      <c r="M417" s="5" t="s">
        <v>1560</v>
      </c>
      <c r="N417" s="5" t="s">
        <v>1558</v>
      </c>
      <c r="O417" s="13">
        <v>43663</v>
      </c>
      <c r="P417" t="s">
        <v>8729</v>
      </c>
    </row>
    <row r="418" spans="1:16" x14ac:dyDescent="0.15">
      <c r="A418" s="5" t="s">
        <v>82</v>
      </c>
      <c r="B418" s="5" t="s">
        <v>1563</v>
      </c>
      <c r="C418" s="5" t="s">
        <v>1642</v>
      </c>
      <c r="D418" s="5" t="s">
        <v>1693</v>
      </c>
      <c r="E418" s="5" t="s">
        <v>43</v>
      </c>
      <c r="F418" s="12">
        <v>43668.634837962964</v>
      </c>
      <c r="G418" t="s">
        <v>8729</v>
      </c>
      <c r="H418" s="5" t="s">
        <v>605</v>
      </c>
      <c r="I418" s="6">
        <v>48.5</v>
      </c>
      <c r="J418" s="5" t="s">
        <v>15</v>
      </c>
      <c r="K418" s="6">
        <v>15.54</v>
      </c>
      <c r="L418" s="6">
        <v>753.68999999999994</v>
      </c>
      <c r="M418" s="5" t="s">
        <v>1560</v>
      </c>
      <c r="N418" s="5" t="s">
        <v>1558</v>
      </c>
      <c r="O418" s="13">
        <v>43664</v>
      </c>
      <c r="P418" t="s">
        <v>8729</v>
      </c>
    </row>
    <row r="419" spans="1:16" x14ac:dyDescent="0.15">
      <c r="A419" s="5" t="s">
        <v>610</v>
      </c>
      <c r="B419" s="5" t="s">
        <v>1563</v>
      </c>
      <c r="C419" s="5" t="s">
        <v>1572</v>
      </c>
      <c r="D419" s="5" t="s">
        <v>1693</v>
      </c>
      <c r="E419" s="5" t="s">
        <v>43</v>
      </c>
      <c r="F419" s="12">
        <v>43668.741111111114</v>
      </c>
      <c r="G419" t="s">
        <v>8729</v>
      </c>
      <c r="H419" s="5" t="s">
        <v>611</v>
      </c>
      <c r="I419" s="6">
        <v>6062.5</v>
      </c>
      <c r="J419" s="5" t="s">
        <v>15</v>
      </c>
      <c r="K419" s="6">
        <v>7</v>
      </c>
      <c r="L419" s="6">
        <v>42437.5</v>
      </c>
      <c r="M419" s="5" t="s">
        <v>1560</v>
      </c>
      <c r="N419" s="5" t="s">
        <v>1558</v>
      </c>
      <c r="O419" s="13">
        <v>43668</v>
      </c>
      <c r="P419" t="s">
        <v>8729</v>
      </c>
    </row>
    <row r="420" spans="1:16" x14ac:dyDescent="0.15">
      <c r="A420" s="5" t="s">
        <v>614</v>
      </c>
      <c r="B420" s="5" t="s">
        <v>1563</v>
      </c>
      <c r="C420" s="5" t="s">
        <v>1638</v>
      </c>
      <c r="D420" s="5" t="s">
        <v>1693</v>
      </c>
      <c r="E420" s="5" t="s">
        <v>43</v>
      </c>
      <c r="F420" s="12">
        <v>43668.74527777778</v>
      </c>
      <c r="G420" t="s">
        <v>8729</v>
      </c>
      <c r="H420" s="5" t="s">
        <v>615</v>
      </c>
      <c r="I420" s="6">
        <v>1843</v>
      </c>
      <c r="J420" s="5" t="s">
        <v>15</v>
      </c>
      <c r="K420" s="6">
        <v>7.7099999999999991</v>
      </c>
      <c r="L420" s="6">
        <v>14209.529999999999</v>
      </c>
      <c r="M420" s="5" t="s">
        <v>1560</v>
      </c>
      <c r="N420" s="5" t="s">
        <v>1558</v>
      </c>
      <c r="O420" s="13">
        <v>43668</v>
      </c>
      <c r="P420" t="s">
        <v>8729</v>
      </c>
    </row>
    <row r="421" spans="1:16" x14ac:dyDescent="0.15">
      <c r="A421" s="5" t="s">
        <v>88</v>
      </c>
      <c r="B421" s="5" t="s">
        <v>1563</v>
      </c>
      <c r="C421" s="5" t="s">
        <v>1571</v>
      </c>
      <c r="D421" s="5" t="s">
        <v>1693</v>
      </c>
      <c r="E421" s="5" t="s">
        <v>43</v>
      </c>
      <c r="F421" s="12">
        <v>43671.668368055558</v>
      </c>
      <c r="G421" t="s">
        <v>8729</v>
      </c>
      <c r="H421" s="5" t="s">
        <v>630</v>
      </c>
      <c r="I421" s="6">
        <v>97</v>
      </c>
      <c r="J421" s="5" t="s">
        <v>15</v>
      </c>
      <c r="K421" s="6">
        <v>11.52</v>
      </c>
      <c r="L421" s="6">
        <v>1117.44</v>
      </c>
      <c r="M421" s="5" t="s">
        <v>1560</v>
      </c>
      <c r="N421" s="5" t="s">
        <v>1558</v>
      </c>
      <c r="O421" s="13">
        <v>43671</v>
      </c>
      <c r="P421" t="s">
        <v>8729</v>
      </c>
    </row>
    <row r="422" spans="1:16" x14ac:dyDescent="0.15">
      <c r="A422" s="5" t="s">
        <v>94</v>
      </c>
      <c r="B422" s="5" t="s">
        <v>1563</v>
      </c>
      <c r="C422" s="5" t="s">
        <v>1616</v>
      </c>
      <c r="D422" s="5" t="s">
        <v>1693</v>
      </c>
      <c r="E422" s="5" t="s">
        <v>43</v>
      </c>
      <c r="F422" s="12">
        <v>43678.652245370373</v>
      </c>
      <c r="G422" t="s">
        <v>8730</v>
      </c>
      <c r="H422" s="5" t="s">
        <v>649</v>
      </c>
      <c r="I422" s="6">
        <v>776</v>
      </c>
      <c r="J422" s="5" t="s">
        <v>15</v>
      </c>
      <c r="K422" s="6">
        <v>7.75</v>
      </c>
      <c r="L422" s="6">
        <v>6014</v>
      </c>
      <c r="M422" s="5" t="s">
        <v>1560</v>
      </c>
      <c r="N422" s="5" t="s">
        <v>1558</v>
      </c>
      <c r="O422" s="13">
        <v>43678</v>
      </c>
      <c r="P422" t="s">
        <v>8730</v>
      </c>
    </row>
    <row r="423" spans="1:16" x14ac:dyDescent="0.15">
      <c r="A423" s="5" t="s">
        <v>664</v>
      </c>
      <c r="B423" s="5" t="s">
        <v>1563</v>
      </c>
      <c r="C423" s="5" t="s">
        <v>1594</v>
      </c>
      <c r="D423" s="5" t="s">
        <v>1693</v>
      </c>
      <c r="E423" s="5" t="s">
        <v>43</v>
      </c>
      <c r="F423" s="12">
        <v>43678.680358796293</v>
      </c>
      <c r="G423" t="s">
        <v>8730</v>
      </c>
      <c r="H423" s="5" t="s">
        <v>665</v>
      </c>
      <c r="I423" s="6">
        <v>1212.5</v>
      </c>
      <c r="J423" s="5" t="s">
        <v>15</v>
      </c>
      <c r="K423" s="6">
        <v>7</v>
      </c>
      <c r="L423" s="6">
        <v>8487.5</v>
      </c>
      <c r="M423" s="5" t="s">
        <v>1560</v>
      </c>
      <c r="N423" s="5" t="s">
        <v>1558</v>
      </c>
      <c r="O423" s="13">
        <v>43678</v>
      </c>
      <c r="P423" t="s">
        <v>8730</v>
      </c>
    </row>
    <row r="424" spans="1:16" x14ac:dyDescent="0.15">
      <c r="A424" s="5" t="s">
        <v>667</v>
      </c>
      <c r="B424" s="5" t="s">
        <v>1563</v>
      </c>
      <c r="C424" s="5" t="s">
        <v>1574</v>
      </c>
      <c r="D424" s="5" t="s">
        <v>1693</v>
      </c>
      <c r="E424" s="5" t="s">
        <v>43</v>
      </c>
      <c r="F424" s="12">
        <v>43678.68650462963</v>
      </c>
      <c r="G424" t="s">
        <v>8730</v>
      </c>
      <c r="H424" s="5" t="s">
        <v>668</v>
      </c>
      <c r="I424" s="6">
        <v>2231</v>
      </c>
      <c r="J424" s="5" t="s">
        <v>15</v>
      </c>
      <c r="K424" s="6">
        <v>7.5</v>
      </c>
      <c r="L424" s="6">
        <v>16732.5</v>
      </c>
      <c r="M424" s="5" t="s">
        <v>1560</v>
      </c>
      <c r="N424" s="5" t="s">
        <v>1558</v>
      </c>
      <c r="O424" s="13">
        <v>43678</v>
      </c>
      <c r="P424" t="s">
        <v>8730</v>
      </c>
    </row>
    <row r="425" spans="1:16" x14ac:dyDescent="0.15">
      <c r="A425" s="5" t="s">
        <v>102</v>
      </c>
      <c r="B425" s="5" t="s">
        <v>1563</v>
      </c>
      <c r="C425" s="5" t="s">
        <v>1592</v>
      </c>
      <c r="D425" s="5" t="s">
        <v>1693</v>
      </c>
      <c r="E425" s="5" t="s">
        <v>43</v>
      </c>
      <c r="F425" s="12">
        <v>43686.632141203707</v>
      </c>
      <c r="G425" t="s">
        <v>8730</v>
      </c>
      <c r="H425" s="5" t="s">
        <v>703</v>
      </c>
      <c r="I425" s="6">
        <v>145.5</v>
      </c>
      <c r="J425" s="5" t="s">
        <v>15</v>
      </c>
      <c r="K425" s="6">
        <v>7.82</v>
      </c>
      <c r="L425" s="6">
        <v>1137.81</v>
      </c>
      <c r="M425" s="5" t="s">
        <v>1560</v>
      </c>
      <c r="N425" s="5" t="s">
        <v>1558</v>
      </c>
      <c r="O425" s="13">
        <v>43686</v>
      </c>
      <c r="P425" t="s">
        <v>8730</v>
      </c>
    </row>
    <row r="426" spans="1:16" x14ac:dyDescent="0.15">
      <c r="A426" s="5" t="s">
        <v>707</v>
      </c>
      <c r="B426" s="5" t="s">
        <v>1563</v>
      </c>
      <c r="C426" s="5" t="s">
        <v>1643</v>
      </c>
      <c r="D426" s="5" t="s">
        <v>1693</v>
      </c>
      <c r="E426" s="5" t="s">
        <v>43</v>
      </c>
      <c r="F426" s="12">
        <v>43686.746898148151</v>
      </c>
      <c r="G426" t="s">
        <v>8730</v>
      </c>
      <c r="H426" s="5" t="s">
        <v>708</v>
      </c>
      <c r="I426" s="6">
        <v>3492</v>
      </c>
      <c r="J426" s="5" t="s">
        <v>15</v>
      </c>
      <c r="K426" s="6">
        <v>7.5</v>
      </c>
      <c r="L426" s="6">
        <v>26190</v>
      </c>
      <c r="M426" s="5" t="s">
        <v>1560</v>
      </c>
      <c r="N426" s="5" t="s">
        <v>1558</v>
      </c>
      <c r="O426" s="13">
        <v>43689</v>
      </c>
      <c r="P426" t="s">
        <v>8730</v>
      </c>
    </row>
    <row r="427" spans="1:16" x14ac:dyDescent="0.15">
      <c r="A427" s="5" t="s">
        <v>108</v>
      </c>
      <c r="B427" s="5" t="s">
        <v>1563</v>
      </c>
      <c r="C427" s="5" t="s">
        <v>1572</v>
      </c>
      <c r="D427" s="5" t="s">
        <v>1693</v>
      </c>
      <c r="E427" s="5" t="s">
        <v>43</v>
      </c>
      <c r="F427" s="12">
        <v>43696.684247685182</v>
      </c>
      <c r="G427" t="s">
        <v>8730</v>
      </c>
      <c r="H427" s="5" t="s">
        <v>733</v>
      </c>
      <c r="I427" s="6">
        <v>582</v>
      </c>
      <c r="J427" s="5" t="s">
        <v>15</v>
      </c>
      <c r="K427" s="6">
        <v>8.17</v>
      </c>
      <c r="L427" s="6">
        <v>4754.9399999999996</v>
      </c>
      <c r="M427" s="5" t="s">
        <v>1560</v>
      </c>
      <c r="N427" s="5" t="s">
        <v>1558</v>
      </c>
      <c r="O427" s="13">
        <v>43693</v>
      </c>
      <c r="P427" t="s">
        <v>8730</v>
      </c>
    </row>
    <row r="428" spans="1:16" x14ac:dyDescent="0.15">
      <c r="A428" s="5" t="s">
        <v>111</v>
      </c>
      <c r="B428" s="5" t="s">
        <v>1563</v>
      </c>
      <c r="C428" s="5" t="s">
        <v>1571</v>
      </c>
      <c r="D428" s="5" t="s">
        <v>1693</v>
      </c>
      <c r="E428" s="5" t="s">
        <v>43</v>
      </c>
      <c r="F428" s="12">
        <v>43697.718136574076</v>
      </c>
      <c r="G428" t="s">
        <v>8730</v>
      </c>
      <c r="H428" s="5" t="s">
        <v>744</v>
      </c>
      <c r="I428" s="6">
        <v>873</v>
      </c>
      <c r="J428" s="5" t="s">
        <v>15</v>
      </c>
      <c r="K428" s="6">
        <v>7.95</v>
      </c>
      <c r="L428" s="6">
        <v>6940.35</v>
      </c>
      <c r="M428" s="5" t="s">
        <v>1560</v>
      </c>
      <c r="N428" s="5" t="s">
        <v>1558</v>
      </c>
      <c r="O428" s="13">
        <v>43697</v>
      </c>
      <c r="P428" t="s">
        <v>8730</v>
      </c>
    </row>
    <row r="429" spans="1:16" x14ac:dyDescent="0.15">
      <c r="A429" s="5" t="s">
        <v>748</v>
      </c>
      <c r="B429" s="5" t="s">
        <v>1563</v>
      </c>
      <c r="C429" s="5" t="s">
        <v>1575</v>
      </c>
      <c r="D429" s="5" t="s">
        <v>1693</v>
      </c>
      <c r="E429" s="5" t="s">
        <v>43</v>
      </c>
      <c r="F429" s="12">
        <v>43698.724085648151</v>
      </c>
      <c r="G429" t="s">
        <v>8730</v>
      </c>
      <c r="H429" s="5" t="s">
        <v>751</v>
      </c>
      <c r="I429" s="6">
        <v>1552</v>
      </c>
      <c r="J429" s="5" t="s">
        <v>15</v>
      </c>
      <c r="K429" s="6">
        <v>7.5</v>
      </c>
      <c r="L429" s="6">
        <v>11640</v>
      </c>
      <c r="M429" s="5" t="s">
        <v>1560</v>
      </c>
      <c r="N429" s="5" t="s">
        <v>1558</v>
      </c>
      <c r="O429" s="13">
        <v>43698</v>
      </c>
      <c r="P429" t="s">
        <v>8730</v>
      </c>
    </row>
    <row r="430" spans="1:16" x14ac:dyDescent="0.15">
      <c r="A430" s="5" t="s">
        <v>752</v>
      </c>
      <c r="B430" s="5" t="s">
        <v>1563</v>
      </c>
      <c r="C430" s="5" t="s">
        <v>1616</v>
      </c>
      <c r="D430" s="5" t="s">
        <v>1693</v>
      </c>
      <c r="E430" s="5" t="s">
        <v>43</v>
      </c>
      <c r="F430" s="12">
        <v>43698.753495370373</v>
      </c>
      <c r="G430" t="s">
        <v>8730</v>
      </c>
      <c r="H430" s="5" t="s">
        <v>753</v>
      </c>
      <c r="I430" s="6">
        <v>679</v>
      </c>
      <c r="J430" s="5" t="s">
        <v>15</v>
      </c>
      <c r="K430" s="6">
        <v>7.5</v>
      </c>
      <c r="L430" s="6">
        <v>5092.5</v>
      </c>
      <c r="M430" s="5" t="s">
        <v>1560</v>
      </c>
      <c r="N430" s="5" t="s">
        <v>1558</v>
      </c>
      <c r="O430" s="13">
        <v>43698</v>
      </c>
      <c r="P430" t="s">
        <v>8730</v>
      </c>
    </row>
    <row r="431" spans="1:16" x14ac:dyDescent="0.15">
      <c r="A431" s="5" t="s">
        <v>117</v>
      </c>
      <c r="B431" s="5" t="s">
        <v>1563</v>
      </c>
      <c r="C431" s="5" t="s">
        <v>1571</v>
      </c>
      <c r="D431" s="5" t="s">
        <v>1693</v>
      </c>
      <c r="E431" s="5" t="s">
        <v>43</v>
      </c>
      <c r="F431" s="12">
        <v>43703.638344907406</v>
      </c>
      <c r="G431" t="s">
        <v>8730</v>
      </c>
      <c r="H431" s="5" t="s">
        <v>776</v>
      </c>
      <c r="I431" s="6">
        <v>97</v>
      </c>
      <c r="J431" s="5" t="s">
        <v>15</v>
      </c>
      <c r="K431" s="6">
        <v>7.7299999999999995</v>
      </c>
      <c r="L431" s="6">
        <v>749.81000000000006</v>
      </c>
      <c r="M431" s="5" t="s">
        <v>1560</v>
      </c>
      <c r="N431" s="5" t="s">
        <v>1558</v>
      </c>
      <c r="O431" s="13">
        <v>43703</v>
      </c>
      <c r="P431" t="s">
        <v>8730</v>
      </c>
    </row>
    <row r="432" spans="1:16" x14ac:dyDescent="0.15">
      <c r="A432" s="5" t="s">
        <v>781</v>
      </c>
      <c r="B432" s="5" t="s">
        <v>1563</v>
      </c>
      <c r="C432" s="5" t="s">
        <v>1644</v>
      </c>
      <c r="D432" s="5" t="s">
        <v>1693</v>
      </c>
      <c r="E432" s="5" t="s">
        <v>43</v>
      </c>
      <c r="F432" s="12">
        <v>43703.658831018518</v>
      </c>
      <c r="G432" t="s">
        <v>8730</v>
      </c>
      <c r="H432" s="5" t="s">
        <v>782</v>
      </c>
      <c r="I432" s="6">
        <v>582</v>
      </c>
      <c r="J432" s="5" t="s">
        <v>15</v>
      </c>
      <c r="K432" s="6">
        <v>7.7200000000000006</v>
      </c>
      <c r="L432" s="6">
        <v>4493.04</v>
      </c>
      <c r="M432" s="5" t="s">
        <v>1560</v>
      </c>
      <c r="N432" s="5" t="s">
        <v>1558</v>
      </c>
      <c r="O432" s="13">
        <v>43693</v>
      </c>
      <c r="P432" t="s">
        <v>8730</v>
      </c>
    </row>
    <row r="433" spans="1:16" x14ac:dyDescent="0.15">
      <c r="A433" s="5" t="s">
        <v>828</v>
      </c>
      <c r="B433" s="5" t="s">
        <v>1563</v>
      </c>
      <c r="C433" s="5" t="s">
        <v>1645</v>
      </c>
      <c r="D433" s="5" t="s">
        <v>1693</v>
      </c>
      <c r="E433" s="5" t="s">
        <v>43</v>
      </c>
      <c r="F433" s="12">
        <v>43719.831412037034</v>
      </c>
      <c r="G433" t="s">
        <v>8731</v>
      </c>
      <c r="H433" s="5" t="s">
        <v>829</v>
      </c>
      <c r="I433" s="6">
        <v>1406.5</v>
      </c>
      <c r="J433" s="5" t="s">
        <v>15</v>
      </c>
      <c r="K433" s="6">
        <v>7.5</v>
      </c>
      <c r="L433" s="6">
        <v>10548.75</v>
      </c>
      <c r="M433" s="5" t="s">
        <v>1560</v>
      </c>
      <c r="N433" s="5" t="s">
        <v>1558</v>
      </c>
      <c r="O433" s="13">
        <v>43718</v>
      </c>
      <c r="P433" t="s">
        <v>8731</v>
      </c>
    </row>
    <row r="434" spans="1:16" x14ac:dyDescent="0.15">
      <c r="A434" s="5" t="s">
        <v>831</v>
      </c>
      <c r="B434" s="5" t="s">
        <v>1563</v>
      </c>
      <c r="C434" s="5" t="s">
        <v>1646</v>
      </c>
      <c r="D434" s="5" t="s">
        <v>1693</v>
      </c>
      <c r="E434" s="5" t="s">
        <v>43</v>
      </c>
      <c r="F434" s="12">
        <v>43719.841331018521</v>
      </c>
      <c r="G434" t="s">
        <v>8731</v>
      </c>
      <c r="H434" s="5" t="s">
        <v>833</v>
      </c>
      <c r="I434" s="6">
        <v>1794.5</v>
      </c>
      <c r="J434" s="5" t="s">
        <v>15</v>
      </c>
      <c r="K434" s="6">
        <v>7.5</v>
      </c>
      <c r="L434" s="6">
        <v>13458.75</v>
      </c>
      <c r="M434" s="5" t="s">
        <v>1560</v>
      </c>
      <c r="N434" s="5" t="s">
        <v>1558</v>
      </c>
      <c r="O434" s="13">
        <v>43718</v>
      </c>
      <c r="P434" t="s">
        <v>8731</v>
      </c>
    </row>
    <row r="435" spans="1:16" x14ac:dyDescent="0.15">
      <c r="A435" s="5" t="s">
        <v>129</v>
      </c>
      <c r="B435" s="5" t="s">
        <v>1563</v>
      </c>
      <c r="C435" s="5" t="s">
        <v>1576</v>
      </c>
      <c r="D435" s="5" t="s">
        <v>1693</v>
      </c>
      <c r="E435" s="5" t="s">
        <v>43</v>
      </c>
      <c r="F435" s="12">
        <v>43720.660231481481</v>
      </c>
      <c r="G435" t="s">
        <v>8731</v>
      </c>
      <c r="H435" s="5" t="s">
        <v>842</v>
      </c>
      <c r="I435" s="6">
        <v>485</v>
      </c>
      <c r="J435" s="5" t="s">
        <v>15</v>
      </c>
      <c r="K435" s="6">
        <v>8.23</v>
      </c>
      <c r="L435" s="6">
        <v>3991.55</v>
      </c>
      <c r="M435" s="5" t="s">
        <v>1560</v>
      </c>
      <c r="N435" s="5" t="s">
        <v>1558</v>
      </c>
      <c r="O435" s="13">
        <v>43719</v>
      </c>
      <c r="P435" t="s">
        <v>8731</v>
      </c>
    </row>
    <row r="436" spans="1:16" x14ac:dyDescent="0.15">
      <c r="A436" s="5" t="s">
        <v>132</v>
      </c>
      <c r="B436" s="5" t="s">
        <v>1563</v>
      </c>
      <c r="C436" s="5" t="s">
        <v>1647</v>
      </c>
      <c r="D436" s="5" t="s">
        <v>1693</v>
      </c>
      <c r="E436" s="5" t="s">
        <v>43</v>
      </c>
      <c r="F436" s="12">
        <v>43720.691307870373</v>
      </c>
      <c r="G436" t="s">
        <v>8731</v>
      </c>
      <c r="H436" s="5" t="s">
        <v>846</v>
      </c>
      <c r="I436" s="6">
        <v>4656</v>
      </c>
      <c r="J436" s="5" t="s">
        <v>15</v>
      </c>
      <c r="K436" s="6">
        <v>7.5</v>
      </c>
      <c r="L436" s="6">
        <v>34920</v>
      </c>
      <c r="M436" s="5" t="s">
        <v>1560</v>
      </c>
      <c r="N436" s="5" t="s">
        <v>1558</v>
      </c>
      <c r="O436" s="13">
        <v>43719</v>
      </c>
      <c r="P436" t="s">
        <v>8731</v>
      </c>
    </row>
    <row r="437" spans="1:16" x14ac:dyDescent="0.15">
      <c r="A437" s="5" t="s">
        <v>136</v>
      </c>
      <c r="B437" s="5" t="s">
        <v>1563</v>
      </c>
      <c r="C437" s="5" t="s">
        <v>1642</v>
      </c>
      <c r="D437" s="5" t="s">
        <v>1693</v>
      </c>
      <c r="E437" s="5" t="s">
        <v>43</v>
      </c>
      <c r="F437" s="12">
        <v>43724.651990740742</v>
      </c>
      <c r="G437" t="s">
        <v>8731</v>
      </c>
      <c r="H437" s="5" t="s">
        <v>856</v>
      </c>
      <c r="I437" s="6">
        <v>145.5</v>
      </c>
      <c r="J437" s="5" t="s">
        <v>15</v>
      </c>
      <c r="K437" s="6">
        <v>10.18</v>
      </c>
      <c r="L437" s="6">
        <v>1481.19</v>
      </c>
      <c r="M437" s="5" t="s">
        <v>1560</v>
      </c>
      <c r="N437" s="5" t="s">
        <v>1558</v>
      </c>
      <c r="O437" s="13">
        <v>43724</v>
      </c>
      <c r="P437" t="s">
        <v>8731</v>
      </c>
    </row>
    <row r="438" spans="1:16" x14ac:dyDescent="0.15">
      <c r="A438" s="5" t="s">
        <v>141</v>
      </c>
      <c r="B438" s="5" t="s">
        <v>1563</v>
      </c>
      <c r="C438" s="5" t="s">
        <v>1571</v>
      </c>
      <c r="D438" s="5" t="s">
        <v>1693</v>
      </c>
      <c r="E438" s="5" t="s">
        <v>43</v>
      </c>
      <c r="F438" s="12">
        <v>43728.681828703702</v>
      </c>
      <c r="G438" t="s">
        <v>8731</v>
      </c>
      <c r="H438" s="5" t="s">
        <v>878</v>
      </c>
      <c r="I438" s="6">
        <v>5917</v>
      </c>
      <c r="J438" s="5" t="s">
        <v>15</v>
      </c>
      <c r="K438" s="6">
        <v>7</v>
      </c>
      <c r="L438" s="6">
        <v>41419</v>
      </c>
      <c r="M438" s="5" t="s">
        <v>1560</v>
      </c>
      <c r="N438" s="5" t="s">
        <v>1558</v>
      </c>
      <c r="O438" s="13">
        <v>43727</v>
      </c>
      <c r="P438" t="s">
        <v>8731</v>
      </c>
    </row>
    <row r="439" spans="1:16" x14ac:dyDescent="0.15">
      <c r="A439" s="5" t="s">
        <v>887</v>
      </c>
      <c r="B439" s="5" t="s">
        <v>1563</v>
      </c>
      <c r="C439" s="5" t="s">
        <v>1648</v>
      </c>
      <c r="D439" s="5" t="s">
        <v>1693</v>
      </c>
      <c r="E439" s="5" t="s">
        <v>43</v>
      </c>
      <c r="F439" s="12">
        <v>43732.664664351854</v>
      </c>
      <c r="G439" t="s">
        <v>8731</v>
      </c>
      <c r="H439" s="5" t="s">
        <v>888</v>
      </c>
      <c r="I439" s="6">
        <v>7808.5</v>
      </c>
      <c r="J439" s="5" t="s">
        <v>15</v>
      </c>
      <c r="K439" s="6">
        <v>7.2</v>
      </c>
      <c r="L439" s="6">
        <v>56221.2</v>
      </c>
      <c r="M439" s="5" t="s">
        <v>1560</v>
      </c>
      <c r="N439" s="5" t="s">
        <v>1558</v>
      </c>
      <c r="O439" s="13">
        <v>43732</v>
      </c>
      <c r="P439" t="s">
        <v>8731</v>
      </c>
    </row>
    <row r="440" spans="1:16" x14ac:dyDescent="0.15">
      <c r="A440" s="5" t="s">
        <v>147</v>
      </c>
      <c r="B440" s="5" t="s">
        <v>1563</v>
      </c>
      <c r="C440" s="5" t="s">
        <v>1571</v>
      </c>
      <c r="D440" s="5" t="s">
        <v>1693</v>
      </c>
      <c r="E440" s="5" t="s">
        <v>43</v>
      </c>
      <c r="F440" s="12">
        <v>43733.711481481485</v>
      </c>
      <c r="G440" t="s">
        <v>8731</v>
      </c>
      <c r="H440" s="5" t="s">
        <v>901</v>
      </c>
      <c r="I440" s="6">
        <v>242.5</v>
      </c>
      <c r="J440" s="5" t="s">
        <v>15</v>
      </c>
      <c r="K440" s="6">
        <v>9.11</v>
      </c>
      <c r="L440" s="6">
        <v>2209.1799999999998</v>
      </c>
      <c r="M440" s="5" t="s">
        <v>1560</v>
      </c>
      <c r="N440" s="5" t="s">
        <v>1558</v>
      </c>
      <c r="O440" s="13">
        <v>43733</v>
      </c>
      <c r="P440" t="s">
        <v>8731</v>
      </c>
    </row>
    <row r="441" spans="1:16" x14ac:dyDescent="0.15">
      <c r="A441" s="5" t="s">
        <v>937</v>
      </c>
      <c r="B441" s="5" t="s">
        <v>1563</v>
      </c>
      <c r="C441" s="5" t="s">
        <v>1649</v>
      </c>
      <c r="D441" s="5" t="s">
        <v>1693</v>
      </c>
      <c r="E441" s="5" t="s">
        <v>43</v>
      </c>
      <c r="F441" s="12">
        <v>43741.606516203705</v>
      </c>
      <c r="G441" t="s">
        <v>8732</v>
      </c>
      <c r="H441" s="5" t="s">
        <v>939</v>
      </c>
      <c r="I441" s="6">
        <v>97</v>
      </c>
      <c r="J441" s="5" t="s">
        <v>15</v>
      </c>
      <c r="K441" s="6">
        <v>8.83</v>
      </c>
      <c r="L441" s="6">
        <v>856.51</v>
      </c>
      <c r="M441" s="5" t="s">
        <v>1560</v>
      </c>
      <c r="N441" s="5" t="s">
        <v>1558</v>
      </c>
      <c r="O441" s="13">
        <v>43740</v>
      </c>
      <c r="P441" t="s">
        <v>8732</v>
      </c>
    </row>
    <row r="442" spans="1:16" x14ac:dyDescent="0.15">
      <c r="A442" s="5" t="s">
        <v>172</v>
      </c>
      <c r="B442" s="5" t="s">
        <v>1563</v>
      </c>
      <c r="C442" s="5" t="s">
        <v>1648</v>
      </c>
      <c r="D442" s="5" t="s">
        <v>1693</v>
      </c>
      <c r="E442" s="5" t="s">
        <v>43</v>
      </c>
      <c r="F442" s="12">
        <v>43746.640717592592</v>
      </c>
      <c r="G442" t="s">
        <v>8732</v>
      </c>
      <c r="H442" s="5" t="s">
        <v>954</v>
      </c>
      <c r="I442" s="6">
        <v>388</v>
      </c>
      <c r="J442" s="5" t="s">
        <v>15</v>
      </c>
      <c r="K442" s="6">
        <v>7.2</v>
      </c>
      <c r="L442" s="6">
        <v>2793.6</v>
      </c>
      <c r="M442" s="5" t="s">
        <v>1560</v>
      </c>
      <c r="N442" s="5" t="s">
        <v>1558</v>
      </c>
      <c r="O442" s="13">
        <v>43746</v>
      </c>
      <c r="P442" t="s">
        <v>8732</v>
      </c>
    </row>
    <row r="443" spans="1:16" x14ac:dyDescent="0.15">
      <c r="A443" s="5" t="s">
        <v>961</v>
      </c>
      <c r="B443" s="5" t="s">
        <v>1563</v>
      </c>
      <c r="C443" s="5" t="s">
        <v>1650</v>
      </c>
      <c r="D443" s="5" t="s">
        <v>1693</v>
      </c>
      <c r="E443" s="5" t="s">
        <v>43</v>
      </c>
      <c r="F443" s="12">
        <v>43747.77752314815</v>
      </c>
      <c r="G443" t="s">
        <v>8732</v>
      </c>
      <c r="H443" s="5" t="s">
        <v>962</v>
      </c>
      <c r="I443" s="6">
        <v>1212.5</v>
      </c>
      <c r="J443" s="5" t="s">
        <v>15</v>
      </c>
      <c r="K443" s="6">
        <v>7.5</v>
      </c>
      <c r="L443" s="6">
        <v>9093.75</v>
      </c>
      <c r="M443" s="5" t="s">
        <v>1560</v>
      </c>
      <c r="N443" s="5" t="s">
        <v>1558</v>
      </c>
      <c r="O443" s="13">
        <v>43747</v>
      </c>
      <c r="P443" t="s">
        <v>8732</v>
      </c>
    </row>
    <row r="444" spans="1:16" x14ac:dyDescent="0.15">
      <c r="A444" s="5" t="s">
        <v>175</v>
      </c>
      <c r="B444" s="5" t="s">
        <v>1563</v>
      </c>
      <c r="C444" s="5" t="s">
        <v>1586</v>
      </c>
      <c r="D444" s="5" t="s">
        <v>1693</v>
      </c>
      <c r="E444" s="5" t="s">
        <v>43</v>
      </c>
      <c r="F444" s="12">
        <v>43753.594664351855</v>
      </c>
      <c r="G444" t="s">
        <v>8732</v>
      </c>
      <c r="H444" s="5" t="s">
        <v>972</v>
      </c>
      <c r="I444" s="6">
        <v>2134</v>
      </c>
      <c r="J444" s="5" t="s">
        <v>15</v>
      </c>
      <c r="K444" s="6">
        <v>7.5</v>
      </c>
      <c r="L444" s="6">
        <v>16005</v>
      </c>
      <c r="M444" s="5" t="s">
        <v>1560</v>
      </c>
      <c r="N444" s="5" t="s">
        <v>1558</v>
      </c>
      <c r="O444" s="13">
        <v>43753</v>
      </c>
      <c r="P444" t="s">
        <v>8732</v>
      </c>
    </row>
    <row r="445" spans="1:16" x14ac:dyDescent="0.15">
      <c r="A445" s="5" t="s">
        <v>180</v>
      </c>
      <c r="B445" s="5" t="s">
        <v>1563</v>
      </c>
      <c r="C445" s="5" t="s">
        <v>1651</v>
      </c>
      <c r="D445" s="5" t="s">
        <v>1693</v>
      </c>
      <c r="E445" s="5" t="s">
        <v>43</v>
      </c>
      <c r="F445" s="12">
        <v>43759.761886574073</v>
      </c>
      <c r="G445" t="s">
        <v>8732</v>
      </c>
      <c r="H445" s="5" t="s">
        <v>981</v>
      </c>
      <c r="I445" s="6">
        <v>97</v>
      </c>
      <c r="J445" s="5" t="s">
        <v>15</v>
      </c>
      <c r="K445" s="6">
        <v>7.5</v>
      </c>
      <c r="L445" s="6">
        <v>727.5</v>
      </c>
      <c r="M445" s="5" t="s">
        <v>1560</v>
      </c>
      <c r="N445" s="5" t="s">
        <v>1558</v>
      </c>
      <c r="O445" s="13">
        <v>43754</v>
      </c>
      <c r="P445" t="s">
        <v>8732</v>
      </c>
    </row>
    <row r="446" spans="1:16" x14ac:dyDescent="0.15">
      <c r="A446" s="5" t="s">
        <v>983</v>
      </c>
      <c r="B446" s="5" t="s">
        <v>1563</v>
      </c>
      <c r="C446" s="5" t="s">
        <v>1649</v>
      </c>
      <c r="D446" s="5" t="s">
        <v>1693</v>
      </c>
      <c r="E446" s="5" t="s">
        <v>43</v>
      </c>
      <c r="F446" s="12">
        <v>43759.769861111112</v>
      </c>
      <c r="G446" t="s">
        <v>8732</v>
      </c>
      <c r="H446" s="5" t="s">
        <v>984</v>
      </c>
      <c r="I446" s="6">
        <v>97</v>
      </c>
      <c r="J446" s="5" t="s">
        <v>15</v>
      </c>
      <c r="K446" s="6">
        <v>8.17</v>
      </c>
      <c r="L446" s="6">
        <v>792.49</v>
      </c>
      <c r="M446" s="5" t="s">
        <v>1560</v>
      </c>
      <c r="N446" s="5" t="s">
        <v>1558</v>
      </c>
      <c r="O446" s="13">
        <v>43755</v>
      </c>
      <c r="P446" t="s">
        <v>8732</v>
      </c>
    </row>
    <row r="447" spans="1:16" x14ac:dyDescent="0.15">
      <c r="A447" s="5" t="s">
        <v>986</v>
      </c>
      <c r="B447" s="5" t="s">
        <v>1563</v>
      </c>
      <c r="C447" s="5" t="s">
        <v>1616</v>
      </c>
      <c r="D447" s="5" t="s">
        <v>1693</v>
      </c>
      <c r="E447" s="5" t="s">
        <v>43</v>
      </c>
      <c r="F447" s="12">
        <v>43759.800983796296</v>
      </c>
      <c r="G447" t="s">
        <v>8732</v>
      </c>
      <c r="H447" s="5" t="s">
        <v>987</v>
      </c>
      <c r="I447" s="6">
        <v>1018.5</v>
      </c>
      <c r="J447" s="5" t="s">
        <v>15</v>
      </c>
      <c r="K447" s="6">
        <v>7.88</v>
      </c>
      <c r="L447" s="6">
        <v>8025.78</v>
      </c>
      <c r="M447" s="5" t="s">
        <v>1560</v>
      </c>
      <c r="N447" s="5" t="s">
        <v>1558</v>
      </c>
      <c r="O447" s="13">
        <v>43755</v>
      </c>
      <c r="P447" t="s">
        <v>8732</v>
      </c>
    </row>
    <row r="448" spans="1:16" x14ac:dyDescent="0.15">
      <c r="A448" s="5" t="s">
        <v>989</v>
      </c>
      <c r="B448" s="5" t="s">
        <v>1563</v>
      </c>
      <c r="C448" s="5" t="s">
        <v>1586</v>
      </c>
      <c r="D448" s="5" t="s">
        <v>1693</v>
      </c>
      <c r="E448" s="5" t="s">
        <v>43</v>
      </c>
      <c r="F448" s="12">
        <v>43759.82739583333</v>
      </c>
      <c r="G448" t="s">
        <v>8732</v>
      </c>
      <c r="H448" s="5" t="s">
        <v>990</v>
      </c>
      <c r="I448" s="6">
        <v>2134</v>
      </c>
      <c r="J448" s="5" t="s">
        <v>15</v>
      </c>
      <c r="K448" s="6">
        <v>7.5</v>
      </c>
      <c r="L448" s="6">
        <v>16005</v>
      </c>
      <c r="M448" s="5" t="s">
        <v>1560</v>
      </c>
      <c r="N448" s="5" t="s">
        <v>1558</v>
      </c>
      <c r="O448" s="13">
        <v>43754</v>
      </c>
      <c r="P448" t="s">
        <v>8732</v>
      </c>
    </row>
    <row r="449" spans="1:16" x14ac:dyDescent="0.15">
      <c r="A449" s="5" t="s">
        <v>1537</v>
      </c>
      <c r="B449" s="5" t="s">
        <v>1562</v>
      </c>
      <c r="C449" s="5" t="s">
        <v>1584</v>
      </c>
      <c r="D449" s="5" t="s">
        <v>1706</v>
      </c>
      <c r="E449" s="5" t="s">
        <v>43</v>
      </c>
      <c r="F449" s="12">
        <v>43760.613726851851</v>
      </c>
      <c r="G449" t="s">
        <v>8732</v>
      </c>
      <c r="H449" s="5" t="s">
        <v>1538</v>
      </c>
      <c r="I449" s="6">
        <v>-388</v>
      </c>
      <c r="J449" s="5" t="s">
        <v>15</v>
      </c>
      <c r="K449" s="6">
        <v>0.67</v>
      </c>
      <c r="L449" s="6">
        <v>-259.95999999999998</v>
      </c>
      <c r="M449" s="5" t="s">
        <v>1557</v>
      </c>
      <c r="N449" s="5" t="s">
        <v>1558</v>
      </c>
      <c r="O449" s="13">
        <v>43760</v>
      </c>
      <c r="P449" t="s">
        <v>8732</v>
      </c>
    </row>
    <row r="450" spans="1:16" x14ac:dyDescent="0.15">
      <c r="A450" s="5" t="s">
        <v>1003</v>
      </c>
      <c r="B450" s="5" t="s">
        <v>1563</v>
      </c>
      <c r="C450" s="5" t="s">
        <v>1616</v>
      </c>
      <c r="D450" s="5" t="s">
        <v>1693</v>
      </c>
      <c r="E450" s="5" t="s">
        <v>43</v>
      </c>
      <c r="F450" s="12">
        <v>43760.696736111109</v>
      </c>
      <c r="G450" t="s">
        <v>8732</v>
      </c>
      <c r="H450" s="5" t="s">
        <v>1004</v>
      </c>
      <c r="I450" s="6">
        <v>485</v>
      </c>
      <c r="J450" s="5" t="s">
        <v>15</v>
      </c>
      <c r="K450" s="6">
        <v>7.94</v>
      </c>
      <c r="L450" s="6">
        <v>3850.9</v>
      </c>
      <c r="M450" s="5" t="s">
        <v>1560</v>
      </c>
      <c r="N450" s="5" t="s">
        <v>1558</v>
      </c>
      <c r="O450" s="13">
        <v>43760</v>
      </c>
      <c r="P450" t="s">
        <v>8732</v>
      </c>
    </row>
    <row r="451" spans="1:16" x14ac:dyDescent="0.15">
      <c r="A451" s="5" t="s">
        <v>1539</v>
      </c>
      <c r="B451" s="5" t="s">
        <v>1562</v>
      </c>
      <c r="C451" s="5" t="s">
        <v>1635</v>
      </c>
      <c r="D451" s="5" t="s">
        <v>1699</v>
      </c>
      <c r="E451" s="5" t="s">
        <v>43</v>
      </c>
      <c r="F451" s="12">
        <v>43769.736898148149</v>
      </c>
      <c r="G451" t="s">
        <v>8732</v>
      </c>
      <c r="H451" s="5" t="s">
        <v>1540</v>
      </c>
      <c r="I451" s="6">
        <v>-388</v>
      </c>
      <c r="J451" s="5" t="s">
        <v>15</v>
      </c>
      <c r="K451" s="6">
        <v>0.67</v>
      </c>
      <c r="L451" s="6">
        <v>-259.95999999999998</v>
      </c>
      <c r="M451" s="5" t="s">
        <v>1557</v>
      </c>
      <c r="N451" s="5" t="s">
        <v>1558</v>
      </c>
      <c r="O451" s="13">
        <v>43769</v>
      </c>
      <c r="P451" t="s">
        <v>8732</v>
      </c>
    </row>
    <row r="452" spans="1:16" x14ac:dyDescent="0.15">
      <c r="A452" s="5" t="s">
        <v>1047</v>
      </c>
      <c r="B452" s="5" t="s">
        <v>1563</v>
      </c>
      <c r="C452" s="5" t="s">
        <v>1585</v>
      </c>
      <c r="D452" s="5" t="s">
        <v>1693</v>
      </c>
      <c r="E452" s="5" t="s">
        <v>43</v>
      </c>
      <c r="F452" s="12">
        <v>43773.811180555553</v>
      </c>
      <c r="G452" t="s">
        <v>8734</v>
      </c>
      <c r="H452" s="5" t="s">
        <v>1048</v>
      </c>
      <c r="I452" s="6">
        <v>2667.5</v>
      </c>
      <c r="J452" s="5" t="s">
        <v>15</v>
      </c>
      <c r="K452" s="6">
        <v>7.5</v>
      </c>
      <c r="L452" s="6">
        <v>20006.25</v>
      </c>
      <c r="M452" s="5" t="s">
        <v>1560</v>
      </c>
      <c r="N452" s="5" t="s">
        <v>1558</v>
      </c>
      <c r="O452" s="13">
        <v>43773</v>
      </c>
      <c r="P452" t="s">
        <v>8734</v>
      </c>
    </row>
    <row r="453" spans="1:16" x14ac:dyDescent="0.15">
      <c r="A453" s="5" t="s">
        <v>1059</v>
      </c>
      <c r="B453" s="5" t="s">
        <v>1563</v>
      </c>
      <c r="C453" s="5" t="s">
        <v>1639</v>
      </c>
      <c r="D453" s="5" t="s">
        <v>1693</v>
      </c>
      <c r="E453" s="5" t="s">
        <v>43</v>
      </c>
      <c r="F453" s="12">
        <v>43775.716979166667</v>
      </c>
      <c r="G453" t="s">
        <v>8734</v>
      </c>
      <c r="H453" s="5" t="s">
        <v>1061</v>
      </c>
      <c r="I453" s="6">
        <v>2037</v>
      </c>
      <c r="J453" s="5" t="s">
        <v>15</v>
      </c>
      <c r="K453" s="6">
        <v>7</v>
      </c>
      <c r="L453" s="6">
        <v>14259</v>
      </c>
      <c r="M453" s="5" t="s">
        <v>1560</v>
      </c>
      <c r="N453" s="5" t="s">
        <v>1558</v>
      </c>
      <c r="O453" s="13">
        <v>43775</v>
      </c>
      <c r="P453" t="s">
        <v>8734</v>
      </c>
    </row>
    <row r="454" spans="1:16" x14ac:dyDescent="0.15">
      <c r="A454" s="5" t="s">
        <v>212</v>
      </c>
      <c r="B454" s="5" t="s">
        <v>1563</v>
      </c>
      <c r="C454" s="5" t="s">
        <v>1649</v>
      </c>
      <c r="D454" s="5" t="s">
        <v>1693</v>
      </c>
      <c r="E454" s="5" t="s">
        <v>43</v>
      </c>
      <c r="F454" s="12">
        <v>43776.797430555554</v>
      </c>
      <c r="G454" t="s">
        <v>8734</v>
      </c>
      <c r="H454" s="5" t="s">
        <v>1066</v>
      </c>
      <c r="I454" s="6">
        <v>145.5</v>
      </c>
      <c r="J454" s="5" t="s">
        <v>15</v>
      </c>
      <c r="K454" s="6">
        <v>10.18</v>
      </c>
      <c r="L454" s="6">
        <v>1481.19</v>
      </c>
      <c r="M454" s="5" t="s">
        <v>1560</v>
      </c>
      <c r="N454" s="5" t="s">
        <v>1558</v>
      </c>
      <c r="O454" s="13">
        <v>43776</v>
      </c>
      <c r="P454" t="s">
        <v>8734</v>
      </c>
    </row>
    <row r="455" spans="1:16" x14ac:dyDescent="0.15">
      <c r="A455" s="5" t="s">
        <v>213</v>
      </c>
      <c r="B455" s="5" t="s">
        <v>1563</v>
      </c>
      <c r="C455" s="5" t="s">
        <v>1588</v>
      </c>
      <c r="D455" s="5" t="s">
        <v>1693</v>
      </c>
      <c r="E455" s="5" t="s">
        <v>43</v>
      </c>
      <c r="F455" s="12">
        <v>43781.670740740738</v>
      </c>
      <c r="G455" t="s">
        <v>8734</v>
      </c>
      <c r="H455" s="5" t="s">
        <v>1067</v>
      </c>
      <c r="I455" s="6">
        <v>2085.5</v>
      </c>
      <c r="J455" s="5" t="s">
        <v>15</v>
      </c>
      <c r="K455" s="6">
        <v>7.5</v>
      </c>
      <c r="L455" s="6">
        <v>15641.25</v>
      </c>
      <c r="M455" s="5" t="s">
        <v>1560</v>
      </c>
      <c r="N455" s="5" t="s">
        <v>1558</v>
      </c>
      <c r="O455" s="13">
        <v>43777</v>
      </c>
      <c r="P455" t="s">
        <v>8734</v>
      </c>
    </row>
    <row r="456" spans="1:16" x14ac:dyDescent="0.15">
      <c r="A456" s="5" t="s">
        <v>214</v>
      </c>
      <c r="B456" s="5" t="s">
        <v>1563</v>
      </c>
      <c r="C456" s="5" t="s">
        <v>1648</v>
      </c>
      <c r="D456" s="5" t="s">
        <v>1693</v>
      </c>
      <c r="E456" s="5" t="s">
        <v>43</v>
      </c>
      <c r="F456" s="12">
        <v>43776.809837962966</v>
      </c>
      <c r="G456" t="s">
        <v>8734</v>
      </c>
      <c r="H456" s="5" t="s">
        <v>1069</v>
      </c>
      <c r="I456" s="6">
        <v>2425</v>
      </c>
      <c r="J456" s="5" t="s">
        <v>15</v>
      </c>
      <c r="K456" s="6">
        <v>7</v>
      </c>
      <c r="L456" s="6">
        <v>16975</v>
      </c>
      <c r="M456" s="5" t="s">
        <v>1560</v>
      </c>
      <c r="N456" s="5" t="s">
        <v>1558</v>
      </c>
      <c r="O456" s="13">
        <v>43776</v>
      </c>
      <c r="P456" t="s">
        <v>8734</v>
      </c>
    </row>
    <row r="457" spans="1:16" x14ac:dyDescent="0.15">
      <c r="A457" s="5" t="s">
        <v>217</v>
      </c>
      <c r="B457" s="5" t="s">
        <v>1563</v>
      </c>
      <c r="C457" s="5" t="s">
        <v>1642</v>
      </c>
      <c r="D457" s="5" t="s">
        <v>1693</v>
      </c>
      <c r="E457" s="5" t="s">
        <v>43</v>
      </c>
      <c r="F457" s="12">
        <v>43781.698252314818</v>
      </c>
      <c r="G457" t="s">
        <v>8734</v>
      </c>
      <c r="H457" s="5" t="s">
        <v>1074</v>
      </c>
      <c r="I457" s="6">
        <v>48.5</v>
      </c>
      <c r="J457" s="5" t="s">
        <v>15</v>
      </c>
      <c r="K457" s="6">
        <v>15.54</v>
      </c>
      <c r="L457" s="6">
        <v>753.68999999999994</v>
      </c>
      <c r="M457" s="5" t="s">
        <v>1560</v>
      </c>
      <c r="N457" s="5" t="s">
        <v>1558</v>
      </c>
      <c r="O457" s="13">
        <v>43777</v>
      </c>
      <c r="P457" t="s">
        <v>8734</v>
      </c>
    </row>
    <row r="458" spans="1:16" x14ac:dyDescent="0.15">
      <c r="A458" s="5" t="s">
        <v>1095</v>
      </c>
      <c r="B458" s="5" t="s">
        <v>1563</v>
      </c>
      <c r="C458" s="5" t="s">
        <v>1571</v>
      </c>
      <c r="D458" s="5" t="s">
        <v>1693</v>
      </c>
      <c r="E458" s="5" t="s">
        <v>43</v>
      </c>
      <c r="F458" s="12">
        <v>43790.615393518521</v>
      </c>
      <c r="G458" t="s">
        <v>8734</v>
      </c>
      <c r="H458" s="5" t="s">
        <v>1096</v>
      </c>
      <c r="I458" s="6">
        <v>145.5</v>
      </c>
      <c r="J458" s="5" t="s">
        <v>15</v>
      </c>
      <c r="K458" s="6">
        <v>7.8900000000000006</v>
      </c>
      <c r="L458" s="6">
        <v>1148</v>
      </c>
      <c r="M458" s="5" t="s">
        <v>1560</v>
      </c>
      <c r="N458" s="5" t="s">
        <v>1558</v>
      </c>
      <c r="O458" s="13">
        <v>43788</v>
      </c>
      <c r="P458" t="s">
        <v>8734</v>
      </c>
    </row>
    <row r="459" spans="1:16" x14ac:dyDescent="0.15">
      <c r="A459" s="5" t="s">
        <v>236</v>
      </c>
      <c r="B459" s="5" t="s">
        <v>1563</v>
      </c>
      <c r="C459" s="5" t="s">
        <v>1649</v>
      </c>
      <c r="D459" s="5" t="s">
        <v>1693</v>
      </c>
      <c r="E459" s="5" t="s">
        <v>43</v>
      </c>
      <c r="F459" s="12">
        <v>43796.613391203704</v>
      </c>
      <c r="G459" t="s">
        <v>8734</v>
      </c>
      <c r="H459" s="5" t="s">
        <v>1114</v>
      </c>
      <c r="I459" s="6">
        <v>194</v>
      </c>
      <c r="J459" s="5" t="s">
        <v>15</v>
      </c>
      <c r="K459" s="6">
        <v>8.5</v>
      </c>
      <c r="L459" s="6">
        <v>1649</v>
      </c>
      <c r="M459" s="5" t="s">
        <v>1560</v>
      </c>
      <c r="N459" s="5" t="s">
        <v>1558</v>
      </c>
      <c r="O459" s="13">
        <v>43795</v>
      </c>
      <c r="P459" t="s">
        <v>8734</v>
      </c>
    </row>
    <row r="460" spans="1:16" x14ac:dyDescent="0.15">
      <c r="A460" s="5" t="s">
        <v>240</v>
      </c>
      <c r="B460" s="5" t="s">
        <v>1563</v>
      </c>
      <c r="C460" s="5" t="s">
        <v>1652</v>
      </c>
      <c r="D460" s="5" t="s">
        <v>1693</v>
      </c>
      <c r="E460" s="5" t="s">
        <v>43</v>
      </c>
      <c r="F460" s="12">
        <v>43796.703877314816</v>
      </c>
      <c r="G460" t="s">
        <v>8734</v>
      </c>
      <c r="H460" s="5" t="s">
        <v>1119</v>
      </c>
      <c r="I460" s="6">
        <v>48.5</v>
      </c>
      <c r="J460" s="5" t="s">
        <v>15</v>
      </c>
      <c r="K460" s="6">
        <v>11.62</v>
      </c>
      <c r="L460" s="6">
        <v>563.56999999999994</v>
      </c>
      <c r="M460" s="5" t="s">
        <v>1560</v>
      </c>
      <c r="N460" s="5" t="s">
        <v>1558</v>
      </c>
      <c r="O460" s="13">
        <v>43796</v>
      </c>
      <c r="P460" t="s">
        <v>8734</v>
      </c>
    </row>
    <row r="461" spans="1:16" x14ac:dyDescent="0.15">
      <c r="A461" s="5" t="s">
        <v>246</v>
      </c>
      <c r="B461" s="5" t="s">
        <v>1563</v>
      </c>
      <c r="C461" s="5" t="s">
        <v>1653</v>
      </c>
      <c r="D461" s="5" t="s">
        <v>1693</v>
      </c>
      <c r="E461" s="5" t="s">
        <v>43</v>
      </c>
      <c r="F461" s="12">
        <v>43798.827800925923</v>
      </c>
      <c r="G461" t="s">
        <v>8734</v>
      </c>
      <c r="H461" s="5" t="s">
        <v>1133</v>
      </c>
      <c r="I461" s="6">
        <v>727.5</v>
      </c>
      <c r="J461" s="5" t="s">
        <v>15</v>
      </c>
      <c r="K461" s="6">
        <v>8.57</v>
      </c>
      <c r="L461" s="6">
        <v>6234.68</v>
      </c>
      <c r="M461" s="5" t="s">
        <v>1560</v>
      </c>
      <c r="N461" s="5" t="s">
        <v>1558</v>
      </c>
      <c r="O461" s="13">
        <v>43801</v>
      </c>
      <c r="P461" t="s">
        <v>8735</v>
      </c>
    </row>
    <row r="462" spans="1:16" x14ac:dyDescent="0.15">
      <c r="A462" s="5" t="s">
        <v>247</v>
      </c>
      <c r="B462" s="5" t="s">
        <v>1563</v>
      </c>
      <c r="C462" s="5" t="s">
        <v>1648</v>
      </c>
      <c r="D462" s="5" t="s">
        <v>1693</v>
      </c>
      <c r="E462" s="5" t="s">
        <v>43</v>
      </c>
      <c r="F462" s="12">
        <v>43801.62809027778</v>
      </c>
      <c r="G462" t="s">
        <v>8735</v>
      </c>
      <c r="H462" s="5" t="s">
        <v>1135</v>
      </c>
      <c r="I462" s="6">
        <v>3880</v>
      </c>
      <c r="J462" s="5" t="s">
        <v>15</v>
      </c>
      <c r="K462" s="6">
        <v>7</v>
      </c>
      <c r="L462" s="6">
        <v>27160</v>
      </c>
      <c r="M462" s="5" t="s">
        <v>1560</v>
      </c>
      <c r="N462" s="5" t="s">
        <v>1558</v>
      </c>
      <c r="O462" s="13">
        <v>43801</v>
      </c>
      <c r="P462" t="s">
        <v>8735</v>
      </c>
    </row>
    <row r="463" spans="1:16" x14ac:dyDescent="0.15">
      <c r="A463" s="5" t="s">
        <v>250</v>
      </c>
      <c r="B463" s="5" t="s">
        <v>1563</v>
      </c>
      <c r="C463" s="5" t="s">
        <v>1651</v>
      </c>
      <c r="D463" s="5" t="s">
        <v>1693</v>
      </c>
      <c r="E463" s="5" t="s">
        <v>43</v>
      </c>
      <c r="F463" s="12">
        <v>43801.658009259256</v>
      </c>
      <c r="G463" t="s">
        <v>8735</v>
      </c>
      <c r="H463" s="5" t="s">
        <v>1140</v>
      </c>
      <c r="I463" s="6">
        <v>339.5</v>
      </c>
      <c r="J463" s="5" t="s">
        <v>15</v>
      </c>
      <c r="K463" s="6">
        <v>7.5</v>
      </c>
      <c r="L463" s="6">
        <v>2546.25</v>
      </c>
      <c r="M463" s="5" t="s">
        <v>1560</v>
      </c>
      <c r="N463" s="5" t="s">
        <v>1558</v>
      </c>
      <c r="O463" s="13">
        <v>43801</v>
      </c>
      <c r="P463" t="s">
        <v>8735</v>
      </c>
    </row>
    <row r="464" spans="1:16" x14ac:dyDescent="0.15">
      <c r="A464" s="5" t="s">
        <v>1546</v>
      </c>
      <c r="B464" s="5" t="s">
        <v>1562</v>
      </c>
      <c r="C464" s="5" t="s">
        <v>1566</v>
      </c>
      <c r="D464" s="5" t="s">
        <v>1698</v>
      </c>
      <c r="E464" s="5" t="s">
        <v>43</v>
      </c>
      <c r="F464" s="12">
        <v>43803.724340277775</v>
      </c>
      <c r="G464" t="s">
        <v>8735</v>
      </c>
      <c r="H464" s="5" t="s">
        <v>1547</v>
      </c>
      <c r="I464" s="6">
        <v>-31040</v>
      </c>
      <c r="J464" s="5" t="s">
        <v>15</v>
      </c>
      <c r="K464" s="6">
        <v>0.67</v>
      </c>
      <c r="L464" s="6">
        <v>-20796.8</v>
      </c>
      <c r="M464" s="5" t="s">
        <v>1557</v>
      </c>
      <c r="N464" s="5" t="s">
        <v>1558</v>
      </c>
      <c r="O464" s="13">
        <v>43799</v>
      </c>
      <c r="P464" t="s">
        <v>8734</v>
      </c>
    </row>
    <row r="465" spans="1:16" x14ac:dyDescent="0.15">
      <c r="A465" s="5" t="s">
        <v>1546</v>
      </c>
      <c r="B465" s="5" t="s">
        <v>1562</v>
      </c>
      <c r="C465" s="5" t="s">
        <v>1566</v>
      </c>
      <c r="D465" s="5" t="s">
        <v>1698</v>
      </c>
      <c r="E465" s="5" t="s">
        <v>43</v>
      </c>
      <c r="F465" s="12">
        <v>43803.72488425926</v>
      </c>
      <c r="G465" t="s">
        <v>8735</v>
      </c>
      <c r="H465" s="5" t="s">
        <v>1549</v>
      </c>
      <c r="I465" s="6">
        <v>31040</v>
      </c>
      <c r="J465" s="5" t="s">
        <v>15</v>
      </c>
      <c r="K465" s="6">
        <v>0.67</v>
      </c>
      <c r="L465" s="6">
        <v>20796.8</v>
      </c>
      <c r="M465" s="5" t="s">
        <v>1557</v>
      </c>
      <c r="N465" s="5" t="s">
        <v>1558</v>
      </c>
      <c r="O465" s="13">
        <v>43799</v>
      </c>
      <c r="P465" t="s">
        <v>8734</v>
      </c>
    </row>
    <row r="466" spans="1:16" x14ac:dyDescent="0.15">
      <c r="A466" s="5" t="s">
        <v>1203</v>
      </c>
      <c r="B466" s="5" t="s">
        <v>1562</v>
      </c>
      <c r="C466" s="5" t="s">
        <v>1566</v>
      </c>
      <c r="D466" s="5" t="s">
        <v>1692</v>
      </c>
      <c r="E466" s="5" t="s">
        <v>57</v>
      </c>
      <c r="F466" s="12">
        <v>43523.786099537036</v>
      </c>
      <c r="G466" t="s">
        <v>8724</v>
      </c>
      <c r="H466" s="5" t="s">
        <v>1207</v>
      </c>
      <c r="I466" s="6">
        <v>3880</v>
      </c>
      <c r="J466" s="5" t="s">
        <v>15</v>
      </c>
      <c r="K466" s="6">
        <v>0.64</v>
      </c>
      <c r="L466" s="6">
        <v>2483.1999999999998</v>
      </c>
      <c r="M466" s="5" t="s">
        <v>1557</v>
      </c>
      <c r="N466" s="5" t="s">
        <v>1558</v>
      </c>
      <c r="O466" s="13">
        <v>43528</v>
      </c>
      <c r="P466" t="s">
        <v>8725</v>
      </c>
    </row>
    <row r="467" spans="1:16" x14ac:dyDescent="0.15">
      <c r="A467" s="5" t="s">
        <v>1227</v>
      </c>
      <c r="B467" s="5" t="s">
        <v>1562</v>
      </c>
      <c r="C467" s="5" t="s">
        <v>1566</v>
      </c>
      <c r="D467" s="5" t="s">
        <v>1692</v>
      </c>
      <c r="E467" s="5" t="s">
        <v>57</v>
      </c>
      <c r="F467" s="12">
        <v>43553.83394675926</v>
      </c>
      <c r="G467" t="s">
        <v>8725</v>
      </c>
      <c r="H467" s="5" t="s">
        <v>1228</v>
      </c>
      <c r="I467" s="6">
        <v>7760</v>
      </c>
      <c r="J467" s="5" t="s">
        <v>15</v>
      </c>
      <c r="K467" s="6">
        <v>0.64</v>
      </c>
      <c r="L467" s="6">
        <v>4966.3999999999996</v>
      </c>
      <c r="M467" s="5" t="s">
        <v>1557</v>
      </c>
      <c r="N467" s="5" t="s">
        <v>1558</v>
      </c>
      <c r="O467" s="13">
        <v>43563</v>
      </c>
      <c r="P467" t="s">
        <v>8726</v>
      </c>
    </row>
    <row r="468" spans="1:16" x14ac:dyDescent="0.15">
      <c r="A468" s="5" t="s">
        <v>1269</v>
      </c>
      <c r="B468" s="5" t="s">
        <v>1562</v>
      </c>
      <c r="C468" s="5" t="s">
        <v>1566</v>
      </c>
      <c r="D468" s="5" t="s">
        <v>1692</v>
      </c>
      <c r="E468" s="5" t="s">
        <v>57</v>
      </c>
      <c r="F468" s="12">
        <v>43664.738437499997</v>
      </c>
      <c r="G468" t="s">
        <v>8729</v>
      </c>
      <c r="H468" s="5" t="s">
        <v>1272</v>
      </c>
      <c r="I468" s="6">
        <v>5820</v>
      </c>
      <c r="J468" s="5" t="s">
        <v>15</v>
      </c>
      <c r="K468" s="6">
        <v>0.64</v>
      </c>
      <c r="L468" s="6">
        <v>3724.8</v>
      </c>
      <c r="M468" s="5" t="s">
        <v>1557</v>
      </c>
      <c r="N468" s="5" t="s">
        <v>1558</v>
      </c>
      <c r="O468" s="13">
        <v>43682</v>
      </c>
      <c r="P468" t="s">
        <v>8730</v>
      </c>
    </row>
    <row r="469" spans="1:16" x14ac:dyDescent="0.15">
      <c r="A469" s="5" t="s">
        <v>1289</v>
      </c>
      <c r="B469" s="5" t="s">
        <v>1562</v>
      </c>
      <c r="C469" s="5" t="s">
        <v>1566</v>
      </c>
      <c r="D469" s="5" t="s">
        <v>1692</v>
      </c>
      <c r="E469" s="5" t="s">
        <v>57</v>
      </c>
      <c r="F469" s="12">
        <v>43731.837673611109</v>
      </c>
      <c r="G469" t="s">
        <v>8731</v>
      </c>
      <c r="H469" s="5" t="s">
        <v>1295</v>
      </c>
      <c r="I469" s="6">
        <v>3880</v>
      </c>
      <c r="J469" s="5" t="s">
        <v>15</v>
      </c>
      <c r="K469" s="6">
        <v>0.64</v>
      </c>
      <c r="L469" s="6">
        <v>2483.1999999999998</v>
      </c>
      <c r="M469" s="5" t="s">
        <v>1557</v>
      </c>
      <c r="N469" s="5" t="s">
        <v>1558</v>
      </c>
      <c r="O469" s="13">
        <v>43745</v>
      </c>
      <c r="P469" t="s">
        <v>8732</v>
      </c>
    </row>
    <row r="470" spans="1:16" x14ac:dyDescent="0.15">
      <c r="A470" s="5" t="s">
        <v>1296</v>
      </c>
      <c r="B470" s="5" t="s">
        <v>1562</v>
      </c>
      <c r="C470" s="5" t="s">
        <v>1566</v>
      </c>
      <c r="D470" s="5" t="s">
        <v>1692</v>
      </c>
      <c r="E470" s="5" t="s">
        <v>57</v>
      </c>
      <c r="F470" s="12">
        <v>43762.744212962964</v>
      </c>
      <c r="G470" t="s">
        <v>8732</v>
      </c>
      <c r="H470" s="5" t="s">
        <v>1299</v>
      </c>
      <c r="I470" s="6">
        <v>1940</v>
      </c>
      <c r="J470" s="5" t="s">
        <v>15</v>
      </c>
      <c r="K470" s="6">
        <v>0.64</v>
      </c>
      <c r="L470" s="6">
        <v>1241.5999999999999</v>
      </c>
      <c r="M470" s="5" t="s">
        <v>1557</v>
      </c>
      <c r="N470" s="5" t="s">
        <v>1558</v>
      </c>
      <c r="O470" s="13">
        <v>43766</v>
      </c>
      <c r="P470" t="s">
        <v>8732</v>
      </c>
    </row>
    <row r="471" spans="1:16" x14ac:dyDescent="0.15">
      <c r="A471" s="5" t="s">
        <v>1314</v>
      </c>
      <c r="B471" s="5" t="s">
        <v>1562</v>
      </c>
      <c r="C471" s="5" t="s">
        <v>1566</v>
      </c>
      <c r="D471" s="5" t="s">
        <v>1694</v>
      </c>
      <c r="E471" s="5" t="s">
        <v>57</v>
      </c>
      <c r="F471" s="12">
        <v>43623.78979166667</v>
      </c>
      <c r="G471" t="s">
        <v>8728</v>
      </c>
      <c r="H471" s="5" t="s">
        <v>1317</v>
      </c>
      <c r="I471" s="6">
        <v>2134</v>
      </c>
      <c r="J471" s="5" t="s">
        <v>15</v>
      </c>
      <c r="K471" s="6">
        <v>0.64</v>
      </c>
      <c r="L471" s="6">
        <v>1365.76</v>
      </c>
      <c r="M471" s="5" t="s">
        <v>1557</v>
      </c>
      <c r="N471" s="5" t="s">
        <v>1558</v>
      </c>
      <c r="O471" s="13">
        <v>43633</v>
      </c>
      <c r="P471" t="s">
        <v>8728</v>
      </c>
    </row>
    <row r="472" spans="1:16" x14ac:dyDescent="0.15">
      <c r="A472" s="5" t="s">
        <v>1319</v>
      </c>
      <c r="B472" s="5" t="s">
        <v>1562</v>
      </c>
      <c r="C472" s="5" t="s">
        <v>1566</v>
      </c>
      <c r="D472" s="5" t="s">
        <v>1694</v>
      </c>
      <c r="E472" s="5" t="s">
        <v>57</v>
      </c>
      <c r="F472" s="12">
        <v>43640.956712962965</v>
      </c>
      <c r="G472" t="s">
        <v>8728</v>
      </c>
      <c r="H472" s="5" t="s">
        <v>1322</v>
      </c>
      <c r="I472" s="6">
        <v>2134</v>
      </c>
      <c r="J472" s="5" t="s">
        <v>15</v>
      </c>
      <c r="K472" s="6">
        <v>0.64</v>
      </c>
      <c r="L472" s="6">
        <v>1365.76</v>
      </c>
      <c r="M472" s="5" t="s">
        <v>1557</v>
      </c>
      <c r="N472" s="5" t="s">
        <v>1558</v>
      </c>
      <c r="O472" s="13">
        <v>43641</v>
      </c>
      <c r="P472" t="s">
        <v>8728</v>
      </c>
    </row>
    <row r="473" spans="1:16" x14ac:dyDescent="0.15">
      <c r="A473" s="5" t="s">
        <v>302</v>
      </c>
      <c r="B473" s="5" t="s">
        <v>1563</v>
      </c>
      <c r="C473" s="5" t="s">
        <v>1586</v>
      </c>
      <c r="D473" s="5" t="s">
        <v>1693</v>
      </c>
      <c r="E473" s="5" t="s">
        <v>57</v>
      </c>
      <c r="F473" s="12">
        <v>43535.864965277775</v>
      </c>
      <c r="G473" t="s">
        <v>8725</v>
      </c>
      <c r="H473" s="5" t="s">
        <v>303</v>
      </c>
      <c r="I473" s="6">
        <v>48.5</v>
      </c>
      <c r="J473" s="5" t="s">
        <v>15</v>
      </c>
      <c r="K473" s="6">
        <v>10.66</v>
      </c>
      <c r="L473" s="6">
        <v>517.01</v>
      </c>
      <c r="M473" s="5" t="s">
        <v>1560</v>
      </c>
      <c r="N473" s="5" t="s">
        <v>1558</v>
      </c>
      <c r="O473" s="13">
        <v>43535</v>
      </c>
      <c r="P473" t="s">
        <v>8725</v>
      </c>
    </row>
    <row r="474" spans="1:16" x14ac:dyDescent="0.15">
      <c r="A474" s="5" t="s">
        <v>524</v>
      </c>
      <c r="B474" s="5" t="s">
        <v>1562</v>
      </c>
      <c r="C474" s="5" t="s">
        <v>1566</v>
      </c>
      <c r="D474" s="5" t="s">
        <v>1698</v>
      </c>
      <c r="E474" s="5" t="s">
        <v>57</v>
      </c>
      <c r="F474" s="12">
        <v>43640.845694444448</v>
      </c>
      <c r="G474" t="s">
        <v>8728</v>
      </c>
      <c r="H474" s="5" t="s">
        <v>1532</v>
      </c>
      <c r="I474" s="6">
        <v>-2134</v>
      </c>
      <c r="J474" s="5" t="s">
        <v>15</v>
      </c>
      <c r="K474" s="6">
        <v>0.64</v>
      </c>
      <c r="L474" s="6">
        <v>-1365.76</v>
      </c>
      <c r="M474" s="5" t="s">
        <v>1557</v>
      </c>
      <c r="N474" s="5" t="s">
        <v>1558</v>
      </c>
      <c r="O474" s="13">
        <v>43640</v>
      </c>
      <c r="P474" t="s">
        <v>8728</v>
      </c>
    </row>
    <row r="475" spans="1:16" x14ac:dyDescent="0.15">
      <c r="A475" s="5" t="s">
        <v>581</v>
      </c>
      <c r="B475" s="5" t="s">
        <v>1563</v>
      </c>
      <c r="C475" s="5" t="s">
        <v>1572</v>
      </c>
      <c r="D475" s="5" t="s">
        <v>1693</v>
      </c>
      <c r="E475" s="5" t="s">
        <v>57</v>
      </c>
      <c r="F475" s="12">
        <v>43658.829131944447</v>
      </c>
      <c r="G475" t="s">
        <v>8729</v>
      </c>
      <c r="H475" s="5" t="s">
        <v>584</v>
      </c>
      <c r="I475" s="6">
        <v>1503.5</v>
      </c>
      <c r="J475" s="5" t="s">
        <v>15</v>
      </c>
      <c r="K475" s="6">
        <v>7</v>
      </c>
      <c r="L475" s="6">
        <v>10524.5</v>
      </c>
      <c r="M475" s="5" t="s">
        <v>1560</v>
      </c>
      <c r="N475" s="5" t="s">
        <v>1558</v>
      </c>
      <c r="O475" s="13">
        <v>43658</v>
      </c>
      <c r="P475" t="s">
        <v>8729</v>
      </c>
    </row>
    <row r="476" spans="1:16" x14ac:dyDescent="0.15">
      <c r="A476" s="5" t="s">
        <v>153</v>
      </c>
      <c r="B476" s="5" t="s">
        <v>1563</v>
      </c>
      <c r="C476" s="5" t="s">
        <v>1588</v>
      </c>
      <c r="D476" s="5" t="s">
        <v>1693</v>
      </c>
      <c r="E476" s="5" t="s">
        <v>57</v>
      </c>
      <c r="F476" s="12">
        <v>43740.852187500001</v>
      </c>
      <c r="G476" t="s">
        <v>8732</v>
      </c>
      <c r="H476" s="5" t="s">
        <v>923</v>
      </c>
      <c r="I476" s="6">
        <v>582</v>
      </c>
      <c r="J476" s="5" t="s">
        <v>15</v>
      </c>
      <c r="K476" s="6">
        <v>7.5</v>
      </c>
      <c r="L476" s="6">
        <v>4365</v>
      </c>
      <c r="M476" s="5" t="s">
        <v>1560</v>
      </c>
      <c r="N476" s="5" t="s">
        <v>1558</v>
      </c>
      <c r="O476" s="13">
        <v>43739</v>
      </c>
      <c r="P476" t="s">
        <v>8732</v>
      </c>
    </row>
    <row r="477" spans="1:16" x14ac:dyDescent="0.15">
      <c r="A477" s="5" t="s">
        <v>219</v>
      </c>
      <c r="B477" s="5" t="s">
        <v>1563</v>
      </c>
      <c r="C477" s="5" t="s">
        <v>1572</v>
      </c>
      <c r="D477" s="5" t="s">
        <v>1693</v>
      </c>
      <c r="E477" s="5" t="s">
        <v>57</v>
      </c>
      <c r="F477" s="12">
        <v>43782.64775462963</v>
      </c>
      <c r="G477" t="s">
        <v>8734</v>
      </c>
      <c r="H477" s="5" t="s">
        <v>1076</v>
      </c>
      <c r="I477" s="6">
        <v>2037</v>
      </c>
      <c r="J477" s="5" t="s">
        <v>15</v>
      </c>
      <c r="K477" s="6">
        <v>7.5</v>
      </c>
      <c r="L477" s="6">
        <v>15277.5</v>
      </c>
      <c r="M477" s="5" t="s">
        <v>1560</v>
      </c>
      <c r="N477" s="5" t="s">
        <v>1558</v>
      </c>
      <c r="O477" s="13">
        <v>43781</v>
      </c>
      <c r="P477" t="s">
        <v>8734</v>
      </c>
    </row>
    <row r="478" spans="1:16" x14ac:dyDescent="0.15">
      <c r="A478" s="5" t="s">
        <v>1219</v>
      </c>
      <c r="B478" s="5" t="s">
        <v>1562</v>
      </c>
      <c r="C478" s="5" t="s">
        <v>1566</v>
      </c>
      <c r="D478" s="5" t="s">
        <v>1707</v>
      </c>
      <c r="E478" s="5" t="s">
        <v>148</v>
      </c>
      <c r="F478" s="12">
        <v>43532.737268518518</v>
      </c>
      <c r="G478" t="s">
        <v>8725</v>
      </c>
      <c r="H478" s="5" t="s">
        <v>1220</v>
      </c>
      <c r="I478" s="6">
        <v>12610</v>
      </c>
      <c r="J478" s="5" t="s">
        <v>15</v>
      </c>
      <c r="K478" s="6">
        <v>0.75</v>
      </c>
      <c r="L478" s="6">
        <v>9457.5</v>
      </c>
      <c r="M478" s="5" t="s">
        <v>1557</v>
      </c>
      <c r="N478" s="5" t="s">
        <v>1558</v>
      </c>
      <c r="O478" s="13">
        <v>43536</v>
      </c>
      <c r="P478" t="s">
        <v>8725</v>
      </c>
    </row>
    <row r="479" spans="1:16" x14ac:dyDescent="0.15">
      <c r="A479" s="5" t="s">
        <v>1223</v>
      </c>
      <c r="B479" s="5" t="s">
        <v>1562</v>
      </c>
      <c r="C479" s="5" t="s">
        <v>1566</v>
      </c>
      <c r="D479" s="5" t="s">
        <v>1692</v>
      </c>
      <c r="E479" s="5" t="s">
        <v>148</v>
      </c>
      <c r="F479" s="12">
        <v>43553.833032407405</v>
      </c>
      <c r="G479" t="s">
        <v>8725</v>
      </c>
      <c r="H479" s="5" t="s">
        <v>1224</v>
      </c>
      <c r="I479" s="6">
        <v>7275</v>
      </c>
      <c r="J479" s="5" t="s">
        <v>15</v>
      </c>
      <c r="K479" s="6">
        <v>0.75</v>
      </c>
      <c r="L479" s="6">
        <v>5456.25</v>
      </c>
      <c r="M479" s="5" t="s">
        <v>1557</v>
      </c>
      <c r="N479" s="5" t="s">
        <v>1558</v>
      </c>
      <c r="O479" s="13">
        <v>43563</v>
      </c>
      <c r="P479" t="s">
        <v>8726</v>
      </c>
    </row>
    <row r="480" spans="1:16" x14ac:dyDescent="0.15">
      <c r="A480" s="5" t="s">
        <v>1235</v>
      </c>
      <c r="B480" s="5" t="s">
        <v>1562</v>
      </c>
      <c r="C480" s="5" t="s">
        <v>1566</v>
      </c>
      <c r="D480" s="5" t="s">
        <v>1707</v>
      </c>
      <c r="E480" s="5" t="s">
        <v>148</v>
      </c>
      <c r="F480" s="12">
        <v>43584.655682870369</v>
      </c>
      <c r="G480" t="s">
        <v>8726</v>
      </c>
      <c r="H480" s="5" t="s">
        <v>1236</v>
      </c>
      <c r="I480" s="6">
        <v>7275</v>
      </c>
      <c r="J480" s="5" t="s">
        <v>15</v>
      </c>
      <c r="K480" s="6">
        <v>0.75</v>
      </c>
      <c r="L480" s="6">
        <v>5456.25</v>
      </c>
      <c r="M480" s="5" t="s">
        <v>1557</v>
      </c>
      <c r="N480" s="5" t="s">
        <v>1558</v>
      </c>
      <c r="O480" s="13">
        <v>43591</v>
      </c>
      <c r="P480" t="s">
        <v>8727</v>
      </c>
    </row>
    <row r="481" spans="1:16" x14ac:dyDescent="0.15">
      <c r="A481" s="5" t="s">
        <v>1237</v>
      </c>
      <c r="B481" s="5" t="s">
        <v>1562</v>
      </c>
      <c r="C481" s="5" t="s">
        <v>1566</v>
      </c>
      <c r="D481" s="5" t="s">
        <v>1700</v>
      </c>
      <c r="E481" s="5" t="s">
        <v>148</v>
      </c>
      <c r="F481" s="12">
        <v>43585.908587962964</v>
      </c>
      <c r="G481" t="s">
        <v>8726</v>
      </c>
      <c r="H481" s="5" t="s">
        <v>1238</v>
      </c>
      <c r="I481" s="6">
        <v>10670</v>
      </c>
      <c r="J481" s="5" t="s">
        <v>15</v>
      </c>
      <c r="K481" s="6">
        <v>0.75</v>
      </c>
      <c r="L481" s="6">
        <v>8002.5</v>
      </c>
      <c r="M481" s="5" t="s">
        <v>1557</v>
      </c>
      <c r="N481" s="5" t="s">
        <v>1558</v>
      </c>
      <c r="O481" s="13">
        <v>43591</v>
      </c>
      <c r="P481" t="s">
        <v>8727</v>
      </c>
    </row>
    <row r="482" spans="1:16" x14ac:dyDescent="0.15">
      <c r="A482" s="5" t="s">
        <v>1245</v>
      </c>
      <c r="B482" s="5" t="s">
        <v>1562</v>
      </c>
      <c r="C482" s="5" t="s">
        <v>1566</v>
      </c>
      <c r="D482" s="5" t="s">
        <v>1692</v>
      </c>
      <c r="E482" s="5" t="s">
        <v>148</v>
      </c>
      <c r="F482" s="12">
        <v>43608.741435185184</v>
      </c>
      <c r="G482" t="s">
        <v>8727</v>
      </c>
      <c r="H482" s="5" t="s">
        <v>1246</v>
      </c>
      <c r="I482" s="6">
        <v>2910</v>
      </c>
      <c r="J482" s="5" t="s">
        <v>15</v>
      </c>
      <c r="K482" s="6">
        <v>0.75</v>
      </c>
      <c r="L482" s="6">
        <v>2182.5</v>
      </c>
      <c r="M482" s="5" t="s">
        <v>1557</v>
      </c>
      <c r="N482" s="5" t="s">
        <v>1558</v>
      </c>
      <c r="O482" s="13">
        <v>43619</v>
      </c>
      <c r="P482" t="s">
        <v>8728</v>
      </c>
    </row>
    <row r="483" spans="1:16" x14ac:dyDescent="0.15">
      <c r="A483" s="5" t="s">
        <v>1255</v>
      </c>
      <c r="B483" s="5" t="s">
        <v>1562</v>
      </c>
      <c r="C483" s="5" t="s">
        <v>1566</v>
      </c>
      <c r="D483" s="5" t="s">
        <v>1692</v>
      </c>
      <c r="E483" s="5" t="s">
        <v>148</v>
      </c>
      <c r="F483" s="12">
        <v>43620.711886574078</v>
      </c>
      <c r="G483" t="s">
        <v>8728</v>
      </c>
      <c r="H483" s="5" t="s">
        <v>1257</v>
      </c>
      <c r="I483" s="6">
        <v>8730</v>
      </c>
      <c r="J483" s="5" t="s">
        <v>15</v>
      </c>
      <c r="K483" s="6">
        <v>0.75</v>
      </c>
      <c r="L483" s="6">
        <v>6547.5</v>
      </c>
      <c r="M483" s="5" t="s">
        <v>1557</v>
      </c>
      <c r="N483" s="5" t="s">
        <v>1558</v>
      </c>
      <c r="O483" s="13">
        <v>43647</v>
      </c>
      <c r="P483" t="s">
        <v>8729</v>
      </c>
    </row>
    <row r="484" spans="1:16" x14ac:dyDescent="0.15">
      <c r="A484" s="5" t="s">
        <v>1266</v>
      </c>
      <c r="B484" s="5" t="s">
        <v>1562</v>
      </c>
      <c r="C484" s="5" t="s">
        <v>1566</v>
      </c>
      <c r="D484" s="5" t="s">
        <v>1692</v>
      </c>
      <c r="E484" s="5" t="s">
        <v>148</v>
      </c>
      <c r="F484" s="12">
        <v>43657.625671296293</v>
      </c>
      <c r="G484" t="s">
        <v>8729</v>
      </c>
      <c r="H484" s="5" t="s">
        <v>1268</v>
      </c>
      <c r="I484" s="6">
        <v>8730</v>
      </c>
      <c r="J484" s="5" t="s">
        <v>15</v>
      </c>
      <c r="K484" s="6">
        <v>0.75</v>
      </c>
      <c r="L484" s="6">
        <v>6547.5</v>
      </c>
      <c r="M484" s="5" t="s">
        <v>1557</v>
      </c>
      <c r="N484" s="5" t="s">
        <v>1558</v>
      </c>
      <c r="O484" s="13">
        <v>43657</v>
      </c>
      <c r="P484" t="s">
        <v>8729</v>
      </c>
    </row>
    <row r="485" spans="1:16" x14ac:dyDescent="0.15">
      <c r="A485" s="5" t="s">
        <v>1275</v>
      </c>
      <c r="B485" s="5" t="s">
        <v>1562</v>
      </c>
      <c r="C485" s="5" t="s">
        <v>1566</v>
      </c>
      <c r="D485" s="5" t="s">
        <v>1707</v>
      </c>
      <c r="E485" s="5" t="s">
        <v>148</v>
      </c>
      <c r="F485" s="12">
        <v>43668.550578703704</v>
      </c>
      <c r="G485" t="s">
        <v>8729</v>
      </c>
      <c r="H485" s="5" t="s">
        <v>1276</v>
      </c>
      <c r="I485" s="6">
        <v>10767</v>
      </c>
      <c r="J485" s="5" t="s">
        <v>15</v>
      </c>
      <c r="K485" s="6">
        <v>0.75</v>
      </c>
      <c r="L485" s="6">
        <v>8075.25</v>
      </c>
      <c r="M485" s="5" t="s">
        <v>1557</v>
      </c>
      <c r="N485" s="5" t="s">
        <v>1558</v>
      </c>
      <c r="O485" s="13">
        <v>43682</v>
      </c>
      <c r="P485" t="s">
        <v>8730</v>
      </c>
    </row>
    <row r="486" spans="1:16" x14ac:dyDescent="0.15">
      <c r="A486" s="5" t="s">
        <v>1534</v>
      </c>
      <c r="B486" s="5" t="s">
        <v>1562</v>
      </c>
      <c r="C486" s="5" t="s">
        <v>1566</v>
      </c>
      <c r="D486" s="5" t="s">
        <v>1692</v>
      </c>
      <c r="E486" s="5" t="s">
        <v>148</v>
      </c>
      <c r="F486" s="12">
        <v>43655.621192129627</v>
      </c>
      <c r="G486" t="s">
        <v>8729</v>
      </c>
      <c r="H486" s="5" t="s">
        <v>1536</v>
      </c>
      <c r="I486" s="6">
        <v>-8730</v>
      </c>
      <c r="J486" s="5" t="s">
        <v>15</v>
      </c>
      <c r="K486" s="6">
        <v>0.75</v>
      </c>
      <c r="L486" s="6">
        <v>-6547.5</v>
      </c>
      <c r="M486" s="5" t="s">
        <v>1557</v>
      </c>
      <c r="N486" s="5" t="s">
        <v>1558</v>
      </c>
      <c r="O486" s="13">
        <v>43655</v>
      </c>
      <c r="P486" t="s">
        <v>8729</v>
      </c>
    </row>
    <row r="487" spans="1:16" x14ac:dyDescent="0.15">
      <c r="A487" s="5" t="s">
        <v>1372</v>
      </c>
      <c r="B487" s="5" t="s">
        <v>1562</v>
      </c>
      <c r="C487" s="5" t="s">
        <v>1566</v>
      </c>
      <c r="D487" s="5" t="s">
        <v>1695</v>
      </c>
      <c r="E487" s="5" t="s">
        <v>66</v>
      </c>
      <c r="F487" s="12">
        <v>43656.936365740738</v>
      </c>
      <c r="G487" t="s">
        <v>8729</v>
      </c>
      <c r="H487" s="5" t="s">
        <v>1373</v>
      </c>
      <c r="I487" s="6">
        <v>5820</v>
      </c>
      <c r="J487" s="5" t="s">
        <v>15</v>
      </c>
      <c r="K487" s="6">
        <v>0.49</v>
      </c>
      <c r="L487" s="6">
        <v>2851.8</v>
      </c>
      <c r="M487" s="5" t="s">
        <v>1557</v>
      </c>
      <c r="N487" s="5" t="s">
        <v>1558</v>
      </c>
      <c r="O487" s="13">
        <v>43661</v>
      </c>
      <c r="P487" t="s">
        <v>8729</v>
      </c>
    </row>
    <row r="488" spans="1:16" x14ac:dyDescent="0.15">
      <c r="A488" s="5" t="s">
        <v>1177</v>
      </c>
      <c r="B488" s="5" t="s">
        <v>1562</v>
      </c>
      <c r="C488" s="5" t="s">
        <v>1584</v>
      </c>
      <c r="D488" s="5" t="s">
        <v>1699</v>
      </c>
      <c r="E488" s="5" t="s">
        <v>42</v>
      </c>
      <c r="F488" s="12">
        <v>43572.882337962961</v>
      </c>
      <c r="G488" t="s">
        <v>8726</v>
      </c>
      <c r="H488" s="5" t="s">
        <v>1178</v>
      </c>
      <c r="I488" s="6">
        <v>300</v>
      </c>
      <c r="J488" s="5" t="s">
        <v>15</v>
      </c>
      <c r="K488" s="6">
        <v>0.71</v>
      </c>
      <c r="L488" s="6">
        <v>213</v>
      </c>
      <c r="M488" s="5" t="s">
        <v>1557</v>
      </c>
      <c r="N488" s="5" t="s">
        <v>1558</v>
      </c>
      <c r="O488" s="13">
        <v>43573</v>
      </c>
      <c r="P488" t="s">
        <v>8726</v>
      </c>
    </row>
    <row r="489" spans="1:16" x14ac:dyDescent="0.15">
      <c r="A489" s="5" t="s">
        <v>1183</v>
      </c>
      <c r="B489" s="5" t="s">
        <v>1562</v>
      </c>
      <c r="C489" s="5" t="s">
        <v>1584</v>
      </c>
      <c r="D489" s="5" t="s">
        <v>1699</v>
      </c>
      <c r="E489" s="5" t="s">
        <v>42</v>
      </c>
      <c r="F489" s="12">
        <v>43641.661469907405</v>
      </c>
      <c r="G489" t="s">
        <v>8728</v>
      </c>
      <c r="H489" s="5" t="s">
        <v>1184</v>
      </c>
      <c r="I489" s="6">
        <v>3000</v>
      </c>
      <c r="J489" s="5" t="s">
        <v>15</v>
      </c>
      <c r="K489" s="6">
        <v>0.71</v>
      </c>
      <c r="L489" s="6">
        <v>2130</v>
      </c>
      <c r="M489" s="5" t="s">
        <v>1557</v>
      </c>
      <c r="N489" s="5" t="s">
        <v>1558</v>
      </c>
      <c r="O489" s="13">
        <v>43642</v>
      </c>
      <c r="P489" t="s">
        <v>8728</v>
      </c>
    </row>
    <row r="490" spans="1:16" x14ac:dyDescent="0.15">
      <c r="A490" s="5" t="s">
        <v>1189</v>
      </c>
      <c r="B490" s="5" t="s">
        <v>1562</v>
      </c>
      <c r="C490" s="5" t="s">
        <v>1584</v>
      </c>
      <c r="D490" s="5" t="s">
        <v>1699</v>
      </c>
      <c r="E490" s="5" t="s">
        <v>42</v>
      </c>
      <c r="F490" s="12">
        <v>43682.689004629632</v>
      </c>
      <c r="G490" t="s">
        <v>8730</v>
      </c>
      <c r="H490" s="5" t="s">
        <v>1190</v>
      </c>
      <c r="I490" s="6">
        <v>7875</v>
      </c>
      <c r="J490" s="5" t="s">
        <v>15</v>
      </c>
      <c r="K490" s="6">
        <v>0.71</v>
      </c>
      <c r="L490" s="6">
        <v>5591.25</v>
      </c>
      <c r="M490" s="5" t="s">
        <v>1557</v>
      </c>
      <c r="N490" s="5" t="s">
        <v>1558</v>
      </c>
      <c r="O490" s="13">
        <v>43686</v>
      </c>
      <c r="P490" t="s">
        <v>8730</v>
      </c>
    </row>
    <row r="491" spans="1:16" x14ac:dyDescent="0.15">
      <c r="A491" s="5" t="s">
        <v>1296</v>
      </c>
      <c r="B491" s="5" t="s">
        <v>1562</v>
      </c>
      <c r="C491" s="5" t="s">
        <v>1566</v>
      </c>
      <c r="D491" s="5" t="s">
        <v>1692</v>
      </c>
      <c r="E491" s="5" t="s">
        <v>42</v>
      </c>
      <c r="F491" s="12">
        <v>43762.74422453704</v>
      </c>
      <c r="G491" t="s">
        <v>8732</v>
      </c>
      <c r="H491" s="5" t="s">
        <v>1300</v>
      </c>
      <c r="I491" s="6">
        <v>3000</v>
      </c>
      <c r="J491" s="5" t="s">
        <v>15</v>
      </c>
      <c r="K491" s="6">
        <v>0.72</v>
      </c>
      <c r="L491" s="6">
        <v>2160</v>
      </c>
      <c r="M491" s="5" t="s">
        <v>1557</v>
      </c>
      <c r="N491" s="5" t="s">
        <v>1558</v>
      </c>
      <c r="O491" s="13">
        <v>43766</v>
      </c>
      <c r="P491" t="s">
        <v>8732</v>
      </c>
    </row>
    <row r="492" spans="1:16" x14ac:dyDescent="0.15">
      <c r="A492" s="5" t="s">
        <v>1456</v>
      </c>
      <c r="B492" s="5" t="s">
        <v>1562</v>
      </c>
      <c r="C492" s="5" t="s">
        <v>1566</v>
      </c>
      <c r="D492" s="5" t="s">
        <v>1697</v>
      </c>
      <c r="E492" s="5" t="s">
        <v>42</v>
      </c>
      <c r="F492" s="12">
        <v>43696.803587962961</v>
      </c>
      <c r="G492" t="s">
        <v>8730</v>
      </c>
      <c r="H492" s="5" t="s">
        <v>1458</v>
      </c>
      <c r="I492" s="6">
        <v>3000</v>
      </c>
      <c r="J492" s="5" t="s">
        <v>15</v>
      </c>
      <c r="K492" s="6">
        <v>0.71</v>
      </c>
      <c r="L492" s="6">
        <v>2130</v>
      </c>
      <c r="M492" s="5" t="s">
        <v>1557</v>
      </c>
      <c r="N492" s="5" t="s">
        <v>1558</v>
      </c>
      <c r="O492" s="13">
        <v>43710</v>
      </c>
      <c r="P492" t="s">
        <v>8731</v>
      </c>
    </row>
    <row r="493" spans="1:16" x14ac:dyDescent="0.15">
      <c r="A493" s="5" t="s">
        <v>1460</v>
      </c>
      <c r="B493" s="5" t="s">
        <v>1562</v>
      </c>
      <c r="C493" s="5" t="s">
        <v>1566</v>
      </c>
      <c r="D493" s="5" t="s">
        <v>1701</v>
      </c>
      <c r="E493" s="5" t="s">
        <v>42</v>
      </c>
      <c r="F493" s="12">
        <v>43724.713738425926</v>
      </c>
      <c r="G493" t="s">
        <v>8731</v>
      </c>
      <c r="H493" s="5" t="s">
        <v>1462</v>
      </c>
      <c r="I493" s="6">
        <v>1500</v>
      </c>
      <c r="J493" s="5" t="s">
        <v>15</v>
      </c>
      <c r="K493" s="6">
        <v>0.71</v>
      </c>
      <c r="L493" s="6">
        <v>1065</v>
      </c>
      <c r="M493" s="5" t="s">
        <v>1557</v>
      </c>
      <c r="N493" s="5" t="s">
        <v>1558</v>
      </c>
      <c r="O493" s="13">
        <v>43732</v>
      </c>
      <c r="P493" t="s">
        <v>8731</v>
      </c>
    </row>
    <row r="494" spans="1:16" x14ac:dyDescent="0.15">
      <c r="A494" s="5" t="s">
        <v>1468</v>
      </c>
      <c r="B494" s="5" t="s">
        <v>1562</v>
      </c>
      <c r="C494" s="5" t="s">
        <v>1566</v>
      </c>
      <c r="D494" s="5" t="s">
        <v>1701</v>
      </c>
      <c r="E494" s="5" t="s">
        <v>42</v>
      </c>
      <c r="F494" s="12">
        <v>43742.739965277775</v>
      </c>
      <c r="G494" t="s">
        <v>8732</v>
      </c>
      <c r="H494" s="5" t="s">
        <v>1470</v>
      </c>
      <c r="I494" s="6">
        <v>1500</v>
      </c>
      <c r="J494" s="5" t="s">
        <v>15</v>
      </c>
      <c r="K494" s="6">
        <v>0.72</v>
      </c>
      <c r="L494" s="6">
        <v>1080</v>
      </c>
      <c r="M494" s="5" t="s">
        <v>1557</v>
      </c>
      <c r="N494" s="5" t="s">
        <v>1558</v>
      </c>
      <c r="O494" s="13">
        <v>43746</v>
      </c>
      <c r="P494" t="s">
        <v>8732</v>
      </c>
    </row>
    <row r="495" spans="1:16" x14ac:dyDescent="0.15">
      <c r="A495" s="5" t="s">
        <v>1559</v>
      </c>
      <c r="B495" s="5" t="s">
        <v>1562</v>
      </c>
      <c r="C495" s="5" t="s">
        <v>1567</v>
      </c>
      <c r="D495" s="5" t="s">
        <v>1698</v>
      </c>
      <c r="E495" s="5" t="s">
        <v>42</v>
      </c>
      <c r="F495" s="12">
        <v>43808.875636574077</v>
      </c>
      <c r="G495" t="s">
        <v>8735</v>
      </c>
      <c r="H495" s="5" t="s">
        <v>1712</v>
      </c>
      <c r="I495" s="6">
        <v>1500</v>
      </c>
      <c r="J495" s="5" t="s">
        <v>15</v>
      </c>
      <c r="K495" s="6">
        <v>0.72</v>
      </c>
      <c r="L495" s="6">
        <v>1080</v>
      </c>
      <c r="M495" s="5" t="s">
        <v>1557</v>
      </c>
      <c r="N495" s="5" t="s">
        <v>1558</v>
      </c>
      <c r="O495" s="13">
        <v>43847</v>
      </c>
      <c r="P495" t="s">
        <v>8736</v>
      </c>
    </row>
    <row r="496" spans="1:16" x14ac:dyDescent="0.15">
      <c r="A496" s="5" t="s">
        <v>1516</v>
      </c>
      <c r="B496" s="5" t="s">
        <v>1562</v>
      </c>
      <c r="C496" s="5" t="s">
        <v>1567</v>
      </c>
      <c r="D496" s="5" t="s">
        <v>1702</v>
      </c>
      <c r="E496" s="5" t="s">
        <v>42</v>
      </c>
      <c r="F496" s="12">
        <v>43507.971180555556</v>
      </c>
      <c r="G496" t="s">
        <v>8724</v>
      </c>
      <c r="H496" s="5" t="s">
        <v>1521</v>
      </c>
      <c r="I496" s="6">
        <v>4500</v>
      </c>
      <c r="J496" s="5" t="s">
        <v>15</v>
      </c>
      <c r="K496" s="6">
        <v>0.68</v>
      </c>
      <c r="L496" s="6">
        <v>3060</v>
      </c>
      <c r="M496" s="5" t="s">
        <v>1557</v>
      </c>
      <c r="N496" s="5" t="s">
        <v>1558</v>
      </c>
      <c r="O496" s="13">
        <v>43509</v>
      </c>
      <c r="P496" t="s">
        <v>8724</v>
      </c>
    </row>
    <row r="497" spans="1:16" x14ac:dyDescent="0.15">
      <c r="A497" s="5" t="s">
        <v>275</v>
      </c>
      <c r="B497" s="5" t="s">
        <v>1563</v>
      </c>
      <c r="C497" s="5" t="s">
        <v>1654</v>
      </c>
      <c r="D497" s="5" t="s">
        <v>1693</v>
      </c>
      <c r="E497" s="5" t="s">
        <v>42</v>
      </c>
      <c r="F497" s="12">
        <v>43482.813599537039</v>
      </c>
      <c r="G497" t="s">
        <v>8733</v>
      </c>
      <c r="H497" s="5" t="s">
        <v>276</v>
      </c>
      <c r="I497" s="6">
        <v>75</v>
      </c>
      <c r="J497" s="5" t="s">
        <v>15</v>
      </c>
      <c r="K497" s="6">
        <v>7.5</v>
      </c>
      <c r="L497" s="6">
        <v>562.5</v>
      </c>
      <c r="M497" s="5" t="s">
        <v>1560</v>
      </c>
      <c r="N497" s="5" t="s">
        <v>1558</v>
      </c>
      <c r="O497" s="13">
        <v>43481</v>
      </c>
      <c r="P497" t="s">
        <v>8733</v>
      </c>
    </row>
    <row r="498" spans="1:16" x14ac:dyDescent="0.15">
      <c r="A498" s="5" t="s">
        <v>277</v>
      </c>
      <c r="B498" s="5" t="s">
        <v>1563</v>
      </c>
      <c r="C498" s="5" t="s">
        <v>1616</v>
      </c>
      <c r="D498" s="5" t="s">
        <v>1693</v>
      </c>
      <c r="E498" s="5" t="s">
        <v>42</v>
      </c>
      <c r="F498" s="12">
        <v>43489.677037037036</v>
      </c>
      <c r="G498" t="s">
        <v>8733</v>
      </c>
      <c r="H498" s="5" t="s">
        <v>279</v>
      </c>
      <c r="I498" s="6">
        <v>225</v>
      </c>
      <c r="J498" s="5" t="s">
        <v>15</v>
      </c>
      <c r="K498" s="6">
        <v>7.05</v>
      </c>
      <c r="L498" s="6">
        <v>1586.25</v>
      </c>
      <c r="M498" s="5" t="s">
        <v>1560</v>
      </c>
      <c r="N498" s="5" t="s">
        <v>1558</v>
      </c>
      <c r="O498" s="13">
        <v>43489</v>
      </c>
      <c r="P498" t="s">
        <v>8733</v>
      </c>
    </row>
    <row r="499" spans="1:16" x14ac:dyDescent="0.15">
      <c r="A499" s="5" t="s">
        <v>280</v>
      </c>
      <c r="B499" s="5" t="s">
        <v>1563</v>
      </c>
      <c r="C499" s="5" t="s">
        <v>1616</v>
      </c>
      <c r="D499" s="5" t="s">
        <v>1693</v>
      </c>
      <c r="E499" s="5" t="s">
        <v>42</v>
      </c>
      <c r="F499" s="12">
        <v>43490.630555555559</v>
      </c>
      <c r="G499" t="s">
        <v>8733</v>
      </c>
      <c r="H499" s="5" t="s">
        <v>282</v>
      </c>
      <c r="I499" s="6">
        <v>-225</v>
      </c>
      <c r="J499" s="5" t="s">
        <v>15</v>
      </c>
      <c r="K499" s="6">
        <v>7.05</v>
      </c>
      <c r="L499" s="6">
        <v>-1586.25</v>
      </c>
      <c r="M499" s="5" t="s">
        <v>1560</v>
      </c>
      <c r="N499" s="5" t="s">
        <v>1558</v>
      </c>
      <c r="O499" s="13">
        <v>43490</v>
      </c>
      <c r="P499" t="s">
        <v>8733</v>
      </c>
    </row>
    <row r="500" spans="1:16" x14ac:dyDescent="0.15">
      <c r="A500" s="5" t="s">
        <v>283</v>
      </c>
      <c r="B500" s="5" t="s">
        <v>1563</v>
      </c>
      <c r="C500" s="5" t="s">
        <v>1616</v>
      </c>
      <c r="D500" s="5" t="s">
        <v>1693</v>
      </c>
      <c r="E500" s="5" t="s">
        <v>42</v>
      </c>
      <c r="F500" s="12">
        <v>43490.632870370369</v>
      </c>
      <c r="G500" t="s">
        <v>8733</v>
      </c>
      <c r="H500" s="5" t="s">
        <v>285</v>
      </c>
      <c r="I500" s="6">
        <v>225</v>
      </c>
      <c r="J500" s="5" t="s">
        <v>15</v>
      </c>
      <c r="K500" s="6">
        <v>8.0500000000000007</v>
      </c>
      <c r="L500" s="6">
        <v>1811.25</v>
      </c>
      <c r="M500" s="5" t="s">
        <v>1560</v>
      </c>
      <c r="N500" s="5" t="s">
        <v>1558</v>
      </c>
      <c r="O500" s="13">
        <v>43490</v>
      </c>
      <c r="P500" t="s">
        <v>8733</v>
      </c>
    </row>
    <row r="501" spans="1:16" x14ac:dyDescent="0.15">
      <c r="A501" s="5" t="s">
        <v>307</v>
      </c>
      <c r="B501" s="5" t="s">
        <v>1563</v>
      </c>
      <c r="C501" s="5" t="s">
        <v>1571</v>
      </c>
      <c r="D501" s="5" t="s">
        <v>1693</v>
      </c>
      <c r="E501" s="5" t="s">
        <v>42</v>
      </c>
      <c r="F501" s="12">
        <v>43537.645520833335</v>
      </c>
      <c r="G501" t="s">
        <v>8725</v>
      </c>
      <c r="H501" s="5" t="s">
        <v>309</v>
      </c>
      <c r="I501" s="6">
        <v>1500</v>
      </c>
      <c r="J501" s="5" t="s">
        <v>15</v>
      </c>
      <c r="K501" s="6">
        <v>7.5</v>
      </c>
      <c r="L501" s="6">
        <v>11250</v>
      </c>
      <c r="M501" s="5" t="s">
        <v>1560</v>
      </c>
      <c r="N501" s="5" t="s">
        <v>1558</v>
      </c>
      <c r="O501" s="13">
        <v>43536</v>
      </c>
      <c r="P501" t="s">
        <v>8725</v>
      </c>
    </row>
    <row r="502" spans="1:16" x14ac:dyDescent="0.15">
      <c r="A502" s="5" t="s">
        <v>327</v>
      </c>
      <c r="B502" s="5" t="s">
        <v>1563</v>
      </c>
      <c r="C502" s="5" t="s">
        <v>1655</v>
      </c>
      <c r="D502" s="5" t="s">
        <v>1693</v>
      </c>
      <c r="E502" s="5" t="s">
        <v>42</v>
      </c>
      <c r="F502" s="12">
        <v>43551.670937499999</v>
      </c>
      <c r="G502" t="s">
        <v>8725</v>
      </c>
      <c r="H502" s="5" t="s">
        <v>328</v>
      </c>
      <c r="I502" s="6">
        <v>225</v>
      </c>
      <c r="J502" s="5" t="s">
        <v>15</v>
      </c>
      <c r="K502" s="6">
        <v>9.23</v>
      </c>
      <c r="L502" s="6">
        <v>2076.75</v>
      </c>
      <c r="M502" s="5" t="s">
        <v>1560</v>
      </c>
      <c r="N502" s="5" t="s">
        <v>1558</v>
      </c>
      <c r="O502" s="13">
        <v>43550</v>
      </c>
      <c r="P502" t="s">
        <v>8725</v>
      </c>
    </row>
    <row r="503" spans="1:16" x14ac:dyDescent="0.15">
      <c r="A503" s="5" t="s">
        <v>351</v>
      </c>
      <c r="B503" s="5" t="s">
        <v>1563</v>
      </c>
      <c r="C503" s="5" t="s">
        <v>1656</v>
      </c>
      <c r="D503" s="5" t="s">
        <v>1693</v>
      </c>
      <c r="E503" s="5" t="s">
        <v>42</v>
      </c>
      <c r="F503" s="12">
        <v>43564.640729166669</v>
      </c>
      <c r="G503" t="s">
        <v>8726</v>
      </c>
      <c r="H503" s="5" t="s">
        <v>352</v>
      </c>
      <c r="I503" s="6">
        <v>2700</v>
      </c>
      <c r="J503" s="5" t="s">
        <v>15</v>
      </c>
      <c r="K503" s="6">
        <v>7.5</v>
      </c>
      <c r="L503" s="6">
        <v>20250</v>
      </c>
      <c r="M503" s="5" t="s">
        <v>1560</v>
      </c>
      <c r="N503" s="5" t="s">
        <v>1558</v>
      </c>
      <c r="O503" s="13">
        <v>43563</v>
      </c>
      <c r="P503" t="s">
        <v>8726</v>
      </c>
    </row>
    <row r="504" spans="1:16" x14ac:dyDescent="0.15">
      <c r="A504" s="5" t="s">
        <v>367</v>
      </c>
      <c r="B504" s="5" t="s">
        <v>1563</v>
      </c>
      <c r="C504" s="5" t="s">
        <v>1582</v>
      </c>
      <c r="D504" s="5" t="s">
        <v>1693</v>
      </c>
      <c r="E504" s="5" t="s">
        <v>42</v>
      </c>
      <c r="F504" s="12">
        <v>43571.594895833332</v>
      </c>
      <c r="G504" t="s">
        <v>8726</v>
      </c>
      <c r="H504" s="5" t="s">
        <v>369</v>
      </c>
      <c r="I504" s="6">
        <v>975</v>
      </c>
      <c r="J504" s="5" t="s">
        <v>15</v>
      </c>
      <c r="K504" s="6">
        <v>7.5</v>
      </c>
      <c r="L504" s="6">
        <v>7312.5</v>
      </c>
      <c r="M504" s="5" t="s">
        <v>1560</v>
      </c>
      <c r="N504" s="5" t="s">
        <v>1558</v>
      </c>
      <c r="O504" s="13">
        <v>43571</v>
      </c>
      <c r="P504" t="s">
        <v>8726</v>
      </c>
    </row>
    <row r="505" spans="1:16" x14ac:dyDescent="0.15">
      <c r="A505" s="5" t="s">
        <v>431</v>
      </c>
      <c r="B505" s="5" t="s">
        <v>1563</v>
      </c>
      <c r="C505" s="5" t="s">
        <v>1612</v>
      </c>
      <c r="D505" s="5" t="s">
        <v>1693</v>
      </c>
      <c r="E505" s="5" t="s">
        <v>42</v>
      </c>
      <c r="F505" s="12">
        <v>43598.804583333331</v>
      </c>
      <c r="G505" t="s">
        <v>8727</v>
      </c>
      <c r="H505" s="5" t="s">
        <v>432</v>
      </c>
      <c r="I505" s="6">
        <v>6000</v>
      </c>
      <c r="J505" s="5" t="s">
        <v>15</v>
      </c>
      <c r="K505" s="6">
        <v>7</v>
      </c>
      <c r="L505" s="6">
        <v>42000</v>
      </c>
      <c r="M505" s="5" t="s">
        <v>1560</v>
      </c>
      <c r="N505" s="5" t="s">
        <v>1558</v>
      </c>
      <c r="O505" s="13">
        <v>43598</v>
      </c>
      <c r="P505" t="s">
        <v>8727</v>
      </c>
    </row>
    <row r="506" spans="1:16" x14ac:dyDescent="0.15">
      <c r="A506" s="5" t="s">
        <v>431</v>
      </c>
      <c r="B506" s="5" t="s">
        <v>1563</v>
      </c>
      <c r="C506" s="5" t="s">
        <v>1612</v>
      </c>
      <c r="D506" s="5" t="s">
        <v>1693</v>
      </c>
      <c r="E506" s="5" t="s">
        <v>42</v>
      </c>
      <c r="F506" s="12">
        <v>43599.760439814818</v>
      </c>
      <c r="G506" t="s">
        <v>8727</v>
      </c>
      <c r="H506" s="5" t="s">
        <v>433</v>
      </c>
      <c r="I506" s="6">
        <v>6000</v>
      </c>
      <c r="J506" s="5" t="s">
        <v>15</v>
      </c>
      <c r="K506" s="6">
        <v>7</v>
      </c>
      <c r="L506" s="6">
        <v>42000</v>
      </c>
      <c r="M506" s="5" t="s">
        <v>1560</v>
      </c>
      <c r="N506" s="5" t="s">
        <v>1558</v>
      </c>
      <c r="O506" s="13">
        <v>43599</v>
      </c>
      <c r="P506" t="s">
        <v>8727</v>
      </c>
    </row>
    <row r="507" spans="1:16" x14ac:dyDescent="0.15">
      <c r="A507" s="5" t="s">
        <v>452</v>
      </c>
      <c r="B507" s="5" t="s">
        <v>1563</v>
      </c>
      <c r="C507" s="5" t="s">
        <v>1657</v>
      </c>
      <c r="D507" s="5" t="s">
        <v>1693</v>
      </c>
      <c r="E507" s="5" t="s">
        <v>42</v>
      </c>
      <c r="F507" s="12">
        <v>43609.854085648149</v>
      </c>
      <c r="G507" t="s">
        <v>8727</v>
      </c>
      <c r="H507" s="5" t="s">
        <v>453</v>
      </c>
      <c r="I507" s="6">
        <v>2025</v>
      </c>
      <c r="J507" s="5" t="s">
        <v>15</v>
      </c>
      <c r="K507" s="6">
        <v>6.5</v>
      </c>
      <c r="L507" s="6">
        <v>13162.5</v>
      </c>
      <c r="M507" s="5" t="s">
        <v>1560</v>
      </c>
      <c r="N507" s="5" t="s">
        <v>1558</v>
      </c>
      <c r="O507" s="13">
        <v>43609</v>
      </c>
      <c r="P507" t="s">
        <v>8727</v>
      </c>
    </row>
    <row r="508" spans="1:16" x14ac:dyDescent="0.15">
      <c r="A508" s="5" t="s">
        <v>480</v>
      </c>
      <c r="B508" s="5" t="s">
        <v>1563</v>
      </c>
      <c r="C508" s="5" t="s">
        <v>1577</v>
      </c>
      <c r="D508" s="5" t="s">
        <v>1693</v>
      </c>
      <c r="E508" s="5" t="s">
        <v>42</v>
      </c>
      <c r="F508" s="12">
        <v>43621.746331018519</v>
      </c>
      <c r="G508" t="s">
        <v>8728</v>
      </c>
      <c r="H508" s="5" t="s">
        <v>481</v>
      </c>
      <c r="I508" s="6">
        <v>1800</v>
      </c>
      <c r="J508" s="5" t="s">
        <v>15</v>
      </c>
      <c r="K508" s="6">
        <v>7.5</v>
      </c>
      <c r="L508" s="6">
        <v>13500</v>
      </c>
      <c r="M508" s="5" t="s">
        <v>1560</v>
      </c>
      <c r="N508" s="5" t="s">
        <v>1558</v>
      </c>
      <c r="O508" s="13">
        <v>43621</v>
      </c>
      <c r="P508" t="s">
        <v>8728</v>
      </c>
    </row>
    <row r="509" spans="1:16" x14ac:dyDescent="0.15">
      <c r="A509" s="5" t="s">
        <v>493</v>
      </c>
      <c r="B509" s="5" t="s">
        <v>1563</v>
      </c>
      <c r="C509" s="5" t="s">
        <v>1618</v>
      </c>
      <c r="D509" s="5" t="s">
        <v>1693</v>
      </c>
      <c r="E509" s="5" t="s">
        <v>42</v>
      </c>
      <c r="F509" s="12">
        <v>43627.631249999999</v>
      </c>
      <c r="G509" t="s">
        <v>8728</v>
      </c>
      <c r="H509" s="5" t="s">
        <v>494</v>
      </c>
      <c r="I509" s="6">
        <v>900</v>
      </c>
      <c r="J509" s="5" t="s">
        <v>15</v>
      </c>
      <c r="K509" s="6">
        <v>7.76</v>
      </c>
      <c r="L509" s="6">
        <v>6984</v>
      </c>
      <c r="M509" s="5" t="s">
        <v>1560</v>
      </c>
      <c r="N509" s="5" t="s">
        <v>1558</v>
      </c>
      <c r="O509" s="13">
        <v>43627</v>
      </c>
      <c r="P509" t="s">
        <v>8728</v>
      </c>
    </row>
    <row r="510" spans="1:16" x14ac:dyDescent="0.15">
      <c r="A510" s="5" t="s">
        <v>71</v>
      </c>
      <c r="B510" s="5" t="s">
        <v>1563</v>
      </c>
      <c r="C510" s="5" t="s">
        <v>1575</v>
      </c>
      <c r="D510" s="5" t="s">
        <v>1693</v>
      </c>
      <c r="E510" s="5" t="s">
        <v>42</v>
      </c>
      <c r="F510" s="12">
        <v>43648.620324074072</v>
      </c>
      <c r="G510" t="s">
        <v>8729</v>
      </c>
      <c r="H510" s="5" t="s">
        <v>539</v>
      </c>
      <c r="I510" s="6">
        <v>1350</v>
      </c>
      <c r="J510" s="5" t="s">
        <v>15</v>
      </c>
      <c r="K510" s="6">
        <v>7.5</v>
      </c>
      <c r="L510" s="6">
        <v>10125</v>
      </c>
      <c r="M510" s="5" t="s">
        <v>1560</v>
      </c>
      <c r="N510" s="5" t="s">
        <v>1558</v>
      </c>
      <c r="O510" s="13">
        <v>43647</v>
      </c>
      <c r="P510" t="s">
        <v>8729</v>
      </c>
    </row>
    <row r="511" spans="1:16" x14ac:dyDescent="0.15">
      <c r="A511" s="5" t="s">
        <v>563</v>
      </c>
      <c r="B511" s="5" t="s">
        <v>1563</v>
      </c>
      <c r="C511" s="5" t="s">
        <v>1612</v>
      </c>
      <c r="D511" s="5" t="s">
        <v>1693</v>
      </c>
      <c r="E511" s="5" t="s">
        <v>42</v>
      </c>
      <c r="F511" s="12">
        <v>43654.724143518521</v>
      </c>
      <c r="G511" t="s">
        <v>8729</v>
      </c>
      <c r="H511" s="5" t="s">
        <v>565</v>
      </c>
      <c r="I511" s="6">
        <v>2025</v>
      </c>
      <c r="J511" s="5" t="s">
        <v>15</v>
      </c>
      <c r="K511" s="6">
        <v>7</v>
      </c>
      <c r="L511" s="6">
        <v>14175</v>
      </c>
      <c r="M511" s="5" t="s">
        <v>1560</v>
      </c>
      <c r="N511" s="5" t="s">
        <v>1558</v>
      </c>
      <c r="O511" s="13">
        <v>43654</v>
      </c>
      <c r="P511" t="s">
        <v>8729</v>
      </c>
    </row>
    <row r="512" spans="1:16" x14ac:dyDescent="0.15">
      <c r="A512" s="5" t="s">
        <v>610</v>
      </c>
      <c r="B512" s="5" t="s">
        <v>1563</v>
      </c>
      <c r="C512" s="5" t="s">
        <v>1572</v>
      </c>
      <c r="D512" s="5" t="s">
        <v>1693</v>
      </c>
      <c r="E512" s="5" t="s">
        <v>42</v>
      </c>
      <c r="F512" s="12">
        <v>43668.741469907407</v>
      </c>
      <c r="G512" t="s">
        <v>8729</v>
      </c>
      <c r="H512" s="5" t="s">
        <v>612</v>
      </c>
      <c r="I512" s="6">
        <v>4650</v>
      </c>
      <c r="J512" s="5" t="s">
        <v>15</v>
      </c>
      <c r="K512" s="6">
        <v>7</v>
      </c>
      <c r="L512" s="6">
        <v>32550</v>
      </c>
      <c r="M512" s="5" t="s">
        <v>1560</v>
      </c>
      <c r="N512" s="5" t="s">
        <v>1558</v>
      </c>
      <c r="O512" s="13">
        <v>43668</v>
      </c>
      <c r="P512" t="s">
        <v>8729</v>
      </c>
    </row>
    <row r="513" spans="1:16" x14ac:dyDescent="0.15">
      <c r="A513" s="5" t="s">
        <v>725</v>
      </c>
      <c r="B513" s="5" t="s">
        <v>1563</v>
      </c>
      <c r="C513" s="5" t="s">
        <v>1594</v>
      </c>
      <c r="D513" s="5" t="s">
        <v>1693</v>
      </c>
      <c r="E513" s="5" t="s">
        <v>42</v>
      </c>
      <c r="F513" s="12">
        <v>43696.668275462966</v>
      </c>
      <c r="G513" t="s">
        <v>8730</v>
      </c>
      <c r="H513" s="5" t="s">
        <v>726</v>
      </c>
      <c r="I513" s="6">
        <v>2850</v>
      </c>
      <c r="J513" s="5" t="s">
        <v>15</v>
      </c>
      <c r="K513" s="6">
        <v>7</v>
      </c>
      <c r="L513" s="6">
        <v>19950</v>
      </c>
      <c r="M513" s="5" t="s">
        <v>1560</v>
      </c>
      <c r="N513" s="5" t="s">
        <v>1558</v>
      </c>
      <c r="O513" s="13">
        <v>43693</v>
      </c>
      <c r="P513" t="s">
        <v>8730</v>
      </c>
    </row>
    <row r="514" spans="1:16" x14ac:dyDescent="0.15">
      <c r="A514" s="5" t="s">
        <v>117</v>
      </c>
      <c r="B514" s="5" t="s">
        <v>1563</v>
      </c>
      <c r="C514" s="5" t="s">
        <v>1571</v>
      </c>
      <c r="D514" s="5" t="s">
        <v>1693</v>
      </c>
      <c r="E514" s="5" t="s">
        <v>42</v>
      </c>
      <c r="F514" s="12">
        <v>43703.638645833336</v>
      </c>
      <c r="G514" t="s">
        <v>8730</v>
      </c>
      <c r="H514" s="5" t="s">
        <v>777</v>
      </c>
      <c r="I514" s="6">
        <v>450</v>
      </c>
      <c r="J514" s="5" t="s">
        <v>15</v>
      </c>
      <c r="K514" s="6">
        <v>7.7299999999999995</v>
      </c>
      <c r="L514" s="6">
        <v>3478.5</v>
      </c>
      <c r="M514" s="5" t="s">
        <v>1560</v>
      </c>
      <c r="N514" s="5" t="s">
        <v>1558</v>
      </c>
      <c r="O514" s="13">
        <v>43703</v>
      </c>
      <c r="P514" t="s">
        <v>8730</v>
      </c>
    </row>
    <row r="515" spans="1:16" x14ac:dyDescent="0.15">
      <c r="A515" s="5" t="s">
        <v>132</v>
      </c>
      <c r="B515" s="5" t="s">
        <v>1563</v>
      </c>
      <c r="C515" s="5" t="s">
        <v>1647</v>
      </c>
      <c r="D515" s="5" t="s">
        <v>1693</v>
      </c>
      <c r="E515" s="5" t="s">
        <v>42</v>
      </c>
      <c r="F515" s="12">
        <v>43720.69159722222</v>
      </c>
      <c r="G515" t="s">
        <v>8731</v>
      </c>
      <c r="H515" s="5" t="s">
        <v>847</v>
      </c>
      <c r="I515" s="6">
        <v>14550</v>
      </c>
      <c r="J515" s="5" t="s">
        <v>15</v>
      </c>
      <c r="K515" s="6">
        <v>7.5</v>
      </c>
      <c r="L515" s="6">
        <v>109125</v>
      </c>
      <c r="M515" s="5" t="s">
        <v>1560</v>
      </c>
      <c r="N515" s="5" t="s">
        <v>1558</v>
      </c>
      <c r="O515" s="13">
        <v>43719</v>
      </c>
      <c r="P515" t="s">
        <v>8731</v>
      </c>
    </row>
    <row r="516" spans="1:16" x14ac:dyDescent="0.15">
      <c r="A516" s="5" t="s">
        <v>133</v>
      </c>
      <c r="B516" s="5" t="s">
        <v>1563</v>
      </c>
      <c r="C516" s="5" t="s">
        <v>1612</v>
      </c>
      <c r="D516" s="5" t="s">
        <v>1693</v>
      </c>
      <c r="E516" s="5" t="s">
        <v>42</v>
      </c>
      <c r="F516" s="12">
        <v>43720.7966087963</v>
      </c>
      <c r="G516" t="s">
        <v>8731</v>
      </c>
      <c r="H516" s="5" t="s">
        <v>848</v>
      </c>
      <c r="I516" s="6">
        <v>3000</v>
      </c>
      <c r="J516" s="5" t="s">
        <v>15</v>
      </c>
      <c r="K516" s="6">
        <v>7</v>
      </c>
      <c r="L516" s="6">
        <v>21000</v>
      </c>
      <c r="M516" s="5" t="s">
        <v>1560</v>
      </c>
      <c r="N516" s="5" t="s">
        <v>1558</v>
      </c>
      <c r="O516" s="13">
        <v>43720</v>
      </c>
      <c r="P516" t="s">
        <v>8731</v>
      </c>
    </row>
    <row r="517" spans="1:16" x14ac:dyDescent="0.15">
      <c r="A517" s="5" t="s">
        <v>135</v>
      </c>
      <c r="B517" s="5" t="s">
        <v>1563</v>
      </c>
      <c r="C517" s="5" t="s">
        <v>1577</v>
      </c>
      <c r="D517" s="5" t="s">
        <v>1693</v>
      </c>
      <c r="E517" s="5" t="s">
        <v>42</v>
      </c>
      <c r="F517" s="12">
        <v>43721.820555555554</v>
      </c>
      <c r="G517" t="s">
        <v>8731</v>
      </c>
      <c r="H517" s="5" t="s">
        <v>852</v>
      </c>
      <c r="I517" s="6">
        <v>4350</v>
      </c>
      <c r="J517" s="5" t="s">
        <v>15</v>
      </c>
      <c r="K517" s="6">
        <v>7.5</v>
      </c>
      <c r="L517" s="6">
        <v>32625</v>
      </c>
      <c r="M517" s="5" t="s">
        <v>1560</v>
      </c>
      <c r="N517" s="5" t="s">
        <v>1558</v>
      </c>
      <c r="O517" s="13">
        <v>43721</v>
      </c>
      <c r="P517" t="s">
        <v>8731</v>
      </c>
    </row>
    <row r="518" spans="1:16" x14ac:dyDescent="0.15">
      <c r="A518" s="5" t="s">
        <v>141</v>
      </c>
      <c r="B518" s="5" t="s">
        <v>1563</v>
      </c>
      <c r="C518" s="5" t="s">
        <v>1571</v>
      </c>
      <c r="D518" s="5" t="s">
        <v>1693</v>
      </c>
      <c r="E518" s="5" t="s">
        <v>42</v>
      </c>
      <c r="F518" s="12">
        <v>43728.682013888887</v>
      </c>
      <c r="G518" t="s">
        <v>8731</v>
      </c>
      <c r="H518" s="5" t="s">
        <v>879</v>
      </c>
      <c r="I518" s="6">
        <v>2025</v>
      </c>
      <c r="J518" s="5" t="s">
        <v>15</v>
      </c>
      <c r="K518" s="6">
        <v>7</v>
      </c>
      <c r="L518" s="6">
        <v>14175</v>
      </c>
      <c r="M518" s="5" t="s">
        <v>1560</v>
      </c>
      <c r="N518" s="5" t="s">
        <v>1558</v>
      </c>
      <c r="O518" s="13">
        <v>43727</v>
      </c>
      <c r="P518" t="s">
        <v>8731</v>
      </c>
    </row>
    <row r="519" spans="1:16" x14ac:dyDescent="0.15">
      <c r="A519" s="5" t="s">
        <v>153</v>
      </c>
      <c r="B519" s="5" t="s">
        <v>1563</v>
      </c>
      <c r="C519" s="5" t="s">
        <v>1588</v>
      </c>
      <c r="D519" s="5" t="s">
        <v>1693</v>
      </c>
      <c r="E519" s="5" t="s">
        <v>42</v>
      </c>
      <c r="F519" s="12">
        <v>43740.851979166669</v>
      </c>
      <c r="G519" t="s">
        <v>8732</v>
      </c>
      <c r="H519" s="5" t="s">
        <v>922</v>
      </c>
      <c r="I519" s="6">
        <v>450</v>
      </c>
      <c r="J519" s="5" t="s">
        <v>15</v>
      </c>
      <c r="K519" s="6">
        <v>7.5</v>
      </c>
      <c r="L519" s="6">
        <v>3375</v>
      </c>
      <c r="M519" s="5" t="s">
        <v>1560</v>
      </c>
      <c r="N519" s="5" t="s">
        <v>1558</v>
      </c>
      <c r="O519" s="13">
        <v>43739</v>
      </c>
      <c r="P519" t="s">
        <v>8732</v>
      </c>
    </row>
    <row r="520" spans="1:16" x14ac:dyDescent="0.15">
      <c r="A520" s="5" t="s">
        <v>171</v>
      </c>
      <c r="B520" s="5" t="s">
        <v>1563</v>
      </c>
      <c r="C520" s="5" t="s">
        <v>1658</v>
      </c>
      <c r="D520" s="5" t="s">
        <v>1693</v>
      </c>
      <c r="E520" s="5" t="s">
        <v>42</v>
      </c>
      <c r="F520" s="12">
        <v>43746.631597222222</v>
      </c>
      <c r="G520" t="s">
        <v>8732</v>
      </c>
      <c r="H520" s="5" t="s">
        <v>951</v>
      </c>
      <c r="I520" s="6">
        <v>3000</v>
      </c>
      <c r="J520" s="5" t="s">
        <v>15</v>
      </c>
      <c r="K520" s="6">
        <v>7.2</v>
      </c>
      <c r="L520" s="6">
        <v>21600</v>
      </c>
      <c r="M520" s="5" t="s">
        <v>1560</v>
      </c>
      <c r="N520" s="5" t="s">
        <v>1558</v>
      </c>
      <c r="O520" s="13">
        <v>43746</v>
      </c>
      <c r="P520" t="s">
        <v>8732</v>
      </c>
    </row>
    <row r="521" spans="1:16" x14ac:dyDescent="0.15">
      <c r="A521" s="5" t="s">
        <v>955</v>
      </c>
      <c r="B521" s="5" t="s">
        <v>1563</v>
      </c>
      <c r="C521" s="5" t="s">
        <v>1659</v>
      </c>
      <c r="D521" s="5" t="s">
        <v>1693</v>
      </c>
      <c r="E521" s="5" t="s">
        <v>42</v>
      </c>
      <c r="F521" s="12">
        <v>43746.643750000003</v>
      </c>
      <c r="G521" t="s">
        <v>8732</v>
      </c>
      <c r="H521" s="5" t="s">
        <v>956</v>
      </c>
      <c r="I521" s="6">
        <v>3000</v>
      </c>
      <c r="J521" s="5" t="s">
        <v>15</v>
      </c>
      <c r="K521" s="6">
        <v>7</v>
      </c>
      <c r="L521" s="6">
        <v>21000</v>
      </c>
      <c r="M521" s="5" t="s">
        <v>1560</v>
      </c>
      <c r="N521" s="5" t="s">
        <v>1558</v>
      </c>
      <c r="O521" s="13">
        <v>43746</v>
      </c>
      <c r="P521" t="s">
        <v>8732</v>
      </c>
    </row>
    <row r="522" spans="1:16" x14ac:dyDescent="0.15">
      <c r="A522" s="5" t="s">
        <v>177</v>
      </c>
      <c r="B522" s="5" t="s">
        <v>1563</v>
      </c>
      <c r="C522" s="5" t="s">
        <v>1594</v>
      </c>
      <c r="D522" s="5" t="s">
        <v>1693</v>
      </c>
      <c r="E522" s="5" t="s">
        <v>42</v>
      </c>
      <c r="F522" s="12">
        <v>43753.633414351854</v>
      </c>
      <c r="G522" t="s">
        <v>8732</v>
      </c>
      <c r="H522" s="5" t="s">
        <v>975</v>
      </c>
      <c r="I522" s="6">
        <v>3750</v>
      </c>
      <c r="J522" s="5" t="s">
        <v>15</v>
      </c>
      <c r="K522" s="6">
        <v>7</v>
      </c>
      <c r="L522" s="6">
        <v>26250</v>
      </c>
      <c r="M522" s="5" t="s">
        <v>1560</v>
      </c>
      <c r="N522" s="5" t="s">
        <v>1558</v>
      </c>
      <c r="O522" s="13">
        <v>43753</v>
      </c>
      <c r="P522" t="s">
        <v>8732</v>
      </c>
    </row>
    <row r="523" spans="1:16" x14ac:dyDescent="0.15">
      <c r="A523" s="5" t="s">
        <v>195</v>
      </c>
      <c r="B523" s="5" t="s">
        <v>1563</v>
      </c>
      <c r="C523" s="5" t="s">
        <v>1577</v>
      </c>
      <c r="D523" s="5" t="s">
        <v>1693</v>
      </c>
      <c r="E523" s="5" t="s">
        <v>42</v>
      </c>
      <c r="F523" s="12">
        <v>43766.841782407406</v>
      </c>
      <c r="G523" t="s">
        <v>8732</v>
      </c>
      <c r="H523" s="5" t="s">
        <v>1021</v>
      </c>
      <c r="I523" s="6">
        <v>1950</v>
      </c>
      <c r="J523" s="5" t="s">
        <v>15</v>
      </c>
      <c r="K523" s="6">
        <v>7.5</v>
      </c>
      <c r="L523" s="6">
        <v>14625</v>
      </c>
      <c r="M523" s="5" t="s">
        <v>1560</v>
      </c>
      <c r="N523" s="5" t="s">
        <v>1558</v>
      </c>
      <c r="O523" s="13">
        <v>43766</v>
      </c>
      <c r="P523" t="s">
        <v>8732</v>
      </c>
    </row>
    <row r="524" spans="1:16" x14ac:dyDescent="0.15">
      <c r="A524" s="5" t="s">
        <v>196</v>
      </c>
      <c r="B524" s="5" t="s">
        <v>1563</v>
      </c>
      <c r="C524" s="5" t="s">
        <v>1643</v>
      </c>
      <c r="D524" s="5" t="s">
        <v>1693</v>
      </c>
      <c r="E524" s="5" t="s">
        <v>42</v>
      </c>
      <c r="F524" s="12">
        <v>43766.846851851849</v>
      </c>
      <c r="G524" t="s">
        <v>8732</v>
      </c>
      <c r="H524" s="5" t="s">
        <v>1023</v>
      </c>
      <c r="I524" s="6">
        <v>3600</v>
      </c>
      <c r="J524" s="5" t="s">
        <v>15</v>
      </c>
      <c r="K524" s="6">
        <v>7.5</v>
      </c>
      <c r="L524" s="6">
        <v>27000</v>
      </c>
      <c r="M524" s="5" t="s">
        <v>1560</v>
      </c>
      <c r="N524" s="5" t="s">
        <v>1558</v>
      </c>
      <c r="O524" s="13">
        <v>43766</v>
      </c>
      <c r="P524" t="s">
        <v>8732</v>
      </c>
    </row>
    <row r="525" spans="1:16" x14ac:dyDescent="0.15">
      <c r="A525" s="5" t="s">
        <v>1032</v>
      </c>
      <c r="B525" s="5" t="s">
        <v>1563</v>
      </c>
      <c r="C525" s="5" t="s">
        <v>1571</v>
      </c>
      <c r="D525" s="5" t="s">
        <v>1693</v>
      </c>
      <c r="E525" s="5" t="s">
        <v>42</v>
      </c>
      <c r="F525" s="12">
        <v>43773.750104166669</v>
      </c>
      <c r="G525" t="s">
        <v>8734</v>
      </c>
      <c r="H525" s="5" t="s">
        <v>1033</v>
      </c>
      <c r="I525" s="6">
        <v>675</v>
      </c>
      <c r="J525" s="5" t="s">
        <v>15</v>
      </c>
      <c r="K525" s="6">
        <v>7.5</v>
      </c>
      <c r="L525" s="6">
        <v>5062.5</v>
      </c>
      <c r="M525" s="5" t="s">
        <v>1560</v>
      </c>
      <c r="N525" s="5" t="s">
        <v>1558</v>
      </c>
      <c r="O525" s="13">
        <v>43769</v>
      </c>
      <c r="P525" t="s">
        <v>8732</v>
      </c>
    </row>
    <row r="526" spans="1:16" x14ac:dyDescent="0.15">
      <c r="A526" s="5" t="s">
        <v>207</v>
      </c>
      <c r="B526" s="5" t="s">
        <v>1563</v>
      </c>
      <c r="C526" s="5" t="s">
        <v>1660</v>
      </c>
      <c r="D526" s="5" t="s">
        <v>1693</v>
      </c>
      <c r="E526" s="5" t="s">
        <v>42</v>
      </c>
      <c r="F526" s="12">
        <v>43775.690254629626</v>
      </c>
      <c r="G526" t="s">
        <v>8734</v>
      </c>
      <c r="H526" s="5" t="s">
        <v>1054</v>
      </c>
      <c r="I526" s="6">
        <v>7950</v>
      </c>
      <c r="J526" s="5" t="s">
        <v>15</v>
      </c>
      <c r="K526" s="6">
        <v>7</v>
      </c>
      <c r="L526" s="6">
        <v>55650</v>
      </c>
      <c r="M526" s="5" t="s">
        <v>1560</v>
      </c>
      <c r="N526" s="5" t="s">
        <v>1558</v>
      </c>
      <c r="O526" s="13">
        <v>43774</v>
      </c>
      <c r="P526" t="s">
        <v>8734</v>
      </c>
    </row>
    <row r="527" spans="1:16" x14ac:dyDescent="0.15">
      <c r="A527" s="5" t="s">
        <v>1063</v>
      </c>
      <c r="B527" s="5" t="s">
        <v>1563</v>
      </c>
      <c r="C527" s="5" t="s">
        <v>1651</v>
      </c>
      <c r="D527" s="5" t="s">
        <v>1693</v>
      </c>
      <c r="E527" s="5" t="s">
        <v>42</v>
      </c>
      <c r="F527" s="12">
        <v>43775.910590277781</v>
      </c>
      <c r="G527" t="s">
        <v>8734</v>
      </c>
      <c r="H527" s="5" t="s">
        <v>1064</v>
      </c>
      <c r="I527" s="6">
        <v>225</v>
      </c>
      <c r="J527" s="5" t="s">
        <v>15</v>
      </c>
      <c r="K527" s="6">
        <v>7.5</v>
      </c>
      <c r="L527" s="6">
        <v>1687.5</v>
      </c>
      <c r="M527" s="5" t="s">
        <v>1560</v>
      </c>
      <c r="N527" s="5" t="s">
        <v>1558</v>
      </c>
      <c r="O527" s="13">
        <v>43775</v>
      </c>
      <c r="P527" t="s">
        <v>8734</v>
      </c>
    </row>
    <row r="528" spans="1:16" x14ac:dyDescent="0.15">
      <c r="A528" s="5" t="s">
        <v>221</v>
      </c>
      <c r="B528" s="5" t="s">
        <v>1563</v>
      </c>
      <c r="C528" s="5" t="s">
        <v>1618</v>
      </c>
      <c r="D528" s="5" t="s">
        <v>1693</v>
      </c>
      <c r="E528" s="5" t="s">
        <v>42</v>
      </c>
      <c r="F528" s="12">
        <v>43782.712685185186</v>
      </c>
      <c r="G528" t="s">
        <v>8734</v>
      </c>
      <c r="H528" s="5" t="s">
        <v>1078</v>
      </c>
      <c r="I528" s="6">
        <v>600</v>
      </c>
      <c r="J528" s="5" t="s">
        <v>15</v>
      </c>
      <c r="K528" s="6">
        <v>8.15</v>
      </c>
      <c r="L528" s="6">
        <v>4890</v>
      </c>
      <c r="M528" s="5" t="s">
        <v>1560</v>
      </c>
      <c r="N528" s="5" t="s">
        <v>1558</v>
      </c>
      <c r="O528" s="13">
        <v>43782</v>
      </c>
      <c r="P528" t="s">
        <v>8734</v>
      </c>
    </row>
    <row r="529" spans="1:16" x14ac:dyDescent="0.15">
      <c r="A529" s="5" t="s">
        <v>224</v>
      </c>
      <c r="B529" s="5" t="s">
        <v>1563</v>
      </c>
      <c r="C529" s="5" t="s">
        <v>1660</v>
      </c>
      <c r="D529" s="5" t="s">
        <v>1693</v>
      </c>
      <c r="E529" s="5" t="s">
        <v>42</v>
      </c>
      <c r="F529" s="12">
        <v>43783.711898148147</v>
      </c>
      <c r="G529" t="s">
        <v>8734</v>
      </c>
      <c r="H529" s="5" t="s">
        <v>1083</v>
      </c>
      <c r="I529" s="6">
        <v>5175</v>
      </c>
      <c r="J529" s="5" t="s">
        <v>15</v>
      </c>
      <c r="K529" s="6">
        <v>7.5</v>
      </c>
      <c r="L529" s="6">
        <v>38812.5</v>
      </c>
      <c r="M529" s="5" t="s">
        <v>1560</v>
      </c>
      <c r="N529" s="5" t="s">
        <v>1558</v>
      </c>
      <c r="O529" s="13">
        <v>43783</v>
      </c>
      <c r="P529" t="s">
        <v>8734</v>
      </c>
    </row>
    <row r="530" spans="1:16" x14ac:dyDescent="0.15">
      <c r="A530" s="5" t="s">
        <v>227</v>
      </c>
      <c r="B530" s="5" t="s">
        <v>1563</v>
      </c>
      <c r="C530" s="5" t="s">
        <v>1594</v>
      </c>
      <c r="D530" s="5" t="s">
        <v>1693</v>
      </c>
      <c r="E530" s="5" t="s">
        <v>42</v>
      </c>
      <c r="F530" s="12">
        <v>43787.66375</v>
      </c>
      <c r="G530" t="s">
        <v>8734</v>
      </c>
      <c r="H530" s="5" t="s">
        <v>1087</v>
      </c>
      <c r="I530" s="6">
        <v>1950</v>
      </c>
      <c r="J530" s="5" t="s">
        <v>15</v>
      </c>
      <c r="K530" s="6">
        <v>7</v>
      </c>
      <c r="L530" s="6">
        <v>13650</v>
      </c>
      <c r="M530" s="5" t="s">
        <v>1560</v>
      </c>
      <c r="N530" s="5" t="s">
        <v>1558</v>
      </c>
      <c r="O530" s="13">
        <v>43787</v>
      </c>
      <c r="P530" t="s">
        <v>8734</v>
      </c>
    </row>
    <row r="531" spans="1:16" x14ac:dyDescent="0.15">
      <c r="A531" s="5" t="s">
        <v>232</v>
      </c>
      <c r="B531" s="5" t="s">
        <v>1563</v>
      </c>
      <c r="C531" s="5" t="s">
        <v>1594</v>
      </c>
      <c r="D531" s="5" t="s">
        <v>1693</v>
      </c>
      <c r="E531" s="5" t="s">
        <v>42</v>
      </c>
      <c r="F531" s="12">
        <v>43790.620636574073</v>
      </c>
      <c r="G531" t="s">
        <v>8734</v>
      </c>
      <c r="H531" s="5" t="s">
        <v>1099</v>
      </c>
      <c r="I531" s="6">
        <v>750</v>
      </c>
      <c r="J531" s="5" t="s">
        <v>15</v>
      </c>
      <c r="K531" s="6">
        <v>7</v>
      </c>
      <c r="L531" s="6">
        <v>5250</v>
      </c>
      <c r="M531" s="5" t="s">
        <v>1560</v>
      </c>
      <c r="N531" s="5" t="s">
        <v>1558</v>
      </c>
      <c r="O531" s="13">
        <v>43788</v>
      </c>
      <c r="P531" t="s">
        <v>8734</v>
      </c>
    </row>
    <row r="532" spans="1:16" x14ac:dyDescent="0.15">
      <c r="A532" s="5" t="s">
        <v>1104</v>
      </c>
      <c r="B532" s="5" t="s">
        <v>1563</v>
      </c>
      <c r="C532" s="5" t="s">
        <v>1661</v>
      </c>
      <c r="D532" s="5" t="s">
        <v>1693</v>
      </c>
      <c r="E532" s="5" t="s">
        <v>42</v>
      </c>
      <c r="F532" s="12">
        <v>43790.627546296295</v>
      </c>
      <c r="G532" t="s">
        <v>8734</v>
      </c>
      <c r="H532" s="5" t="s">
        <v>1105</v>
      </c>
      <c r="I532" s="6">
        <v>1500</v>
      </c>
      <c r="J532" s="5" t="s">
        <v>15</v>
      </c>
      <c r="K532" s="6">
        <v>6.5</v>
      </c>
      <c r="L532" s="6">
        <v>9750</v>
      </c>
      <c r="M532" s="5" t="s">
        <v>1560</v>
      </c>
      <c r="N532" s="5" t="s">
        <v>1558</v>
      </c>
      <c r="O532" s="13">
        <v>43789</v>
      </c>
      <c r="P532" t="s">
        <v>8734</v>
      </c>
    </row>
    <row r="533" spans="1:16" x14ac:dyDescent="0.15">
      <c r="A533" s="5" t="s">
        <v>1111</v>
      </c>
      <c r="B533" s="5" t="s">
        <v>1563</v>
      </c>
      <c r="C533" s="5" t="s">
        <v>1660</v>
      </c>
      <c r="D533" s="5" t="s">
        <v>1693</v>
      </c>
      <c r="E533" s="5" t="s">
        <v>42</v>
      </c>
      <c r="F533" s="12">
        <v>43791.696261574078</v>
      </c>
      <c r="G533" t="s">
        <v>8734</v>
      </c>
      <c r="H533" s="5" t="s">
        <v>1112</v>
      </c>
      <c r="I533" s="6">
        <v>-5175</v>
      </c>
      <c r="J533" s="5" t="s">
        <v>15</v>
      </c>
      <c r="K533" s="6">
        <v>7.5</v>
      </c>
      <c r="L533" s="6">
        <v>-38812.5</v>
      </c>
      <c r="M533" s="5" t="s">
        <v>1560</v>
      </c>
      <c r="N533" s="5" t="s">
        <v>1558</v>
      </c>
      <c r="O533" s="13">
        <v>43791</v>
      </c>
      <c r="P533" t="s">
        <v>8734</v>
      </c>
    </row>
    <row r="534" spans="1:16" x14ac:dyDescent="0.15">
      <c r="A534" s="5" t="s">
        <v>1111</v>
      </c>
      <c r="B534" s="5" t="s">
        <v>1563</v>
      </c>
      <c r="C534" s="5" t="s">
        <v>1660</v>
      </c>
      <c r="D534" s="5" t="s">
        <v>1693</v>
      </c>
      <c r="E534" s="5" t="s">
        <v>42</v>
      </c>
      <c r="F534" s="12">
        <v>43791.696261574078</v>
      </c>
      <c r="G534" t="s">
        <v>8734</v>
      </c>
      <c r="H534" s="5" t="s">
        <v>1113</v>
      </c>
      <c r="I534" s="6">
        <v>5175</v>
      </c>
      <c r="J534" s="5" t="s">
        <v>15</v>
      </c>
      <c r="K534" s="6">
        <v>7</v>
      </c>
      <c r="L534" s="6">
        <v>36225</v>
      </c>
      <c r="M534" s="5" t="s">
        <v>1560</v>
      </c>
      <c r="N534" s="5" t="s">
        <v>1558</v>
      </c>
      <c r="O534" s="13">
        <v>43791</v>
      </c>
      <c r="P534" t="s">
        <v>8734</v>
      </c>
    </row>
    <row r="535" spans="1:16" x14ac:dyDescent="0.15">
      <c r="A535" s="5" t="s">
        <v>250</v>
      </c>
      <c r="B535" s="5" t="s">
        <v>1563</v>
      </c>
      <c r="C535" s="5" t="s">
        <v>1651</v>
      </c>
      <c r="D535" s="5" t="s">
        <v>1693</v>
      </c>
      <c r="E535" s="5" t="s">
        <v>42</v>
      </c>
      <c r="F535" s="12">
        <v>43801.657743055555</v>
      </c>
      <c r="G535" t="s">
        <v>8735</v>
      </c>
      <c r="H535" s="5" t="s">
        <v>1139</v>
      </c>
      <c r="I535" s="6">
        <v>375</v>
      </c>
      <c r="J535" s="5" t="s">
        <v>15</v>
      </c>
      <c r="K535" s="6">
        <v>7.5</v>
      </c>
      <c r="L535" s="6">
        <v>2812.5</v>
      </c>
      <c r="M535" s="5" t="s">
        <v>1560</v>
      </c>
      <c r="N535" s="5" t="s">
        <v>1558</v>
      </c>
      <c r="O535" s="13">
        <v>43801</v>
      </c>
      <c r="P535" t="s">
        <v>8735</v>
      </c>
    </row>
    <row r="536" spans="1:16" x14ac:dyDescent="0.15">
      <c r="A536" s="5" t="s">
        <v>256</v>
      </c>
      <c r="B536" s="5" t="s">
        <v>1563</v>
      </c>
      <c r="C536" s="5" t="s">
        <v>1588</v>
      </c>
      <c r="D536" s="5" t="s">
        <v>1693</v>
      </c>
      <c r="E536" s="5" t="s">
        <v>42</v>
      </c>
      <c r="F536" s="12">
        <v>43804.692835648151</v>
      </c>
      <c r="G536" t="s">
        <v>8735</v>
      </c>
      <c r="H536" s="5" t="s">
        <v>1149</v>
      </c>
      <c r="I536" s="6">
        <v>900</v>
      </c>
      <c r="J536" s="5" t="s">
        <v>15</v>
      </c>
      <c r="K536" s="6">
        <v>7.76</v>
      </c>
      <c r="L536" s="6">
        <v>6984</v>
      </c>
      <c r="M536" s="5" t="s">
        <v>1560</v>
      </c>
      <c r="N536" s="5" t="s">
        <v>1558</v>
      </c>
      <c r="O536" s="13">
        <v>43803</v>
      </c>
      <c r="P536" t="s">
        <v>8735</v>
      </c>
    </row>
    <row r="537" spans="1:16" x14ac:dyDescent="0.15">
      <c r="A537" s="5" t="s">
        <v>260</v>
      </c>
      <c r="B537" s="5" t="s">
        <v>1563</v>
      </c>
      <c r="C537" s="5" t="s">
        <v>1580</v>
      </c>
      <c r="D537" s="5" t="s">
        <v>1693</v>
      </c>
      <c r="E537" s="5" t="s">
        <v>42</v>
      </c>
      <c r="F537" s="12">
        <v>43810.663622685184</v>
      </c>
      <c r="G537" t="s">
        <v>8735</v>
      </c>
      <c r="H537" s="5" t="s">
        <v>1159</v>
      </c>
      <c r="I537" s="6">
        <v>450</v>
      </c>
      <c r="J537" s="5" t="s">
        <v>15</v>
      </c>
      <c r="K537" s="6">
        <v>7.5</v>
      </c>
      <c r="L537" s="6">
        <v>3375</v>
      </c>
      <c r="M537" s="5" t="s">
        <v>1560</v>
      </c>
      <c r="N537" s="5" t="s">
        <v>1558</v>
      </c>
      <c r="O537" s="13">
        <v>43810</v>
      </c>
      <c r="P537" t="s">
        <v>8735</v>
      </c>
    </row>
    <row r="538" spans="1:16" x14ac:dyDescent="0.15">
      <c r="A538" s="5" t="s">
        <v>1198</v>
      </c>
      <c r="B538" s="5" t="s">
        <v>1562</v>
      </c>
      <c r="C538" s="5" t="s">
        <v>1566</v>
      </c>
      <c r="D538" s="5" t="s">
        <v>1692</v>
      </c>
      <c r="E538" s="5" t="s">
        <v>64</v>
      </c>
      <c r="F538" s="12">
        <v>43508.752905092595</v>
      </c>
      <c r="G538" t="s">
        <v>8724</v>
      </c>
      <c r="H538" s="5" t="s">
        <v>1199</v>
      </c>
      <c r="I538" s="6">
        <v>7500</v>
      </c>
      <c r="J538" s="5" t="s">
        <v>15</v>
      </c>
      <c r="K538" s="6">
        <v>0.69</v>
      </c>
      <c r="L538" s="6">
        <v>5175</v>
      </c>
      <c r="M538" s="5" t="s">
        <v>1557</v>
      </c>
      <c r="N538" s="5" t="s">
        <v>1558</v>
      </c>
      <c r="O538" s="13">
        <v>43511</v>
      </c>
      <c r="P538" t="s">
        <v>8724</v>
      </c>
    </row>
    <row r="539" spans="1:16" x14ac:dyDescent="0.15">
      <c r="A539" s="5" t="s">
        <v>1269</v>
      </c>
      <c r="B539" s="5" t="s">
        <v>1562</v>
      </c>
      <c r="C539" s="5" t="s">
        <v>1566</v>
      </c>
      <c r="D539" s="5" t="s">
        <v>1692</v>
      </c>
      <c r="E539" s="5" t="s">
        <v>64</v>
      </c>
      <c r="F539" s="12">
        <v>43664.738437499997</v>
      </c>
      <c r="G539" t="s">
        <v>8729</v>
      </c>
      <c r="H539" s="5" t="s">
        <v>1273</v>
      </c>
      <c r="I539" s="6">
        <v>3000</v>
      </c>
      <c r="J539" s="5" t="s">
        <v>15</v>
      </c>
      <c r="K539" s="6">
        <v>0.7</v>
      </c>
      <c r="L539" s="6">
        <v>2100</v>
      </c>
      <c r="M539" s="5" t="s">
        <v>1557</v>
      </c>
      <c r="N539" s="5" t="s">
        <v>1558</v>
      </c>
      <c r="O539" s="13">
        <v>43682</v>
      </c>
      <c r="P539" t="s">
        <v>8730</v>
      </c>
    </row>
    <row r="540" spans="1:16" x14ac:dyDescent="0.15">
      <c r="A540" s="5" t="s">
        <v>1289</v>
      </c>
      <c r="B540" s="5" t="s">
        <v>1562</v>
      </c>
      <c r="C540" s="5" t="s">
        <v>1566</v>
      </c>
      <c r="D540" s="5" t="s">
        <v>1692</v>
      </c>
      <c r="E540" s="5" t="s">
        <v>64</v>
      </c>
      <c r="F540" s="12">
        <v>43731.83766203704</v>
      </c>
      <c r="G540" t="s">
        <v>8731</v>
      </c>
      <c r="H540" s="5" t="s">
        <v>1294</v>
      </c>
      <c r="I540" s="6">
        <v>4500</v>
      </c>
      <c r="J540" s="5" t="s">
        <v>15</v>
      </c>
      <c r="K540" s="6">
        <v>0.69</v>
      </c>
      <c r="L540" s="6">
        <v>3105</v>
      </c>
      <c r="M540" s="5" t="s">
        <v>1557</v>
      </c>
      <c r="N540" s="5" t="s">
        <v>1558</v>
      </c>
      <c r="O540" s="13">
        <v>43745</v>
      </c>
      <c r="P540" t="s">
        <v>8732</v>
      </c>
    </row>
    <row r="541" spans="1:16" x14ac:dyDescent="0.15">
      <c r="A541" s="5" t="s">
        <v>1296</v>
      </c>
      <c r="B541" s="5" t="s">
        <v>1562</v>
      </c>
      <c r="C541" s="5" t="s">
        <v>1566</v>
      </c>
      <c r="D541" s="5" t="s">
        <v>1692</v>
      </c>
      <c r="E541" s="5" t="s">
        <v>64</v>
      </c>
      <c r="F541" s="12">
        <v>43762.74423611111</v>
      </c>
      <c r="G541" t="s">
        <v>8732</v>
      </c>
      <c r="H541" s="5" t="s">
        <v>1301</v>
      </c>
      <c r="I541" s="6">
        <v>6000</v>
      </c>
      <c r="J541" s="5" t="s">
        <v>15</v>
      </c>
      <c r="K541" s="6">
        <v>0.69</v>
      </c>
      <c r="L541" s="6">
        <v>4140</v>
      </c>
      <c r="M541" s="5" t="s">
        <v>1557</v>
      </c>
      <c r="N541" s="5" t="s">
        <v>1558</v>
      </c>
      <c r="O541" s="13">
        <v>43766</v>
      </c>
      <c r="P541" t="s">
        <v>8732</v>
      </c>
    </row>
    <row r="542" spans="1:16" x14ac:dyDescent="0.15">
      <c r="A542" s="5" t="s">
        <v>302</v>
      </c>
      <c r="B542" s="5" t="s">
        <v>1563</v>
      </c>
      <c r="C542" s="5" t="s">
        <v>1586</v>
      </c>
      <c r="D542" s="5" t="s">
        <v>1693</v>
      </c>
      <c r="E542" s="5" t="s">
        <v>64</v>
      </c>
      <c r="F542" s="12">
        <v>43535.865115740744</v>
      </c>
      <c r="G542" t="s">
        <v>8725</v>
      </c>
      <c r="H542" s="5" t="s">
        <v>304</v>
      </c>
      <c r="I542" s="6">
        <v>75</v>
      </c>
      <c r="J542" s="5" t="s">
        <v>15</v>
      </c>
      <c r="K542" s="6">
        <v>10.66</v>
      </c>
      <c r="L542" s="6">
        <v>799.5</v>
      </c>
      <c r="M542" s="5" t="s">
        <v>1560</v>
      </c>
      <c r="N542" s="5" t="s">
        <v>1558</v>
      </c>
      <c r="O542" s="13">
        <v>43535</v>
      </c>
      <c r="P542" t="s">
        <v>8725</v>
      </c>
    </row>
    <row r="543" spans="1:16" x14ac:dyDescent="0.15">
      <c r="A543" s="5" t="s">
        <v>364</v>
      </c>
      <c r="B543" s="5" t="s">
        <v>1563</v>
      </c>
      <c r="C543" s="5" t="s">
        <v>1620</v>
      </c>
      <c r="D543" s="5" t="s">
        <v>1693</v>
      </c>
      <c r="E543" s="5" t="s">
        <v>64</v>
      </c>
      <c r="F543" s="12">
        <v>43571.587002314816</v>
      </c>
      <c r="G543" t="s">
        <v>8726</v>
      </c>
      <c r="H543" s="5" t="s">
        <v>365</v>
      </c>
      <c r="I543" s="6">
        <v>2550</v>
      </c>
      <c r="J543" s="5" t="s">
        <v>15</v>
      </c>
      <c r="K543" s="6">
        <v>6.7</v>
      </c>
      <c r="L543" s="6">
        <v>17085</v>
      </c>
      <c r="M543" s="5" t="s">
        <v>1560</v>
      </c>
      <c r="N543" s="5" t="s">
        <v>1558</v>
      </c>
      <c r="O543" s="13">
        <v>43571</v>
      </c>
      <c r="P543" t="s">
        <v>8726</v>
      </c>
    </row>
    <row r="544" spans="1:16" x14ac:dyDescent="0.15">
      <c r="A544" s="5" t="s">
        <v>581</v>
      </c>
      <c r="B544" s="5" t="s">
        <v>1563</v>
      </c>
      <c r="C544" s="5" t="s">
        <v>1572</v>
      </c>
      <c r="D544" s="5" t="s">
        <v>1693</v>
      </c>
      <c r="E544" s="5" t="s">
        <v>64</v>
      </c>
      <c r="F544" s="12">
        <v>43658.827881944446</v>
      </c>
      <c r="G544" t="s">
        <v>8729</v>
      </c>
      <c r="H544" s="5" t="s">
        <v>583</v>
      </c>
      <c r="I544" s="6">
        <v>9075</v>
      </c>
      <c r="J544" s="5" t="s">
        <v>15</v>
      </c>
      <c r="K544" s="6">
        <v>7</v>
      </c>
      <c r="L544" s="6">
        <v>63525</v>
      </c>
      <c r="M544" s="5" t="s">
        <v>1560</v>
      </c>
      <c r="N544" s="5" t="s">
        <v>1558</v>
      </c>
      <c r="O544" s="13">
        <v>43658</v>
      </c>
      <c r="P544" t="s">
        <v>8729</v>
      </c>
    </row>
    <row r="545" spans="1:16" x14ac:dyDescent="0.15">
      <c r="A545" s="5" t="s">
        <v>87</v>
      </c>
      <c r="B545" s="5" t="s">
        <v>1563</v>
      </c>
      <c r="C545" s="5" t="s">
        <v>1572</v>
      </c>
      <c r="D545" s="5" t="s">
        <v>1693</v>
      </c>
      <c r="E545" s="5" t="s">
        <v>64</v>
      </c>
      <c r="F545" s="12">
        <v>43668.852731481478</v>
      </c>
      <c r="G545" t="s">
        <v>8729</v>
      </c>
      <c r="H545" s="5" t="s">
        <v>629</v>
      </c>
      <c r="I545" s="6">
        <v>9300</v>
      </c>
      <c r="J545" s="5" t="s">
        <v>15</v>
      </c>
      <c r="K545" s="6">
        <v>7</v>
      </c>
      <c r="L545" s="6">
        <v>65100</v>
      </c>
      <c r="M545" s="5" t="s">
        <v>1560</v>
      </c>
      <c r="N545" s="5" t="s">
        <v>1558</v>
      </c>
      <c r="O545" s="13">
        <v>43669</v>
      </c>
      <c r="P545" t="s">
        <v>8729</v>
      </c>
    </row>
    <row r="546" spans="1:16" x14ac:dyDescent="0.15">
      <c r="A546" s="5" t="s">
        <v>644</v>
      </c>
      <c r="B546" s="5" t="s">
        <v>1563</v>
      </c>
      <c r="C546" s="5" t="s">
        <v>1572</v>
      </c>
      <c r="D546" s="5" t="s">
        <v>1693</v>
      </c>
      <c r="E546" s="5" t="s">
        <v>64</v>
      </c>
      <c r="F546" s="12">
        <v>43675.597557870373</v>
      </c>
      <c r="G546" t="s">
        <v>8729</v>
      </c>
      <c r="H546" s="5" t="s">
        <v>645</v>
      </c>
      <c r="I546" s="6">
        <v>12750</v>
      </c>
      <c r="J546" s="5" t="s">
        <v>15</v>
      </c>
      <c r="K546" s="6">
        <v>7</v>
      </c>
      <c r="L546" s="6">
        <v>89250</v>
      </c>
      <c r="M546" s="5" t="s">
        <v>1560</v>
      </c>
      <c r="N546" s="5" t="s">
        <v>1558</v>
      </c>
      <c r="O546" s="13">
        <v>43672</v>
      </c>
      <c r="P546" t="s">
        <v>8729</v>
      </c>
    </row>
    <row r="547" spans="1:16" x14ac:dyDescent="0.15">
      <c r="A547" s="5" t="s">
        <v>232</v>
      </c>
      <c r="B547" s="5" t="s">
        <v>1563</v>
      </c>
      <c r="C547" s="5" t="s">
        <v>1594</v>
      </c>
      <c r="D547" s="5" t="s">
        <v>1693</v>
      </c>
      <c r="E547" s="5" t="s">
        <v>61</v>
      </c>
      <c r="F547" s="12">
        <v>43790.620775462965</v>
      </c>
      <c r="G547" t="s">
        <v>8734</v>
      </c>
      <c r="H547" s="5" t="s">
        <v>1100</v>
      </c>
      <c r="I547" s="6">
        <v>1050</v>
      </c>
      <c r="J547" s="5" t="s">
        <v>15</v>
      </c>
      <c r="K547" s="6">
        <v>7</v>
      </c>
      <c r="L547" s="6">
        <v>7350</v>
      </c>
      <c r="M547" s="5" t="s">
        <v>1560</v>
      </c>
      <c r="N547" s="5" t="s">
        <v>1558</v>
      </c>
      <c r="O547" s="13">
        <v>43788</v>
      </c>
      <c r="P547" t="s">
        <v>8734</v>
      </c>
    </row>
    <row r="548" spans="1:16" x14ac:dyDescent="0.15">
      <c r="A548" s="5" t="s">
        <v>1104</v>
      </c>
      <c r="B548" s="5" t="s">
        <v>1563</v>
      </c>
      <c r="C548" s="5" t="s">
        <v>1661</v>
      </c>
      <c r="D548" s="5" t="s">
        <v>1693</v>
      </c>
      <c r="E548" s="5" t="s">
        <v>61</v>
      </c>
      <c r="F548" s="12">
        <v>43790.628101851849</v>
      </c>
      <c r="G548" t="s">
        <v>8734</v>
      </c>
      <c r="H548" s="5" t="s">
        <v>1106</v>
      </c>
      <c r="I548" s="6">
        <v>3300</v>
      </c>
      <c r="J548" s="5" t="s">
        <v>15</v>
      </c>
      <c r="K548" s="6">
        <v>6.5</v>
      </c>
      <c r="L548" s="6">
        <v>21450</v>
      </c>
      <c r="M548" s="5" t="s">
        <v>1560</v>
      </c>
      <c r="N548" s="5" t="s">
        <v>1558</v>
      </c>
      <c r="O548" s="13">
        <v>43789</v>
      </c>
      <c r="P548" t="s">
        <v>8734</v>
      </c>
    </row>
    <row r="549" spans="1:16" x14ac:dyDescent="0.15">
      <c r="A549" s="5" t="s">
        <v>260</v>
      </c>
      <c r="B549" s="5" t="s">
        <v>1563</v>
      </c>
      <c r="C549" s="5" t="s">
        <v>1580</v>
      </c>
      <c r="D549" s="5" t="s">
        <v>1693</v>
      </c>
      <c r="E549" s="5" t="s">
        <v>61</v>
      </c>
      <c r="F549" s="12">
        <v>43810.663032407407</v>
      </c>
      <c r="G549" t="s">
        <v>8735</v>
      </c>
      <c r="H549" s="5" t="s">
        <v>1158</v>
      </c>
      <c r="I549" s="6">
        <v>150</v>
      </c>
      <c r="J549" s="5" t="s">
        <v>15</v>
      </c>
      <c r="K549" s="6">
        <v>7.5</v>
      </c>
      <c r="L549" s="6">
        <v>1125</v>
      </c>
      <c r="M549" s="5" t="s">
        <v>1560</v>
      </c>
      <c r="N549" s="5" t="s">
        <v>1558</v>
      </c>
      <c r="O549" s="13">
        <v>43810</v>
      </c>
      <c r="P549" t="s">
        <v>8735</v>
      </c>
    </row>
    <row r="550" spans="1:16" x14ac:dyDescent="0.15">
      <c r="A550" s="5" t="s">
        <v>1217</v>
      </c>
      <c r="B550" s="5" t="s">
        <v>1562</v>
      </c>
      <c r="C550" s="5" t="s">
        <v>1566</v>
      </c>
      <c r="D550" s="5" t="s">
        <v>1707</v>
      </c>
      <c r="E550" s="5" t="s">
        <v>58</v>
      </c>
      <c r="F550" s="12">
        <v>43531.826412037037</v>
      </c>
      <c r="G550" t="s">
        <v>8725</v>
      </c>
      <c r="H550" s="5" t="s">
        <v>1218</v>
      </c>
      <c r="I550" s="6">
        <v>8250</v>
      </c>
      <c r="J550" s="5" t="s">
        <v>15</v>
      </c>
      <c r="K550" s="6">
        <v>0.77</v>
      </c>
      <c r="L550" s="6">
        <v>6352.5</v>
      </c>
      <c r="M550" s="5" t="s">
        <v>1557</v>
      </c>
      <c r="N550" s="5" t="s">
        <v>1558</v>
      </c>
      <c r="O550" s="13">
        <v>43556</v>
      </c>
      <c r="P550" t="s">
        <v>8726</v>
      </c>
    </row>
    <row r="551" spans="1:16" x14ac:dyDescent="0.15">
      <c r="A551" s="5" t="s">
        <v>1245</v>
      </c>
      <c r="B551" s="5" t="s">
        <v>1562</v>
      </c>
      <c r="C551" s="5" t="s">
        <v>1566</v>
      </c>
      <c r="D551" s="5" t="s">
        <v>1692</v>
      </c>
      <c r="E551" s="5" t="s">
        <v>58</v>
      </c>
      <c r="F551" s="12">
        <v>43608.741446759261</v>
      </c>
      <c r="G551" t="s">
        <v>8727</v>
      </c>
      <c r="H551" s="5" t="s">
        <v>1247</v>
      </c>
      <c r="I551" s="6">
        <v>3375</v>
      </c>
      <c r="J551" s="5" t="s">
        <v>15</v>
      </c>
      <c r="K551" s="6">
        <v>0.77</v>
      </c>
      <c r="L551" s="6">
        <v>2598.75</v>
      </c>
      <c r="M551" s="5" t="s">
        <v>1557</v>
      </c>
      <c r="N551" s="5" t="s">
        <v>1558</v>
      </c>
      <c r="O551" s="13">
        <v>43619</v>
      </c>
      <c r="P551" t="s">
        <v>8728</v>
      </c>
    </row>
    <row r="552" spans="1:16" x14ac:dyDescent="0.15">
      <c r="A552" s="5" t="s">
        <v>1262</v>
      </c>
      <c r="B552" s="5" t="s">
        <v>1562</v>
      </c>
      <c r="C552" s="5" t="s">
        <v>1566</v>
      </c>
      <c r="D552" s="5" t="s">
        <v>1692</v>
      </c>
      <c r="E552" s="5" t="s">
        <v>58</v>
      </c>
      <c r="F552" s="12">
        <v>43641.882407407407</v>
      </c>
      <c r="G552" t="s">
        <v>8728</v>
      </c>
      <c r="H552" s="5" t="s">
        <v>1263</v>
      </c>
      <c r="I552" s="6">
        <v>5625</v>
      </c>
      <c r="J552" s="5" t="s">
        <v>15</v>
      </c>
      <c r="K552" s="6">
        <v>0.77</v>
      </c>
      <c r="L552" s="6">
        <v>4331.25</v>
      </c>
      <c r="M552" s="5" t="s">
        <v>1557</v>
      </c>
      <c r="N552" s="5" t="s">
        <v>1558</v>
      </c>
      <c r="O552" s="13">
        <v>43647</v>
      </c>
      <c r="P552" t="s">
        <v>8729</v>
      </c>
    </row>
    <row r="553" spans="1:16" x14ac:dyDescent="0.15">
      <c r="A553" s="5" t="s">
        <v>1289</v>
      </c>
      <c r="B553" s="5" t="s">
        <v>1562</v>
      </c>
      <c r="C553" s="5" t="s">
        <v>1566</v>
      </c>
      <c r="D553" s="5" t="s">
        <v>1692</v>
      </c>
      <c r="E553" s="5" t="s">
        <v>58</v>
      </c>
      <c r="F553" s="12">
        <v>43731.837650462963</v>
      </c>
      <c r="G553" t="s">
        <v>8731</v>
      </c>
      <c r="H553" s="5" t="s">
        <v>1293</v>
      </c>
      <c r="I553" s="6">
        <v>5625</v>
      </c>
      <c r="J553" s="5" t="s">
        <v>15</v>
      </c>
      <c r="K553" s="6">
        <v>0.74</v>
      </c>
      <c r="L553" s="6">
        <v>4162.5</v>
      </c>
      <c r="M553" s="5" t="s">
        <v>1557</v>
      </c>
      <c r="N553" s="5" t="s">
        <v>1558</v>
      </c>
      <c r="O553" s="13">
        <v>43745</v>
      </c>
      <c r="P553" t="s">
        <v>8732</v>
      </c>
    </row>
    <row r="554" spans="1:16" x14ac:dyDescent="0.15">
      <c r="A554" s="5" t="s">
        <v>67</v>
      </c>
      <c r="B554" s="5" t="s">
        <v>1563</v>
      </c>
      <c r="C554" s="5" t="s">
        <v>1592</v>
      </c>
      <c r="D554" s="5" t="s">
        <v>1693</v>
      </c>
      <c r="E554" s="5" t="s">
        <v>58</v>
      </c>
      <c r="F554" s="12">
        <v>43613.629421296297</v>
      </c>
      <c r="G554" t="s">
        <v>8727</v>
      </c>
      <c r="H554" s="5" t="s">
        <v>461</v>
      </c>
      <c r="I554" s="6">
        <v>150</v>
      </c>
      <c r="J554" s="5" t="s">
        <v>15</v>
      </c>
      <c r="K554" s="6">
        <v>11.1</v>
      </c>
      <c r="L554" s="6">
        <v>1665</v>
      </c>
      <c r="M554" s="5" t="s">
        <v>1560</v>
      </c>
      <c r="N554" s="5" t="s">
        <v>1558</v>
      </c>
      <c r="O554" s="13">
        <v>43612</v>
      </c>
      <c r="P554" t="s">
        <v>8727</v>
      </c>
    </row>
    <row r="555" spans="1:16" x14ac:dyDescent="0.15">
      <c r="A555" s="5" t="s">
        <v>1177</v>
      </c>
      <c r="B555" s="5" t="s">
        <v>1562</v>
      </c>
      <c r="C555" s="5" t="s">
        <v>1584</v>
      </c>
      <c r="D555" s="5" t="s">
        <v>1699</v>
      </c>
      <c r="E555" s="5" t="s">
        <v>37</v>
      </c>
      <c r="F555" s="12">
        <v>43572.882349537038</v>
      </c>
      <c r="G555" t="s">
        <v>8726</v>
      </c>
      <c r="H555" s="5" t="s">
        <v>1179</v>
      </c>
      <c r="I555" s="6">
        <v>487.5</v>
      </c>
      <c r="J555" s="5" t="s">
        <v>15</v>
      </c>
      <c r="K555" s="6">
        <v>0.67</v>
      </c>
      <c r="L555" s="6">
        <v>326.63</v>
      </c>
      <c r="M555" s="5" t="s">
        <v>1557</v>
      </c>
      <c r="N555" s="5" t="s">
        <v>1558</v>
      </c>
      <c r="O555" s="13">
        <v>43573</v>
      </c>
      <c r="P555" t="s">
        <v>8726</v>
      </c>
    </row>
    <row r="556" spans="1:16" x14ac:dyDescent="0.15">
      <c r="A556" s="5" t="s">
        <v>1208</v>
      </c>
      <c r="B556" s="5" t="s">
        <v>1562</v>
      </c>
      <c r="C556" s="5" t="s">
        <v>1566</v>
      </c>
      <c r="D556" s="5" t="s">
        <v>1692</v>
      </c>
      <c r="E556" s="5" t="s">
        <v>37</v>
      </c>
      <c r="F556" s="12">
        <v>43523.786678240744</v>
      </c>
      <c r="G556" t="s">
        <v>8724</v>
      </c>
      <c r="H556" s="5" t="s">
        <v>1209</v>
      </c>
      <c r="I556" s="6">
        <v>11700</v>
      </c>
      <c r="J556" s="5" t="s">
        <v>15</v>
      </c>
      <c r="K556" s="6">
        <v>0.67</v>
      </c>
      <c r="L556" s="6">
        <v>7839</v>
      </c>
      <c r="M556" s="5" t="s">
        <v>1557</v>
      </c>
      <c r="N556" s="5" t="s">
        <v>1558</v>
      </c>
      <c r="O556" s="13">
        <v>43528</v>
      </c>
      <c r="P556" t="s">
        <v>8725</v>
      </c>
    </row>
    <row r="557" spans="1:16" x14ac:dyDescent="0.15">
      <c r="A557" s="5" t="s">
        <v>1223</v>
      </c>
      <c r="B557" s="5" t="s">
        <v>1562</v>
      </c>
      <c r="C557" s="5" t="s">
        <v>1566</v>
      </c>
      <c r="D557" s="5" t="s">
        <v>1692</v>
      </c>
      <c r="E557" s="5" t="s">
        <v>37</v>
      </c>
      <c r="F557" s="12">
        <v>43553.833055555559</v>
      </c>
      <c r="G557" t="s">
        <v>8725</v>
      </c>
      <c r="H557" s="5" t="s">
        <v>1225</v>
      </c>
      <c r="I557" s="6">
        <v>9750</v>
      </c>
      <c r="J557" s="5" t="s">
        <v>15</v>
      </c>
      <c r="K557" s="6">
        <v>0.67</v>
      </c>
      <c r="L557" s="6">
        <v>6532.5</v>
      </c>
      <c r="M557" s="5" t="s">
        <v>1557</v>
      </c>
      <c r="N557" s="5" t="s">
        <v>1558</v>
      </c>
      <c r="O557" s="13">
        <v>43563</v>
      </c>
      <c r="P557" t="s">
        <v>8726</v>
      </c>
    </row>
    <row r="558" spans="1:16" x14ac:dyDescent="0.15">
      <c r="A558" s="5" t="s">
        <v>1245</v>
      </c>
      <c r="B558" s="5" t="s">
        <v>1562</v>
      </c>
      <c r="C558" s="5" t="s">
        <v>1566</v>
      </c>
      <c r="D558" s="5" t="s">
        <v>1692</v>
      </c>
      <c r="E558" s="5" t="s">
        <v>37</v>
      </c>
      <c r="F558" s="12">
        <v>43608.741469907407</v>
      </c>
      <c r="G558" t="s">
        <v>8727</v>
      </c>
      <c r="H558" s="5" t="s">
        <v>1250</v>
      </c>
      <c r="I558" s="6">
        <v>5850</v>
      </c>
      <c r="J558" s="5" t="s">
        <v>15</v>
      </c>
      <c r="K558" s="6">
        <v>0.67</v>
      </c>
      <c r="L558" s="6">
        <v>3919.5</v>
      </c>
      <c r="M558" s="5" t="s">
        <v>1557</v>
      </c>
      <c r="N558" s="5" t="s">
        <v>1558</v>
      </c>
      <c r="O558" s="13">
        <v>43619</v>
      </c>
      <c r="P558" t="s">
        <v>8728</v>
      </c>
    </row>
    <row r="559" spans="1:16" x14ac:dyDescent="0.15">
      <c r="A559" s="5" t="s">
        <v>1251</v>
      </c>
      <c r="B559" s="5" t="s">
        <v>1562</v>
      </c>
      <c r="C559" s="5" t="s">
        <v>1566</v>
      </c>
      <c r="D559" s="5" t="s">
        <v>1692</v>
      </c>
      <c r="E559" s="5" t="s">
        <v>37</v>
      </c>
      <c r="F559" s="12">
        <v>43620.710578703707</v>
      </c>
      <c r="G559" t="s">
        <v>8728</v>
      </c>
      <c r="H559" s="5" t="s">
        <v>1252</v>
      </c>
      <c r="I559" s="6">
        <v>25350</v>
      </c>
      <c r="J559" s="5" t="s">
        <v>15</v>
      </c>
      <c r="K559" s="6">
        <v>0.67</v>
      </c>
      <c r="L559" s="6">
        <v>16984.5</v>
      </c>
      <c r="M559" s="5" t="s">
        <v>1557</v>
      </c>
      <c r="N559" s="5" t="s">
        <v>1558</v>
      </c>
      <c r="O559" s="13">
        <v>43627</v>
      </c>
      <c r="P559" t="s">
        <v>8728</v>
      </c>
    </row>
    <row r="560" spans="1:16" x14ac:dyDescent="0.15">
      <c r="A560" s="5" t="s">
        <v>1258</v>
      </c>
      <c r="B560" s="5" t="s">
        <v>1562</v>
      </c>
      <c r="C560" s="5" t="s">
        <v>1566</v>
      </c>
      <c r="D560" s="5" t="s">
        <v>1700</v>
      </c>
      <c r="E560" s="5" t="s">
        <v>37</v>
      </c>
      <c r="F560" s="12">
        <v>43620.893923611111</v>
      </c>
      <c r="G560" t="s">
        <v>8728</v>
      </c>
      <c r="H560" s="5" t="s">
        <v>1259</v>
      </c>
      <c r="I560" s="6">
        <v>23400</v>
      </c>
      <c r="J560" s="5" t="s">
        <v>15</v>
      </c>
      <c r="K560" s="6">
        <v>0.67</v>
      </c>
      <c r="L560" s="6">
        <v>15678</v>
      </c>
      <c r="M560" s="5" t="s">
        <v>1557</v>
      </c>
      <c r="N560" s="5" t="s">
        <v>1558</v>
      </c>
      <c r="O560" s="13">
        <v>43658</v>
      </c>
      <c r="P560" t="s">
        <v>8729</v>
      </c>
    </row>
    <row r="561" spans="1:16" x14ac:dyDescent="0.15">
      <c r="A561" s="5" t="s">
        <v>1260</v>
      </c>
      <c r="B561" s="5" t="s">
        <v>1562</v>
      </c>
      <c r="C561" s="5" t="s">
        <v>1566</v>
      </c>
      <c r="D561" s="5" t="s">
        <v>1700</v>
      </c>
      <c r="E561" s="5" t="s">
        <v>37</v>
      </c>
      <c r="F561" s="12">
        <v>43620.894548611112</v>
      </c>
      <c r="G561" t="s">
        <v>8728</v>
      </c>
      <c r="H561" s="5" t="s">
        <v>1261</v>
      </c>
      <c r="I561" s="6">
        <v>23400</v>
      </c>
      <c r="J561" s="5" t="s">
        <v>15</v>
      </c>
      <c r="K561" s="6">
        <v>0.67</v>
      </c>
      <c r="L561" s="6">
        <v>15678</v>
      </c>
      <c r="M561" s="5" t="s">
        <v>1557</v>
      </c>
      <c r="N561" s="5" t="s">
        <v>1558</v>
      </c>
      <c r="O561" s="13">
        <v>43658</v>
      </c>
      <c r="P561" t="s">
        <v>8729</v>
      </c>
    </row>
    <row r="562" spans="1:16" x14ac:dyDescent="0.15">
      <c r="A562" s="5" t="s">
        <v>1285</v>
      </c>
      <c r="B562" s="5" t="s">
        <v>1562</v>
      </c>
      <c r="C562" s="5" t="s">
        <v>1566</v>
      </c>
      <c r="D562" s="5" t="s">
        <v>1692</v>
      </c>
      <c r="E562" s="5" t="s">
        <v>37</v>
      </c>
      <c r="F562" s="12">
        <v>43726.657048611109</v>
      </c>
      <c r="G562" t="s">
        <v>8731</v>
      </c>
      <c r="H562" s="5" t="s">
        <v>1287</v>
      </c>
      <c r="I562" s="6">
        <v>5850</v>
      </c>
      <c r="J562" s="5" t="s">
        <v>15</v>
      </c>
      <c r="K562" s="6">
        <v>0.68</v>
      </c>
      <c r="L562" s="6">
        <v>3978</v>
      </c>
      <c r="M562" s="5" t="s">
        <v>1557</v>
      </c>
      <c r="N562" s="5" t="s">
        <v>1558</v>
      </c>
      <c r="O562" s="13">
        <v>43745</v>
      </c>
      <c r="P562" t="s">
        <v>8732</v>
      </c>
    </row>
    <row r="563" spans="1:16" x14ac:dyDescent="0.15">
      <c r="A563" s="5" t="s">
        <v>1302</v>
      </c>
      <c r="B563" s="5" t="s">
        <v>1562</v>
      </c>
      <c r="C563" s="5" t="s">
        <v>1566</v>
      </c>
      <c r="D563" s="5" t="s">
        <v>1694</v>
      </c>
      <c r="E563" s="5" t="s">
        <v>37</v>
      </c>
      <c r="F563" s="12">
        <v>43508.957638888889</v>
      </c>
      <c r="G563" t="s">
        <v>8724</v>
      </c>
      <c r="H563" s="5" t="s">
        <v>1304</v>
      </c>
      <c r="I563" s="6">
        <v>23887.5</v>
      </c>
      <c r="J563" s="5" t="s">
        <v>15</v>
      </c>
      <c r="K563" s="6">
        <v>0.64</v>
      </c>
      <c r="L563" s="6">
        <v>15288</v>
      </c>
      <c r="M563" s="5" t="s">
        <v>1557</v>
      </c>
      <c r="N563" s="5" t="s">
        <v>1558</v>
      </c>
      <c r="O563" s="13">
        <v>43511</v>
      </c>
      <c r="P563" t="s">
        <v>8724</v>
      </c>
    </row>
    <row r="564" spans="1:16" x14ac:dyDescent="0.15">
      <c r="A564" s="5" t="s">
        <v>1305</v>
      </c>
      <c r="B564" s="5" t="s">
        <v>1562</v>
      </c>
      <c r="C564" s="5" t="s">
        <v>1566</v>
      </c>
      <c r="D564" s="5" t="s">
        <v>1694</v>
      </c>
      <c r="E564" s="5" t="s">
        <v>37</v>
      </c>
      <c r="F564" s="12">
        <v>43510.973946759259</v>
      </c>
      <c r="G564" t="s">
        <v>8724</v>
      </c>
      <c r="H564" s="5" t="s">
        <v>1307</v>
      </c>
      <c r="I564" s="6">
        <v>21450</v>
      </c>
      <c r="J564" s="5" t="s">
        <v>15</v>
      </c>
      <c r="K564" s="6">
        <v>0.64</v>
      </c>
      <c r="L564" s="6">
        <v>13728</v>
      </c>
      <c r="M564" s="5" t="s">
        <v>1557</v>
      </c>
      <c r="N564" s="5" t="s">
        <v>1558</v>
      </c>
      <c r="O564" s="13">
        <v>43515</v>
      </c>
      <c r="P564" t="s">
        <v>8724</v>
      </c>
    </row>
    <row r="565" spans="1:16" x14ac:dyDescent="0.15">
      <c r="A565" s="5" t="s">
        <v>1312</v>
      </c>
      <c r="B565" s="5" t="s">
        <v>1562</v>
      </c>
      <c r="C565" s="5" t="s">
        <v>1566</v>
      </c>
      <c r="D565" s="5" t="s">
        <v>1694</v>
      </c>
      <c r="E565" s="5" t="s">
        <v>37</v>
      </c>
      <c r="F565" s="12">
        <v>43613.601180555554</v>
      </c>
      <c r="G565" t="s">
        <v>8727</v>
      </c>
      <c r="H565" s="5" t="s">
        <v>1313</v>
      </c>
      <c r="I565" s="6">
        <v>27885</v>
      </c>
      <c r="J565" s="5" t="s">
        <v>15</v>
      </c>
      <c r="K565" s="6">
        <v>0.67</v>
      </c>
      <c r="L565" s="6">
        <v>18682.95</v>
      </c>
      <c r="M565" s="5" t="s">
        <v>1557</v>
      </c>
      <c r="N565" s="5" t="s">
        <v>1558</v>
      </c>
      <c r="O565" s="13">
        <v>43620</v>
      </c>
      <c r="P565" t="s">
        <v>8728</v>
      </c>
    </row>
    <row r="566" spans="1:16" x14ac:dyDescent="0.15">
      <c r="A566" s="5" t="s">
        <v>1314</v>
      </c>
      <c r="B566" s="5" t="s">
        <v>1562</v>
      </c>
      <c r="C566" s="5" t="s">
        <v>1566</v>
      </c>
      <c r="D566" s="5" t="s">
        <v>1694</v>
      </c>
      <c r="E566" s="5" t="s">
        <v>37</v>
      </c>
      <c r="F566" s="12">
        <v>43623.789768518516</v>
      </c>
      <c r="G566" t="s">
        <v>8728</v>
      </c>
      <c r="H566" s="5" t="s">
        <v>1315</v>
      </c>
      <c r="I566" s="6">
        <v>19305</v>
      </c>
      <c r="J566" s="5" t="s">
        <v>15</v>
      </c>
      <c r="K566" s="6">
        <v>0.67</v>
      </c>
      <c r="L566" s="6">
        <v>12934.35</v>
      </c>
      <c r="M566" s="5" t="s">
        <v>1557</v>
      </c>
      <c r="N566" s="5" t="s">
        <v>1558</v>
      </c>
      <c r="O566" s="13">
        <v>43633</v>
      </c>
      <c r="P566" t="s">
        <v>8728</v>
      </c>
    </row>
    <row r="567" spans="1:16" x14ac:dyDescent="0.15">
      <c r="A567" s="5" t="s">
        <v>1319</v>
      </c>
      <c r="B567" s="5" t="s">
        <v>1562</v>
      </c>
      <c r="C567" s="5" t="s">
        <v>1566</v>
      </c>
      <c r="D567" s="5" t="s">
        <v>1694</v>
      </c>
      <c r="E567" s="5" t="s">
        <v>37</v>
      </c>
      <c r="F567" s="12">
        <v>43640.956689814811</v>
      </c>
      <c r="G567" t="s">
        <v>8728</v>
      </c>
      <c r="H567" s="5" t="s">
        <v>1320</v>
      </c>
      <c r="I567" s="6">
        <v>21450</v>
      </c>
      <c r="J567" s="5" t="s">
        <v>15</v>
      </c>
      <c r="K567" s="6">
        <v>0.67</v>
      </c>
      <c r="L567" s="6">
        <v>14371.5</v>
      </c>
      <c r="M567" s="5" t="s">
        <v>1557</v>
      </c>
      <c r="N567" s="5" t="s">
        <v>1558</v>
      </c>
      <c r="O567" s="13">
        <v>43641</v>
      </c>
      <c r="P567" t="s">
        <v>8728</v>
      </c>
    </row>
    <row r="568" spans="1:16" x14ac:dyDescent="0.15">
      <c r="A568" s="5" t="s">
        <v>1336</v>
      </c>
      <c r="B568" s="5" t="s">
        <v>1562</v>
      </c>
      <c r="C568" s="5" t="s">
        <v>1566</v>
      </c>
      <c r="D568" s="5" t="s">
        <v>1695</v>
      </c>
      <c r="E568" s="5" t="s">
        <v>37</v>
      </c>
      <c r="F568" s="12">
        <v>43514.886006944442</v>
      </c>
      <c r="G568" t="s">
        <v>8724</v>
      </c>
      <c r="H568" s="5" t="s">
        <v>1338</v>
      </c>
      <c r="I568" s="6">
        <v>9750</v>
      </c>
      <c r="J568" s="5" t="s">
        <v>15</v>
      </c>
      <c r="K568" s="6">
        <v>0.64</v>
      </c>
      <c r="L568" s="6">
        <v>6240</v>
      </c>
      <c r="M568" s="5" t="s">
        <v>1557</v>
      </c>
      <c r="N568" s="5" t="s">
        <v>1558</v>
      </c>
      <c r="O568" s="13">
        <v>43514</v>
      </c>
      <c r="P568" t="s">
        <v>8724</v>
      </c>
    </row>
    <row r="569" spans="1:16" x14ac:dyDescent="0.15">
      <c r="A569" s="5" t="s">
        <v>1343</v>
      </c>
      <c r="B569" s="5" t="s">
        <v>1562</v>
      </c>
      <c r="C569" s="5" t="s">
        <v>1566</v>
      </c>
      <c r="D569" s="5" t="s">
        <v>1695</v>
      </c>
      <c r="E569" s="5" t="s">
        <v>37</v>
      </c>
      <c r="F569" s="12">
        <v>43532.743263888886</v>
      </c>
      <c r="G569" t="s">
        <v>8725</v>
      </c>
      <c r="H569" s="5" t="s">
        <v>1344</v>
      </c>
      <c r="I569" s="6">
        <v>13650</v>
      </c>
      <c r="J569" s="5" t="s">
        <v>15</v>
      </c>
      <c r="K569" s="6">
        <v>0.67</v>
      </c>
      <c r="L569" s="6">
        <v>9145.5</v>
      </c>
      <c r="M569" s="5" t="s">
        <v>1557</v>
      </c>
      <c r="N569" s="5" t="s">
        <v>1558</v>
      </c>
      <c r="O569" s="13">
        <v>43535</v>
      </c>
      <c r="P569" t="s">
        <v>8725</v>
      </c>
    </row>
    <row r="570" spans="1:16" x14ac:dyDescent="0.15">
      <c r="A570" s="5" t="s">
        <v>1345</v>
      </c>
      <c r="B570" s="5" t="s">
        <v>1562</v>
      </c>
      <c r="C570" s="5" t="s">
        <v>1566</v>
      </c>
      <c r="D570" s="5" t="s">
        <v>1695</v>
      </c>
      <c r="E570" s="5" t="s">
        <v>37</v>
      </c>
      <c r="F570" s="12">
        <v>43550.692025462966</v>
      </c>
      <c r="G570" t="s">
        <v>8725</v>
      </c>
      <c r="H570" s="5" t="s">
        <v>1346</v>
      </c>
      <c r="I570" s="6">
        <v>13650</v>
      </c>
      <c r="J570" s="5" t="s">
        <v>15</v>
      </c>
      <c r="K570" s="6">
        <v>0.67</v>
      </c>
      <c r="L570" s="6">
        <v>9145.5</v>
      </c>
      <c r="M570" s="5" t="s">
        <v>1557</v>
      </c>
      <c r="N570" s="5" t="s">
        <v>1558</v>
      </c>
      <c r="O570" s="13">
        <v>43566</v>
      </c>
      <c r="P570" t="s">
        <v>8726</v>
      </c>
    </row>
    <row r="571" spans="1:16" x14ac:dyDescent="0.15">
      <c r="A571" s="5" t="s">
        <v>1347</v>
      </c>
      <c r="B571" s="5" t="s">
        <v>1562</v>
      </c>
      <c r="C571" s="5" t="s">
        <v>1566</v>
      </c>
      <c r="D571" s="5" t="s">
        <v>1695</v>
      </c>
      <c r="E571" s="5" t="s">
        <v>37</v>
      </c>
      <c r="F571" s="12">
        <v>43563.799826388888</v>
      </c>
      <c r="G571" t="s">
        <v>8726</v>
      </c>
      <c r="H571" s="5" t="s">
        <v>1348</v>
      </c>
      <c r="I571" s="6">
        <v>25350</v>
      </c>
      <c r="J571" s="5" t="s">
        <v>15</v>
      </c>
      <c r="K571" s="6">
        <v>0.67</v>
      </c>
      <c r="L571" s="6">
        <v>16984.5</v>
      </c>
      <c r="M571" s="5" t="s">
        <v>1557</v>
      </c>
      <c r="N571" s="5" t="s">
        <v>1558</v>
      </c>
      <c r="O571" s="13">
        <v>43563</v>
      </c>
      <c r="P571" t="s">
        <v>8726</v>
      </c>
    </row>
    <row r="572" spans="1:16" x14ac:dyDescent="0.15">
      <c r="A572" s="5" t="s">
        <v>1351</v>
      </c>
      <c r="B572" s="5" t="s">
        <v>1562</v>
      </c>
      <c r="C572" s="5" t="s">
        <v>1566</v>
      </c>
      <c r="D572" s="5" t="s">
        <v>1695</v>
      </c>
      <c r="E572" s="5" t="s">
        <v>37</v>
      </c>
      <c r="F572" s="12">
        <v>43605.590162037035</v>
      </c>
      <c r="G572" t="s">
        <v>8727</v>
      </c>
      <c r="H572" s="5" t="s">
        <v>1356</v>
      </c>
      <c r="I572" s="6">
        <v>7800</v>
      </c>
      <c r="J572" s="5" t="s">
        <v>15</v>
      </c>
      <c r="K572" s="6">
        <v>0.67</v>
      </c>
      <c r="L572" s="6">
        <v>5226</v>
      </c>
      <c r="M572" s="5" t="s">
        <v>1557</v>
      </c>
      <c r="N572" s="5" t="s">
        <v>1558</v>
      </c>
      <c r="O572" s="13">
        <v>43612</v>
      </c>
      <c r="P572" t="s">
        <v>8727</v>
      </c>
    </row>
    <row r="573" spans="1:16" x14ac:dyDescent="0.15">
      <c r="A573" s="5" t="s">
        <v>1357</v>
      </c>
      <c r="B573" s="5" t="s">
        <v>1562</v>
      </c>
      <c r="C573" s="5" t="s">
        <v>1566</v>
      </c>
      <c r="D573" s="5" t="s">
        <v>1695</v>
      </c>
      <c r="E573" s="5" t="s">
        <v>37</v>
      </c>
      <c r="F573" s="12">
        <v>43606.654513888891</v>
      </c>
      <c r="G573" t="s">
        <v>8727</v>
      </c>
      <c r="H573" s="5" t="s">
        <v>1359</v>
      </c>
      <c r="I573" s="6">
        <v>3900</v>
      </c>
      <c r="J573" s="5" t="s">
        <v>15</v>
      </c>
      <c r="K573" s="6">
        <v>0.67</v>
      </c>
      <c r="L573" s="6">
        <v>2613</v>
      </c>
      <c r="M573" s="5" t="s">
        <v>1557</v>
      </c>
      <c r="N573" s="5" t="s">
        <v>1558</v>
      </c>
      <c r="O573" s="13">
        <v>43613</v>
      </c>
      <c r="P573" t="s">
        <v>8727</v>
      </c>
    </row>
    <row r="574" spans="1:16" x14ac:dyDescent="0.15">
      <c r="A574" s="5" t="s">
        <v>1360</v>
      </c>
      <c r="B574" s="5" t="s">
        <v>1562</v>
      </c>
      <c r="C574" s="5" t="s">
        <v>1566</v>
      </c>
      <c r="D574" s="5" t="s">
        <v>1695</v>
      </c>
      <c r="E574" s="5" t="s">
        <v>37</v>
      </c>
      <c r="F574" s="12">
        <v>43627.609143518515</v>
      </c>
      <c r="G574" t="s">
        <v>8728</v>
      </c>
      <c r="H574" s="5" t="s">
        <v>1361</v>
      </c>
      <c r="I574" s="6">
        <v>17550</v>
      </c>
      <c r="J574" s="5" t="s">
        <v>15</v>
      </c>
      <c r="K574" s="6">
        <v>0.67</v>
      </c>
      <c r="L574" s="6">
        <v>11758.5</v>
      </c>
      <c r="M574" s="5" t="s">
        <v>1557</v>
      </c>
      <c r="N574" s="5" t="s">
        <v>1558</v>
      </c>
      <c r="O574" s="13">
        <v>43633</v>
      </c>
      <c r="P574" t="s">
        <v>8728</v>
      </c>
    </row>
    <row r="575" spans="1:16" x14ac:dyDescent="0.15">
      <c r="A575" s="5" t="s">
        <v>1363</v>
      </c>
      <c r="B575" s="5" t="s">
        <v>1562</v>
      </c>
      <c r="C575" s="5" t="s">
        <v>1566</v>
      </c>
      <c r="D575" s="5" t="s">
        <v>1695</v>
      </c>
      <c r="E575" s="5" t="s">
        <v>37</v>
      </c>
      <c r="F575" s="12">
        <v>43627.609803240739</v>
      </c>
      <c r="G575" t="s">
        <v>8728</v>
      </c>
      <c r="H575" s="5" t="s">
        <v>1364</v>
      </c>
      <c r="I575" s="6">
        <v>19500</v>
      </c>
      <c r="J575" s="5" t="s">
        <v>15</v>
      </c>
      <c r="K575" s="6">
        <v>0.67</v>
      </c>
      <c r="L575" s="6">
        <v>13065</v>
      </c>
      <c r="M575" s="5" t="s">
        <v>1557</v>
      </c>
      <c r="N575" s="5" t="s">
        <v>1558</v>
      </c>
      <c r="O575" s="13">
        <v>43641</v>
      </c>
      <c r="P575" t="s">
        <v>8728</v>
      </c>
    </row>
    <row r="576" spans="1:16" x14ac:dyDescent="0.15">
      <c r="A576" s="5" t="s">
        <v>1366</v>
      </c>
      <c r="B576" s="5" t="s">
        <v>1562</v>
      </c>
      <c r="C576" s="5" t="s">
        <v>1566</v>
      </c>
      <c r="D576" s="5" t="s">
        <v>1695</v>
      </c>
      <c r="E576" s="5" t="s">
        <v>37</v>
      </c>
      <c r="F576" s="12">
        <v>43635.880347222221</v>
      </c>
      <c r="G576" t="s">
        <v>8728</v>
      </c>
      <c r="H576" s="5" t="s">
        <v>1367</v>
      </c>
      <c r="I576" s="6">
        <v>19500</v>
      </c>
      <c r="J576" s="5" t="s">
        <v>15</v>
      </c>
      <c r="K576" s="6">
        <v>0.67</v>
      </c>
      <c r="L576" s="6">
        <v>13065</v>
      </c>
      <c r="M576" s="5" t="s">
        <v>1557</v>
      </c>
      <c r="N576" s="5" t="s">
        <v>1558</v>
      </c>
      <c r="O576" s="13">
        <v>43641</v>
      </c>
      <c r="P576" t="s">
        <v>8728</v>
      </c>
    </row>
    <row r="577" spans="1:16" x14ac:dyDescent="0.15">
      <c r="A577" s="5" t="s">
        <v>1369</v>
      </c>
      <c r="B577" s="5" t="s">
        <v>1562</v>
      </c>
      <c r="C577" s="5" t="s">
        <v>1566</v>
      </c>
      <c r="D577" s="5" t="s">
        <v>1695</v>
      </c>
      <c r="E577" s="5" t="s">
        <v>37</v>
      </c>
      <c r="F577" s="12">
        <v>43654.84648148148</v>
      </c>
      <c r="G577" t="s">
        <v>8729</v>
      </c>
      <c r="H577" s="5" t="s">
        <v>1371</v>
      </c>
      <c r="I577" s="6">
        <v>19500</v>
      </c>
      <c r="J577" s="5" t="s">
        <v>15</v>
      </c>
      <c r="K577" s="6">
        <v>0.67</v>
      </c>
      <c r="L577" s="6">
        <v>13065</v>
      </c>
      <c r="M577" s="5" t="s">
        <v>1557</v>
      </c>
      <c r="N577" s="5" t="s">
        <v>1558</v>
      </c>
      <c r="O577" s="13">
        <v>43665</v>
      </c>
      <c r="P577" t="s">
        <v>8729</v>
      </c>
    </row>
    <row r="578" spans="1:16" x14ac:dyDescent="0.15">
      <c r="A578" s="5" t="s">
        <v>1372</v>
      </c>
      <c r="B578" s="5" t="s">
        <v>1562</v>
      </c>
      <c r="C578" s="5" t="s">
        <v>1566</v>
      </c>
      <c r="D578" s="5" t="s">
        <v>1695</v>
      </c>
      <c r="E578" s="5" t="s">
        <v>37</v>
      </c>
      <c r="F578" s="12">
        <v>43656.936377314814</v>
      </c>
      <c r="G578" t="s">
        <v>8729</v>
      </c>
      <c r="H578" s="5" t="s">
        <v>1374</v>
      </c>
      <c r="I578" s="6">
        <v>13650</v>
      </c>
      <c r="J578" s="5" t="s">
        <v>15</v>
      </c>
      <c r="K578" s="6">
        <v>0.67</v>
      </c>
      <c r="L578" s="6">
        <v>9145.5</v>
      </c>
      <c r="M578" s="5" t="s">
        <v>1557</v>
      </c>
      <c r="N578" s="5" t="s">
        <v>1558</v>
      </c>
      <c r="O578" s="13">
        <v>43661</v>
      </c>
      <c r="P578" t="s">
        <v>8729</v>
      </c>
    </row>
    <row r="579" spans="1:16" x14ac:dyDescent="0.15">
      <c r="A579" s="5" t="s">
        <v>1376</v>
      </c>
      <c r="B579" s="5" t="s">
        <v>1562</v>
      </c>
      <c r="C579" s="5" t="s">
        <v>1566</v>
      </c>
      <c r="D579" s="5" t="s">
        <v>1695</v>
      </c>
      <c r="E579" s="5" t="s">
        <v>37</v>
      </c>
      <c r="F579" s="12">
        <v>43661.539004629631</v>
      </c>
      <c r="G579" t="s">
        <v>8729</v>
      </c>
      <c r="H579" s="5" t="s">
        <v>1377</v>
      </c>
      <c r="I579" s="6">
        <v>19500</v>
      </c>
      <c r="J579" s="5" t="s">
        <v>15</v>
      </c>
      <c r="K579" s="6">
        <v>0.67</v>
      </c>
      <c r="L579" s="6">
        <v>13065</v>
      </c>
      <c r="M579" s="5" t="s">
        <v>1557</v>
      </c>
      <c r="N579" s="5" t="s">
        <v>1558</v>
      </c>
      <c r="O579" s="13">
        <v>43675</v>
      </c>
      <c r="P579" t="s">
        <v>8729</v>
      </c>
    </row>
    <row r="580" spans="1:16" x14ac:dyDescent="0.15">
      <c r="A580" s="5" t="s">
        <v>1379</v>
      </c>
      <c r="B580" s="5" t="s">
        <v>1562</v>
      </c>
      <c r="C580" s="5" t="s">
        <v>1566</v>
      </c>
      <c r="D580" s="5" t="s">
        <v>1695</v>
      </c>
      <c r="E580" s="5" t="s">
        <v>37</v>
      </c>
      <c r="F580" s="12">
        <v>43685.621817129628</v>
      </c>
      <c r="G580" t="s">
        <v>8730</v>
      </c>
      <c r="H580" s="5" t="s">
        <v>1381</v>
      </c>
      <c r="I580" s="6">
        <v>21450</v>
      </c>
      <c r="J580" s="5" t="s">
        <v>15</v>
      </c>
      <c r="K580" s="6">
        <v>0.67</v>
      </c>
      <c r="L580" s="6">
        <v>14371.5</v>
      </c>
      <c r="M580" s="5" t="s">
        <v>1557</v>
      </c>
      <c r="N580" s="5" t="s">
        <v>1558</v>
      </c>
      <c r="O580" s="13">
        <v>43696</v>
      </c>
      <c r="P580" t="s">
        <v>8730</v>
      </c>
    </row>
    <row r="581" spans="1:16" x14ac:dyDescent="0.15">
      <c r="A581" s="5" t="s">
        <v>1398</v>
      </c>
      <c r="B581" s="5" t="s">
        <v>1562</v>
      </c>
      <c r="C581" s="5" t="s">
        <v>1566</v>
      </c>
      <c r="D581" s="5" t="s">
        <v>1696</v>
      </c>
      <c r="E581" s="5" t="s">
        <v>37</v>
      </c>
      <c r="F581" s="12">
        <v>43668.553055555552</v>
      </c>
      <c r="G581" t="s">
        <v>8729</v>
      </c>
      <c r="H581" s="5" t="s">
        <v>1400</v>
      </c>
      <c r="I581" s="6">
        <v>3900</v>
      </c>
      <c r="J581" s="5" t="s">
        <v>15</v>
      </c>
      <c r="K581" s="6">
        <v>0.67</v>
      </c>
      <c r="L581" s="6">
        <v>2613</v>
      </c>
      <c r="M581" s="5" t="s">
        <v>1557</v>
      </c>
      <c r="N581" s="5" t="s">
        <v>1558</v>
      </c>
      <c r="O581" s="13">
        <v>43724</v>
      </c>
      <c r="P581" t="s">
        <v>8731</v>
      </c>
    </row>
    <row r="582" spans="1:16" x14ac:dyDescent="0.15">
      <c r="A582" s="5" t="s">
        <v>1404</v>
      </c>
      <c r="B582" s="5" t="s">
        <v>1562</v>
      </c>
      <c r="C582" s="5" t="s">
        <v>1566</v>
      </c>
      <c r="D582" s="5" t="s">
        <v>1701</v>
      </c>
      <c r="E582" s="5" t="s">
        <v>37</v>
      </c>
      <c r="F582" s="12">
        <v>43571.622395833336</v>
      </c>
      <c r="G582" t="s">
        <v>8726</v>
      </c>
      <c r="H582" s="5" t="s">
        <v>1405</v>
      </c>
      <c r="I582" s="6">
        <v>23400</v>
      </c>
      <c r="J582" s="5" t="s">
        <v>15</v>
      </c>
      <c r="K582" s="6">
        <v>0.67</v>
      </c>
      <c r="L582" s="6">
        <v>15678</v>
      </c>
      <c r="M582" s="5" t="s">
        <v>1557</v>
      </c>
      <c r="N582" s="5" t="s">
        <v>1558</v>
      </c>
      <c r="O582" s="13">
        <v>43571</v>
      </c>
      <c r="P582" t="s">
        <v>8726</v>
      </c>
    </row>
    <row r="583" spans="1:16" x14ac:dyDescent="0.15">
      <c r="A583" s="5" t="s">
        <v>1407</v>
      </c>
      <c r="B583" s="5" t="s">
        <v>1562</v>
      </c>
      <c r="C583" s="5" t="s">
        <v>1566</v>
      </c>
      <c r="D583" s="5" t="s">
        <v>1701</v>
      </c>
      <c r="E583" s="5" t="s">
        <v>37</v>
      </c>
      <c r="F583" s="12">
        <v>43587.925312500003</v>
      </c>
      <c r="G583" t="s">
        <v>8727</v>
      </c>
      <c r="H583" s="5" t="s">
        <v>1408</v>
      </c>
      <c r="I583" s="6">
        <v>25350</v>
      </c>
      <c r="J583" s="5" t="s">
        <v>15</v>
      </c>
      <c r="K583" s="6">
        <v>0.67</v>
      </c>
      <c r="L583" s="6">
        <v>16984.5</v>
      </c>
      <c r="M583" s="5" t="s">
        <v>1557</v>
      </c>
      <c r="N583" s="5" t="s">
        <v>1558</v>
      </c>
      <c r="O583" s="13">
        <v>43592</v>
      </c>
      <c r="P583" t="s">
        <v>8727</v>
      </c>
    </row>
    <row r="584" spans="1:16" x14ac:dyDescent="0.15">
      <c r="A584" s="5" t="s">
        <v>1412</v>
      </c>
      <c r="B584" s="5" t="s">
        <v>1562</v>
      </c>
      <c r="C584" s="5" t="s">
        <v>1566</v>
      </c>
      <c r="D584" s="5" t="s">
        <v>1701</v>
      </c>
      <c r="E584" s="5" t="s">
        <v>37</v>
      </c>
      <c r="F584" s="12">
        <v>43595.868564814817</v>
      </c>
      <c r="G584" t="s">
        <v>8727</v>
      </c>
      <c r="H584" s="5" t="s">
        <v>1414</v>
      </c>
      <c r="I584" s="6">
        <v>15600</v>
      </c>
      <c r="J584" s="5" t="s">
        <v>15</v>
      </c>
      <c r="K584" s="6">
        <v>0.67</v>
      </c>
      <c r="L584" s="6">
        <v>10452</v>
      </c>
      <c r="M584" s="5" t="s">
        <v>1557</v>
      </c>
      <c r="N584" s="5" t="s">
        <v>1558</v>
      </c>
      <c r="O584" s="13">
        <v>43600</v>
      </c>
      <c r="P584" t="s">
        <v>8727</v>
      </c>
    </row>
    <row r="585" spans="1:16" x14ac:dyDescent="0.15">
      <c r="A585" s="5" t="s">
        <v>1417</v>
      </c>
      <c r="B585" s="5" t="s">
        <v>1562</v>
      </c>
      <c r="C585" s="5" t="s">
        <v>1566</v>
      </c>
      <c r="D585" s="5" t="s">
        <v>1697</v>
      </c>
      <c r="E585" s="5" t="s">
        <v>37</v>
      </c>
      <c r="F585" s="12">
        <v>43606.865844907406</v>
      </c>
      <c r="G585" t="s">
        <v>8727</v>
      </c>
      <c r="H585" s="5" t="s">
        <v>1418</v>
      </c>
      <c r="I585" s="6">
        <v>25350</v>
      </c>
      <c r="J585" s="5" t="s">
        <v>15</v>
      </c>
      <c r="K585" s="6">
        <v>0.67</v>
      </c>
      <c r="L585" s="6">
        <v>16984.5</v>
      </c>
      <c r="M585" s="5" t="s">
        <v>1557</v>
      </c>
      <c r="N585" s="5" t="s">
        <v>1558</v>
      </c>
      <c r="O585" s="13">
        <v>43607</v>
      </c>
      <c r="P585" t="s">
        <v>8727</v>
      </c>
    </row>
    <row r="586" spans="1:16" x14ac:dyDescent="0.15">
      <c r="A586" s="5" t="s">
        <v>1421</v>
      </c>
      <c r="B586" s="5" t="s">
        <v>1562</v>
      </c>
      <c r="C586" s="5" t="s">
        <v>1566</v>
      </c>
      <c r="D586" s="5" t="s">
        <v>1701</v>
      </c>
      <c r="E586" s="5" t="s">
        <v>37</v>
      </c>
      <c r="F586" s="12">
        <v>43608.866655092592</v>
      </c>
      <c r="G586" t="s">
        <v>8727</v>
      </c>
      <c r="H586" s="5" t="s">
        <v>1422</v>
      </c>
      <c r="I586" s="6">
        <v>25350</v>
      </c>
      <c r="J586" s="5" t="s">
        <v>15</v>
      </c>
      <c r="K586" s="6">
        <v>0.67</v>
      </c>
      <c r="L586" s="6">
        <v>16984.5</v>
      </c>
      <c r="M586" s="5" t="s">
        <v>1557</v>
      </c>
      <c r="N586" s="5" t="s">
        <v>1558</v>
      </c>
      <c r="O586" s="13">
        <v>43615</v>
      </c>
      <c r="P586" t="s">
        <v>8727</v>
      </c>
    </row>
    <row r="587" spans="1:16" x14ac:dyDescent="0.15">
      <c r="A587" s="5" t="s">
        <v>1423</v>
      </c>
      <c r="B587" s="5" t="s">
        <v>1562</v>
      </c>
      <c r="C587" s="5" t="s">
        <v>1566</v>
      </c>
      <c r="D587" s="5" t="s">
        <v>1697</v>
      </c>
      <c r="E587" s="5" t="s">
        <v>37</v>
      </c>
      <c r="F587" s="12">
        <v>43612.604201388887</v>
      </c>
      <c r="G587" t="s">
        <v>8727</v>
      </c>
      <c r="H587" s="5" t="s">
        <v>1424</v>
      </c>
      <c r="I587" s="6">
        <v>25350</v>
      </c>
      <c r="J587" s="5" t="s">
        <v>15</v>
      </c>
      <c r="K587" s="6">
        <v>0.67</v>
      </c>
      <c r="L587" s="6">
        <v>16984.5</v>
      </c>
      <c r="M587" s="5" t="s">
        <v>1557</v>
      </c>
      <c r="N587" s="5" t="s">
        <v>1558</v>
      </c>
      <c r="O587" s="13">
        <v>43614</v>
      </c>
      <c r="P587" t="s">
        <v>8727</v>
      </c>
    </row>
    <row r="588" spans="1:16" x14ac:dyDescent="0.15">
      <c r="A588" s="5" t="s">
        <v>1425</v>
      </c>
      <c r="B588" s="5" t="s">
        <v>1562</v>
      </c>
      <c r="C588" s="5" t="s">
        <v>1566</v>
      </c>
      <c r="D588" s="5" t="s">
        <v>1701</v>
      </c>
      <c r="E588" s="5" t="s">
        <v>37</v>
      </c>
      <c r="F588" s="12">
        <v>43614.947905092595</v>
      </c>
      <c r="G588" t="s">
        <v>8727</v>
      </c>
      <c r="H588" s="5" t="s">
        <v>1427</v>
      </c>
      <c r="I588" s="6">
        <v>1950</v>
      </c>
      <c r="J588" s="5" t="s">
        <v>15</v>
      </c>
      <c r="K588" s="6">
        <v>0.67</v>
      </c>
      <c r="L588" s="6">
        <v>1306.5</v>
      </c>
      <c r="M588" s="5" t="s">
        <v>1557</v>
      </c>
      <c r="N588" s="5" t="s">
        <v>1558</v>
      </c>
      <c r="O588" s="13">
        <v>43621</v>
      </c>
      <c r="P588" t="s">
        <v>8728</v>
      </c>
    </row>
    <row r="589" spans="1:16" x14ac:dyDescent="0.15">
      <c r="A589" s="5" t="s">
        <v>1429</v>
      </c>
      <c r="B589" s="5" t="s">
        <v>1562</v>
      </c>
      <c r="C589" s="5" t="s">
        <v>1566</v>
      </c>
      <c r="D589" s="5" t="s">
        <v>1697</v>
      </c>
      <c r="E589" s="5" t="s">
        <v>37</v>
      </c>
      <c r="F589" s="12">
        <v>43621.798043981478</v>
      </c>
      <c r="G589" t="s">
        <v>8728</v>
      </c>
      <c r="H589" s="5" t="s">
        <v>1430</v>
      </c>
      <c r="I589" s="6">
        <v>25350</v>
      </c>
      <c r="J589" s="5" t="s">
        <v>15</v>
      </c>
      <c r="K589" s="6">
        <v>0.67</v>
      </c>
      <c r="L589" s="6">
        <v>16984.5</v>
      </c>
      <c r="M589" s="5" t="s">
        <v>1557</v>
      </c>
      <c r="N589" s="5" t="s">
        <v>1558</v>
      </c>
      <c r="O589" s="13">
        <v>43623</v>
      </c>
      <c r="P589" t="s">
        <v>8728</v>
      </c>
    </row>
    <row r="590" spans="1:16" x14ac:dyDescent="0.15">
      <c r="A590" s="5" t="s">
        <v>1431</v>
      </c>
      <c r="B590" s="5" t="s">
        <v>1562</v>
      </c>
      <c r="C590" s="5" t="s">
        <v>1566</v>
      </c>
      <c r="D590" s="5" t="s">
        <v>1697</v>
      </c>
      <c r="E590" s="5" t="s">
        <v>37</v>
      </c>
      <c r="F590" s="12">
        <v>43621.79859953704</v>
      </c>
      <c r="G590" t="s">
        <v>8728</v>
      </c>
      <c r="H590" s="5" t="s">
        <v>1432</v>
      </c>
      <c r="I590" s="6">
        <v>25350</v>
      </c>
      <c r="J590" s="5" t="s">
        <v>15</v>
      </c>
      <c r="K590" s="6">
        <v>0.67</v>
      </c>
      <c r="L590" s="6">
        <v>16984.5</v>
      </c>
      <c r="M590" s="5" t="s">
        <v>1557</v>
      </c>
      <c r="N590" s="5" t="s">
        <v>1558</v>
      </c>
      <c r="O590" s="13">
        <v>43623</v>
      </c>
      <c r="P590" t="s">
        <v>8728</v>
      </c>
    </row>
    <row r="591" spans="1:16" x14ac:dyDescent="0.15">
      <c r="A591" s="5" t="s">
        <v>1433</v>
      </c>
      <c r="B591" s="5" t="s">
        <v>1562</v>
      </c>
      <c r="C591" s="5" t="s">
        <v>1566</v>
      </c>
      <c r="D591" s="5" t="s">
        <v>1697</v>
      </c>
      <c r="E591" s="5" t="s">
        <v>37</v>
      </c>
      <c r="F591" s="12">
        <v>43627.60533564815</v>
      </c>
      <c r="G591" t="s">
        <v>8728</v>
      </c>
      <c r="H591" s="5" t="s">
        <v>1434</v>
      </c>
      <c r="I591" s="6">
        <v>25350</v>
      </c>
      <c r="J591" s="5" t="s">
        <v>15</v>
      </c>
      <c r="K591" s="6">
        <v>0.67</v>
      </c>
      <c r="L591" s="6">
        <v>16984.5</v>
      </c>
      <c r="M591" s="5" t="s">
        <v>1557</v>
      </c>
      <c r="N591" s="5" t="s">
        <v>1558</v>
      </c>
      <c r="O591" s="13">
        <v>43633</v>
      </c>
      <c r="P591" t="s">
        <v>8728</v>
      </c>
    </row>
    <row r="592" spans="1:16" x14ac:dyDescent="0.15">
      <c r="A592" s="5" t="s">
        <v>1436</v>
      </c>
      <c r="B592" s="5" t="s">
        <v>1562</v>
      </c>
      <c r="C592" s="5" t="s">
        <v>1566</v>
      </c>
      <c r="D592" s="5" t="s">
        <v>1697</v>
      </c>
      <c r="E592" s="5" t="s">
        <v>37</v>
      </c>
      <c r="F592" s="12">
        <v>43627.606053240743</v>
      </c>
      <c r="G592" t="s">
        <v>8728</v>
      </c>
      <c r="H592" s="5" t="s">
        <v>1437</v>
      </c>
      <c r="I592" s="6">
        <v>50700</v>
      </c>
      <c r="J592" s="5" t="s">
        <v>15</v>
      </c>
      <c r="K592" s="6">
        <v>0.67</v>
      </c>
      <c r="L592" s="6">
        <v>33969</v>
      </c>
      <c r="M592" s="5" t="s">
        <v>1557</v>
      </c>
      <c r="N592" s="5" t="s">
        <v>1558</v>
      </c>
      <c r="O592" s="13">
        <v>43640</v>
      </c>
      <c r="P592" t="s">
        <v>8728</v>
      </c>
    </row>
    <row r="593" spans="1:16" x14ac:dyDescent="0.15">
      <c r="A593" s="5" t="s">
        <v>1438</v>
      </c>
      <c r="B593" s="5" t="s">
        <v>1562</v>
      </c>
      <c r="C593" s="5" t="s">
        <v>1566</v>
      </c>
      <c r="D593" s="5" t="s">
        <v>1697</v>
      </c>
      <c r="E593" s="5" t="s">
        <v>37</v>
      </c>
      <c r="F593" s="12">
        <v>43633.668483796297</v>
      </c>
      <c r="G593" t="s">
        <v>8728</v>
      </c>
      <c r="H593" s="5" t="s">
        <v>1439</v>
      </c>
      <c r="I593" s="6">
        <v>50700</v>
      </c>
      <c r="J593" s="5" t="s">
        <v>15</v>
      </c>
      <c r="K593" s="6">
        <v>0.67</v>
      </c>
      <c r="L593" s="6">
        <v>33969</v>
      </c>
      <c r="M593" s="5" t="s">
        <v>1557</v>
      </c>
      <c r="N593" s="5" t="s">
        <v>1558</v>
      </c>
      <c r="O593" s="13">
        <v>43657</v>
      </c>
      <c r="P593" t="s">
        <v>8729</v>
      </c>
    </row>
    <row r="594" spans="1:16" x14ac:dyDescent="0.15">
      <c r="A594" s="5" t="s">
        <v>1442</v>
      </c>
      <c r="B594" s="5" t="s">
        <v>1562</v>
      </c>
      <c r="C594" s="5" t="s">
        <v>1566</v>
      </c>
      <c r="D594" s="5" t="s">
        <v>1697</v>
      </c>
      <c r="E594" s="5" t="s">
        <v>37</v>
      </c>
      <c r="F594" s="12">
        <v>43648.594282407408</v>
      </c>
      <c r="G594" t="s">
        <v>8729</v>
      </c>
      <c r="H594" s="5" t="s">
        <v>1443</v>
      </c>
      <c r="I594" s="6">
        <v>13650</v>
      </c>
      <c r="J594" s="5" t="s">
        <v>15</v>
      </c>
      <c r="K594" s="6">
        <v>0.67</v>
      </c>
      <c r="L594" s="6">
        <v>9145.5</v>
      </c>
      <c r="M594" s="5" t="s">
        <v>1557</v>
      </c>
      <c r="N594" s="5" t="s">
        <v>1558</v>
      </c>
      <c r="O594" s="13">
        <v>43663</v>
      </c>
      <c r="P594" t="s">
        <v>8729</v>
      </c>
    </row>
    <row r="595" spans="1:16" x14ac:dyDescent="0.15">
      <c r="A595" s="5" t="s">
        <v>1444</v>
      </c>
      <c r="B595" s="5" t="s">
        <v>1562</v>
      </c>
      <c r="C595" s="5" t="s">
        <v>1566</v>
      </c>
      <c r="D595" s="5" t="s">
        <v>1701</v>
      </c>
      <c r="E595" s="5" t="s">
        <v>37</v>
      </c>
      <c r="F595" s="12">
        <v>43654.650335648148</v>
      </c>
      <c r="G595" t="s">
        <v>8729</v>
      </c>
      <c r="H595" s="5" t="s">
        <v>1446</v>
      </c>
      <c r="I595" s="6">
        <v>7800</v>
      </c>
      <c r="J595" s="5" t="s">
        <v>15</v>
      </c>
      <c r="K595" s="6">
        <v>0.67</v>
      </c>
      <c r="L595" s="6">
        <v>5226</v>
      </c>
      <c r="M595" s="5" t="s">
        <v>1557</v>
      </c>
      <c r="N595" s="5" t="s">
        <v>1558</v>
      </c>
      <c r="O595" s="13">
        <v>43677</v>
      </c>
      <c r="P595" t="s">
        <v>8729</v>
      </c>
    </row>
    <row r="596" spans="1:16" x14ac:dyDescent="0.15">
      <c r="A596" s="5" t="s">
        <v>1451</v>
      </c>
      <c r="B596" s="5" t="s">
        <v>1562</v>
      </c>
      <c r="C596" s="5" t="s">
        <v>1566</v>
      </c>
      <c r="D596" s="5" t="s">
        <v>1701</v>
      </c>
      <c r="E596" s="5" t="s">
        <v>37</v>
      </c>
      <c r="F596" s="12">
        <v>43693.938460648147</v>
      </c>
      <c r="G596" t="s">
        <v>8730</v>
      </c>
      <c r="H596" s="5" t="s">
        <v>1452</v>
      </c>
      <c r="I596" s="6">
        <v>23400</v>
      </c>
      <c r="J596" s="5" t="s">
        <v>15</v>
      </c>
      <c r="K596" s="6">
        <v>0.67</v>
      </c>
      <c r="L596" s="6">
        <v>15678</v>
      </c>
      <c r="M596" s="5" t="s">
        <v>1557</v>
      </c>
      <c r="N596" s="5" t="s">
        <v>1558</v>
      </c>
      <c r="O596" s="13">
        <v>43705</v>
      </c>
      <c r="P596" t="s">
        <v>8730</v>
      </c>
    </row>
    <row r="597" spans="1:16" x14ac:dyDescent="0.15">
      <c r="A597" s="5" t="s">
        <v>1456</v>
      </c>
      <c r="B597" s="5" t="s">
        <v>1562</v>
      </c>
      <c r="C597" s="5" t="s">
        <v>1566</v>
      </c>
      <c r="D597" s="5" t="s">
        <v>1697</v>
      </c>
      <c r="E597" s="5" t="s">
        <v>37</v>
      </c>
      <c r="F597" s="12">
        <v>43696.803599537037</v>
      </c>
      <c r="G597" t="s">
        <v>8730</v>
      </c>
      <c r="H597" s="5" t="s">
        <v>1459</v>
      </c>
      <c r="I597" s="6">
        <v>7800</v>
      </c>
      <c r="J597" s="5" t="s">
        <v>15</v>
      </c>
      <c r="K597" s="6">
        <v>0.67</v>
      </c>
      <c r="L597" s="6">
        <v>5226</v>
      </c>
      <c r="M597" s="5" t="s">
        <v>1557</v>
      </c>
      <c r="N597" s="5" t="s">
        <v>1558</v>
      </c>
      <c r="O597" s="13">
        <v>43710</v>
      </c>
      <c r="P597" t="s">
        <v>8731</v>
      </c>
    </row>
    <row r="598" spans="1:16" x14ac:dyDescent="0.15">
      <c r="A598" s="5" t="s">
        <v>1460</v>
      </c>
      <c r="B598" s="5" t="s">
        <v>1562</v>
      </c>
      <c r="C598" s="5" t="s">
        <v>1566</v>
      </c>
      <c r="D598" s="5" t="s">
        <v>1701</v>
      </c>
      <c r="E598" s="5" t="s">
        <v>37</v>
      </c>
      <c r="F598" s="12">
        <v>43724.713726851849</v>
      </c>
      <c r="G598" t="s">
        <v>8731</v>
      </c>
      <c r="H598" s="5" t="s">
        <v>1461</v>
      </c>
      <c r="I598" s="6">
        <v>9750</v>
      </c>
      <c r="J598" s="5" t="s">
        <v>15</v>
      </c>
      <c r="K598" s="6">
        <v>0.67</v>
      </c>
      <c r="L598" s="6">
        <v>6532.5</v>
      </c>
      <c r="M598" s="5" t="s">
        <v>1557</v>
      </c>
      <c r="N598" s="5" t="s">
        <v>1558</v>
      </c>
      <c r="O598" s="13">
        <v>43732</v>
      </c>
      <c r="P598" t="s">
        <v>8731</v>
      </c>
    </row>
    <row r="599" spans="1:16" x14ac:dyDescent="0.15">
      <c r="A599" s="5" t="s">
        <v>1468</v>
      </c>
      <c r="B599" s="5" t="s">
        <v>1562</v>
      </c>
      <c r="C599" s="5" t="s">
        <v>1566</v>
      </c>
      <c r="D599" s="5" t="s">
        <v>1701</v>
      </c>
      <c r="E599" s="5" t="s">
        <v>37</v>
      </c>
      <c r="F599" s="12">
        <v>43742.739942129629</v>
      </c>
      <c r="G599" t="s">
        <v>8732</v>
      </c>
      <c r="H599" s="5" t="s">
        <v>1469</v>
      </c>
      <c r="I599" s="6">
        <v>23400</v>
      </c>
      <c r="J599" s="5" t="s">
        <v>15</v>
      </c>
      <c r="K599" s="6">
        <v>0.68</v>
      </c>
      <c r="L599" s="6">
        <v>15912</v>
      </c>
      <c r="M599" s="5" t="s">
        <v>1557</v>
      </c>
      <c r="N599" s="5" t="s">
        <v>1558</v>
      </c>
      <c r="O599" s="13">
        <v>43746</v>
      </c>
      <c r="P599" t="s">
        <v>8732</v>
      </c>
    </row>
    <row r="600" spans="1:16" x14ac:dyDescent="0.15">
      <c r="A600" s="5" t="s">
        <v>1475</v>
      </c>
      <c r="B600" s="5" t="s">
        <v>1562</v>
      </c>
      <c r="C600" s="5" t="s">
        <v>1566</v>
      </c>
      <c r="D600" s="5" t="s">
        <v>1703</v>
      </c>
      <c r="E600" s="5" t="s">
        <v>37</v>
      </c>
      <c r="F600" s="12">
        <v>43557.779872685183</v>
      </c>
      <c r="G600" t="s">
        <v>8726</v>
      </c>
      <c r="H600" s="5" t="s">
        <v>1477</v>
      </c>
      <c r="I600" s="6">
        <v>20475</v>
      </c>
      <c r="J600" s="5" t="s">
        <v>15</v>
      </c>
      <c r="K600" s="6">
        <v>0.67</v>
      </c>
      <c r="L600" s="6">
        <v>13718.25</v>
      </c>
      <c r="M600" s="5" t="s">
        <v>1557</v>
      </c>
      <c r="N600" s="5" t="s">
        <v>1558</v>
      </c>
      <c r="O600" s="13">
        <v>43563</v>
      </c>
      <c r="P600" t="s">
        <v>8726</v>
      </c>
    </row>
    <row r="601" spans="1:16" x14ac:dyDescent="0.15">
      <c r="A601" s="5" t="s">
        <v>1480</v>
      </c>
      <c r="B601" s="5" t="s">
        <v>1562</v>
      </c>
      <c r="C601" s="5" t="s">
        <v>1567</v>
      </c>
      <c r="D601" s="5" t="s">
        <v>1698</v>
      </c>
      <c r="E601" s="5" t="s">
        <v>37</v>
      </c>
      <c r="F601" s="12">
        <v>43472.955231481479</v>
      </c>
      <c r="G601" t="s">
        <v>8733</v>
      </c>
      <c r="H601" s="5" t="s">
        <v>1483</v>
      </c>
      <c r="I601" s="6">
        <v>5850</v>
      </c>
      <c r="J601" s="5" t="s">
        <v>15</v>
      </c>
      <c r="K601" s="6">
        <v>0.64</v>
      </c>
      <c r="L601" s="6">
        <v>3744</v>
      </c>
      <c r="M601" s="5" t="s">
        <v>1557</v>
      </c>
      <c r="N601" s="5" t="s">
        <v>1558</v>
      </c>
      <c r="O601" s="13">
        <v>43489</v>
      </c>
      <c r="P601" t="s">
        <v>8733</v>
      </c>
    </row>
    <row r="602" spans="1:16" x14ac:dyDescent="0.15">
      <c r="A602" s="5" t="s">
        <v>1486</v>
      </c>
      <c r="B602" s="5" t="s">
        <v>1562</v>
      </c>
      <c r="C602" s="5" t="s">
        <v>1567</v>
      </c>
      <c r="D602" s="5" t="s">
        <v>1698</v>
      </c>
      <c r="E602" s="5" t="s">
        <v>37</v>
      </c>
      <c r="F602" s="12">
        <v>43549.740451388891</v>
      </c>
      <c r="G602" t="s">
        <v>8725</v>
      </c>
      <c r="H602" s="5" t="s">
        <v>1489</v>
      </c>
      <c r="I602" s="6">
        <v>15600</v>
      </c>
      <c r="J602" s="5" t="s">
        <v>15</v>
      </c>
      <c r="K602" s="6">
        <v>0.67</v>
      </c>
      <c r="L602" s="6">
        <v>10452</v>
      </c>
      <c r="M602" s="5" t="s">
        <v>1557</v>
      </c>
      <c r="N602" s="5" t="s">
        <v>1558</v>
      </c>
      <c r="O602" s="13">
        <v>43556</v>
      </c>
      <c r="P602" t="s">
        <v>8726</v>
      </c>
    </row>
    <row r="603" spans="1:16" x14ac:dyDescent="0.15">
      <c r="A603" s="5" t="s">
        <v>1492</v>
      </c>
      <c r="B603" s="5" t="s">
        <v>1562</v>
      </c>
      <c r="C603" s="5" t="s">
        <v>1567</v>
      </c>
      <c r="D603" s="5" t="s">
        <v>1698</v>
      </c>
      <c r="E603" s="5" t="s">
        <v>37</v>
      </c>
      <c r="F603" s="12">
        <v>43588.92391203704</v>
      </c>
      <c r="G603" t="s">
        <v>8727</v>
      </c>
      <c r="H603" s="5" t="s">
        <v>1495</v>
      </c>
      <c r="I603" s="6">
        <v>1950</v>
      </c>
      <c r="J603" s="5" t="s">
        <v>15</v>
      </c>
      <c r="K603" s="6">
        <v>0.67</v>
      </c>
      <c r="L603" s="6">
        <v>1306.5</v>
      </c>
      <c r="M603" s="5" t="s">
        <v>1557</v>
      </c>
      <c r="N603" s="5" t="s">
        <v>1558</v>
      </c>
      <c r="O603" s="13">
        <v>43602</v>
      </c>
      <c r="P603" t="s">
        <v>8727</v>
      </c>
    </row>
    <row r="604" spans="1:16" x14ac:dyDescent="0.15">
      <c r="A604" s="5" t="s">
        <v>1498</v>
      </c>
      <c r="B604" s="5" t="s">
        <v>1562</v>
      </c>
      <c r="C604" s="5" t="s">
        <v>1567</v>
      </c>
      <c r="D604" s="5" t="s">
        <v>1698</v>
      </c>
      <c r="E604" s="5" t="s">
        <v>37</v>
      </c>
      <c r="F604" s="12">
        <v>43635.681331018517</v>
      </c>
      <c r="G604" t="s">
        <v>8728</v>
      </c>
      <c r="H604" s="5" t="s">
        <v>1502</v>
      </c>
      <c r="I604" s="6">
        <v>5850</v>
      </c>
      <c r="J604" s="5" t="s">
        <v>15</v>
      </c>
      <c r="K604" s="6">
        <v>0.67</v>
      </c>
      <c r="L604" s="6">
        <v>3919.5</v>
      </c>
      <c r="M604" s="5" t="s">
        <v>1557</v>
      </c>
      <c r="N604" s="5" t="s">
        <v>1558</v>
      </c>
      <c r="O604" s="13">
        <v>43654</v>
      </c>
      <c r="P604" t="s">
        <v>8729</v>
      </c>
    </row>
    <row r="605" spans="1:16" x14ac:dyDescent="0.15">
      <c r="A605" s="5" t="s">
        <v>1503</v>
      </c>
      <c r="B605" s="5" t="s">
        <v>1562</v>
      </c>
      <c r="C605" s="5" t="s">
        <v>1567</v>
      </c>
      <c r="D605" s="5" t="s">
        <v>1698</v>
      </c>
      <c r="E605" s="5" t="s">
        <v>37</v>
      </c>
      <c r="F605" s="12">
        <v>43661.851180555554</v>
      </c>
      <c r="G605" t="s">
        <v>8729</v>
      </c>
      <c r="H605" s="5" t="s">
        <v>1504</v>
      </c>
      <c r="I605" s="6">
        <v>13650</v>
      </c>
      <c r="J605" s="5" t="s">
        <v>15</v>
      </c>
      <c r="K605" s="6">
        <v>0.67</v>
      </c>
      <c r="L605" s="6">
        <v>9145.5</v>
      </c>
      <c r="M605" s="5" t="s">
        <v>1557</v>
      </c>
      <c r="N605" s="5" t="s">
        <v>1558</v>
      </c>
      <c r="O605" s="13">
        <v>43685</v>
      </c>
      <c r="P605" t="s">
        <v>8730</v>
      </c>
    </row>
    <row r="606" spans="1:16" x14ac:dyDescent="0.15">
      <c r="A606" s="5" t="s">
        <v>1507</v>
      </c>
      <c r="B606" s="5" t="s">
        <v>1562</v>
      </c>
      <c r="C606" s="5" t="s">
        <v>1567</v>
      </c>
      <c r="D606" s="5" t="s">
        <v>1698</v>
      </c>
      <c r="E606" s="5" t="s">
        <v>37</v>
      </c>
      <c r="F606" s="12">
        <v>43686.857314814813</v>
      </c>
      <c r="G606" t="s">
        <v>8730</v>
      </c>
      <c r="H606" s="5" t="s">
        <v>1511</v>
      </c>
      <c r="I606" s="6">
        <v>11700</v>
      </c>
      <c r="J606" s="5" t="s">
        <v>15</v>
      </c>
      <c r="K606" s="6">
        <v>0.67</v>
      </c>
      <c r="L606" s="6">
        <v>7839</v>
      </c>
      <c r="M606" s="5" t="s">
        <v>1557</v>
      </c>
      <c r="N606" s="5" t="s">
        <v>1558</v>
      </c>
      <c r="O606" s="13">
        <v>43717</v>
      </c>
      <c r="P606" t="s">
        <v>8731</v>
      </c>
    </row>
    <row r="607" spans="1:16" x14ac:dyDescent="0.15">
      <c r="A607" s="5" t="s">
        <v>1516</v>
      </c>
      <c r="B607" s="5" t="s">
        <v>1562</v>
      </c>
      <c r="C607" s="5" t="s">
        <v>1567</v>
      </c>
      <c r="D607" s="5" t="s">
        <v>1702</v>
      </c>
      <c r="E607" s="5" t="s">
        <v>37</v>
      </c>
      <c r="F607" s="12">
        <v>43507.971192129633</v>
      </c>
      <c r="G607" t="s">
        <v>8724</v>
      </c>
      <c r="H607" s="5" t="s">
        <v>1522</v>
      </c>
      <c r="I607" s="6">
        <v>9750</v>
      </c>
      <c r="J607" s="5" t="s">
        <v>15</v>
      </c>
      <c r="K607" s="6">
        <v>0.64</v>
      </c>
      <c r="L607" s="6">
        <v>6240</v>
      </c>
      <c r="M607" s="5" t="s">
        <v>1557</v>
      </c>
      <c r="N607" s="5" t="s">
        <v>1558</v>
      </c>
      <c r="O607" s="13">
        <v>43509</v>
      </c>
      <c r="P607" t="s">
        <v>8724</v>
      </c>
    </row>
    <row r="608" spans="1:16" x14ac:dyDescent="0.15">
      <c r="A608" s="5" t="s">
        <v>286</v>
      </c>
      <c r="B608" s="5" t="s">
        <v>1563</v>
      </c>
      <c r="C608" s="5" t="s">
        <v>1649</v>
      </c>
      <c r="D608" s="5" t="s">
        <v>1693</v>
      </c>
      <c r="E608" s="5" t="s">
        <v>37</v>
      </c>
      <c r="F608" s="12">
        <v>43516.677800925929</v>
      </c>
      <c r="G608" t="s">
        <v>8724</v>
      </c>
      <c r="H608" s="5" t="s">
        <v>287</v>
      </c>
      <c r="I608" s="6">
        <v>195</v>
      </c>
      <c r="J608" s="5" t="s">
        <v>15</v>
      </c>
      <c r="K608" s="6">
        <v>9.5</v>
      </c>
      <c r="L608" s="6">
        <v>1852.5</v>
      </c>
      <c r="M608" s="5" t="s">
        <v>1560</v>
      </c>
      <c r="N608" s="5" t="s">
        <v>1558</v>
      </c>
      <c r="O608" s="13">
        <v>43516</v>
      </c>
      <c r="P608" t="s">
        <v>8724</v>
      </c>
    </row>
    <row r="609" spans="1:16" x14ac:dyDescent="0.15">
      <c r="A609" s="5" t="s">
        <v>300</v>
      </c>
      <c r="B609" s="5" t="s">
        <v>1563</v>
      </c>
      <c r="C609" s="5" t="s">
        <v>1649</v>
      </c>
      <c r="D609" s="5" t="s">
        <v>1693</v>
      </c>
      <c r="E609" s="5" t="s">
        <v>37</v>
      </c>
      <c r="F609" s="12">
        <v>43530.758136574077</v>
      </c>
      <c r="G609" t="s">
        <v>8725</v>
      </c>
      <c r="H609" s="5" t="s">
        <v>301</v>
      </c>
      <c r="I609" s="6">
        <v>487.5</v>
      </c>
      <c r="J609" s="5" t="s">
        <v>15</v>
      </c>
      <c r="K609" s="6">
        <v>8.3000000000000007</v>
      </c>
      <c r="L609" s="6">
        <v>4046.25</v>
      </c>
      <c r="M609" s="5" t="s">
        <v>1560</v>
      </c>
      <c r="N609" s="5" t="s">
        <v>1558</v>
      </c>
      <c r="O609" s="13">
        <v>43530</v>
      </c>
      <c r="P609" t="s">
        <v>8725</v>
      </c>
    </row>
    <row r="610" spans="1:16" x14ac:dyDescent="0.15">
      <c r="A610" s="5" t="s">
        <v>316</v>
      </c>
      <c r="B610" s="5" t="s">
        <v>1563</v>
      </c>
      <c r="C610" s="5" t="s">
        <v>1604</v>
      </c>
      <c r="D610" s="5" t="s">
        <v>1693</v>
      </c>
      <c r="E610" s="5" t="s">
        <v>37</v>
      </c>
      <c r="F610" s="12">
        <v>43544.671574074076</v>
      </c>
      <c r="G610" t="s">
        <v>8725</v>
      </c>
      <c r="H610" s="5" t="s">
        <v>317</v>
      </c>
      <c r="I610" s="6">
        <v>10042.5</v>
      </c>
      <c r="J610" s="5" t="s">
        <v>15</v>
      </c>
      <c r="K610" s="6">
        <v>7.5</v>
      </c>
      <c r="L610" s="6">
        <v>75318.75</v>
      </c>
      <c r="M610" s="5" t="s">
        <v>1560</v>
      </c>
      <c r="N610" s="5" t="s">
        <v>1558</v>
      </c>
      <c r="O610" s="13">
        <v>43544</v>
      </c>
      <c r="P610" t="s">
        <v>8725</v>
      </c>
    </row>
    <row r="611" spans="1:16" x14ac:dyDescent="0.15">
      <c r="A611" s="5" t="s">
        <v>322</v>
      </c>
      <c r="B611" s="5" t="s">
        <v>1563</v>
      </c>
      <c r="C611" s="5" t="s">
        <v>1585</v>
      </c>
      <c r="D611" s="5" t="s">
        <v>1693</v>
      </c>
      <c r="E611" s="5" t="s">
        <v>37</v>
      </c>
      <c r="F611" s="12">
        <v>43549.663761574076</v>
      </c>
      <c r="G611" t="s">
        <v>8725</v>
      </c>
      <c r="H611" s="5" t="s">
        <v>323</v>
      </c>
      <c r="I611" s="6">
        <v>195</v>
      </c>
      <c r="J611" s="5" t="s">
        <v>15</v>
      </c>
      <c r="K611" s="6">
        <v>6.5</v>
      </c>
      <c r="L611" s="6">
        <v>1267.5</v>
      </c>
      <c r="M611" s="5" t="s">
        <v>1560</v>
      </c>
      <c r="N611" s="5" t="s">
        <v>1558</v>
      </c>
      <c r="O611" s="13">
        <v>43549</v>
      </c>
      <c r="P611" t="s">
        <v>8725</v>
      </c>
    </row>
    <row r="612" spans="1:16" x14ac:dyDescent="0.15">
      <c r="A612" s="5" t="s">
        <v>324</v>
      </c>
      <c r="B612" s="5" t="s">
        <v>1563</v>
      </c>
      <c r="C612" s="5" t="s">
        <v>1637</v>
      </c>
      <c r="D612" s="5" t="s">
        <v>1693</v>
      </c>
      <c r="E612" s="5" t="s">
        <v>37</v>
      </c>
      <c r="F612" s="12">
        <v>43550.677430555559</v>
      </c>
      <c r="G612" t="s">
        <v>8725</v>
      </c>
      <c r="H612" s="5" t="s">
        <v>326</v>
      </c>
      <c r="I612" s="6">
        <v>292.5</v>
      </c>
      <c r="J612" s="5" t="s">
        <v>15</v>
      </c>
      <c r="K612" s="6">
        <v>8.5</v>
      </c>
      <c r="L612" s="6">
        <v>2486.25</v>
      </c>
      <c r="M612" s="5" t="s">
        <v>1560</v>
      </c>
      <c r="N612" s="5" t="s">
        <v>1558</v>
      </c>
      <c r="O612" s="13">
        <v>43549</v>
      </c>
      <c r="P612" t="s">
        <v>8725</v>
      </c>
    </row>
    <row r="613" spans="1:16" x14ac:dyDescent="0.15">
      <c r="A613" s="5" t="s">
        <v>329</v>
      </c>
      <c r="B613" s="5" t="s">
        <v>1563</v>
      </c>
      <c r="C613" s="5" t="s">
        <v>1662</v>
      </c>
      <c r="D613" s="5" t="s">
        <v>1693</v>
      </c>
      <c r="E613" s="5" t="s">
        <v>37</v>
      </c>
      <c r="F613" s="12">
        <v>43553.653449074074</v>
      </c>
      <c r="G613" t="s">
        <v>8725</v>
      </c>
      <c r="H613" s="5" t="s">
        <v>330</v>
      </c>
      <c r="I613" s="6">
        <v>14040</v>
      </c>
      <c r="J613" s="5" t="s">
        <v>15</v>
      </c>
      <c r="K613" s="6">
        <v>7.5</v>
      </c>
      <c r="L613" s="6">
        <v>105300</v>
      </c>
      <c r="M613" s="5" t="s">
        <v>1560</v>
      </c>
      <c r="N613" s="5" t="s">
        <v>1558</v>
      </c>
      <c r="O613" s="13">
        <v>43552</v>
      </c>
      <c r="P613" t="s">
        <v>8725</v>
      </c>
    </row>
    <row r="614" spans="1:16" x14ac:dyDescent="0.15">
      <c r="A614" s="5" t="s">
        <v>335</v>
      </c>
      <c r="B614" s="5" t="s">
        <v>1563</v>
      </c>
      <c r="C614" s="5" t="s">
        <v>1577</v>
      </c>
      <c r="D614" s="5" t="s">
        <v>1693</v>
      </c>
      <c r="E614" s="5" t="s">
        <v>37</v>
      </c>
      <c r="F614" s="12">
        <v>43556.791041666664</v>
      </c>
      <c r="G614" t="s">
        <v>8726</v>
      </c>
      <c r="H614" s="5" t="s">
        <v>336</v>
      </c>
      <c r="I614" s="6">
        <v>2437.5</v>
      </c>
      <c r="J614" s="5" t="s">
        <v>15</v>
      </c>
      <c r="K614" s="6">
        <v>6.5</v>
      </c>
      <c r="L614" s="6">
        <v>15843.75</v>
      </c>
      <c r="M614" s="5" t="s">
        <v>1560</v>
      </c>
      <c r="N614" s="5" t="s">
        <v>1558</v>
      </c>
      <c r="O614" s="13">
        <v>43556</v>
      </c>
      <c r="P614" t="s">
        <v>8726</v>
      </c>
    </row>
    <row r="615" spans="1:16" x14ac:dyDescent="0.15">
      <c r="A615" s="5" t="s">
        <v>337</v>
      </c>
      <c r="B615" s="5" t="s">
        <v>1563</v>
      </c>
      <c r="C615" s="5" t="s">
        <v>1663</v>
      </c>
      <c r="D615" s="5" t="s">
        <v>1693</v>
      </c>
      <c r="E615" s="5" t="s">
        <v>37</v>
      </c>
      <c r="F615" s="12">
        <v>43556.835787037038</v>
      </c>
      <c r="G615" t="s">
        <v>8726</v>
      </c>
      <c r="H615" s="5" t="s">
        <v>338</v>
      </c>
      <c r="I615" s="6">
        <v>682.5</v>
      </c>
      <c r="J615" s="5" t="s">
        <v>15</v>
      </c>
      <c r="K615" s="6">
        <v>7.5</v>
      </c>
      <c r="L615" s="6">
        <v>5118.75</v>
      </c>
      <c r="M615" s="5" t="s">
        <v>1560</v>
      </c>
      <c r="N615" s="5" t="s">
        <v>1558</v>
      </c>
      <c r="O615" s="13">
        <v>43556</v>
      </c>
      <c r="P615" t="s">
        <v>8726</v>
      </c>
    </row>
    <row r="616" spans="1:16" x14ac:dyDescent="0.15">
      <c r="A616" s="5" t="s">
        <v>355</v>
      </c>
      <c r="B616" s="5" t="s">
        <v>1563</v>
      </c>
      <c r="C616" s="5" t="s">
        <v>1664</v>
      </c>
      <c r="D616" s="5" t="s">
        <v>1693</v>
      </c>
      <c r="E616" s="5" t="s">
        <v>37</v>
      </c>
      <c r="F616" s="12">
        <v>43567.748020833336</v>
      </c>
      <c r="G616" t="s">
        <v>8726</v>
      </c>
      <c r="H616" s="5" t="s">
        <v>356</v>
      </c>
      <c r="I616" s="6">
        <v>195</v>
      </c>
      <c r="J616" s="5" t="s">
        <v>15</v>
      </c>
      <c r="K616" s="6">
        <v>9.5</v>
      </c>
      <c r="L616" s="6">
        <v>1852.5</v>
      </c>
      <c r="M616" s="5" t="s">
        <v>1560</v>
      </c>
      <c r="N616" s="5" t="s">
        <v>1558</v>
      </c>
      <c r="O616" s="13">
        <v>43570</v>
      </c>
      <c r="P616" t="s">
        <v>8726</v>
      </c>
    </row>
    <row r="617" spans="1:16" x14ac:dyDescent="0.15">
      <c r="A617" s="5" t="s">
        <v>361</v>
      </c>
      <c r="B617" s="5" t="s">
        <v>1563</v>
      </c>
      <c r="C617" s="5" t="s">
        <v>1639</v>
      </c>
      <c r="D617" s="5" t="s">
        <v>1693</v>
      </c>
      <c r="E617" s="5" t="s">
        <v>37</v>
      </c>
      <c r="F617" s="12">
        <v>43570.737453703703</v>
      </c>
      <c r="G617" t="s">
        <v>8726</v>
      </c>
      <c r="H617" s="5" t="s">
        <v>363</v>
      </c>
      <c r="I617" s="6">
        <v>10042.5</v>
      </c>
      <c r="J617" s="5" t="s">
        <v>15</v>
      </c>
      <c r="K617" s="6">
        <v>7</v>
      </c>
      <c r="L617" s="6">
        <v>70297.5</v>
      </c>
      <c r="M617" s="5" t="s">
        <v>1560</v>
      </c>
      <c r="N617" s="5" t="s">
        <v>1558</v>
      </c>
      <c r="O617" s="13">
        <v>43570</v>
      </c>
      <c r="P617" t="s">
        <v>8726</v>
      </c>
    </row>
    <row r="618" spans="1:16" x14ac:dyDescent="0.15">
      <c r="A618" s="5" t="s">
        <v>367</v>
      </c>
      <c r="B618" s="5" t="s">
        <v>1563</v>
      </c>
      <c r="C618" s="5" t="s">
        <v>1582</v>
      </c>
      <c r="D618" s="5" t="s">
        <v>1693</v>
      </c>
      <c r="E618" s="5" t="s">
        <v>37</v>
      </c>
      <c r="F618" s="12">
        <v>43571.59542824074</v>
      </c>
      <c r="G618" t="s">
        <v>8726</v>
      </c>
      <c r="H618" s="5" t="s">
        <v>370</v>
      </c>
      <c r="I618" s="6">
        <v>4290</v>
      </c>
      <c r="J618" s="5" t="s">
        <v>15</v>
      </c>
      <c r="K618" s="6">
        <v>7.5</v>
      </c>
      <c r="L618" s="6">
        <v>32175</v>
      </c>
      <c r="M618" s="5" t="s">
        <v>1560</v>
      </c>
      <c r="N618" s="5" t="s">
        <v>1558</v>
      </c>
      <c r="O618" s="13">
        <v>43571</v>
      </c>
      <c r="P618" t="s">
        <v>8726</v>
      </c>
    </row>
    <row r="619" spans="1:16" x14ac:dyDescent="0.15">
      <c r="A619" s="5" t="s">
        <v>373</v>
      </c>
      <c r="B619" s="5" t="s">
        <v>1563</v>
      </c>
      <c r="C619" s="5" t="s">
        <v>1603</v>
      </c>
      <c r="D619" s="5" t="s">
        <v>1693</v>
      </c>
      <c r="E619" s="5" t="s">
        <v>37</v>
      </c>
      <c r="F619" s="12">
        <v>43571.859502314815</v>
      </c>
      <c r="G619" t="s">
        <v>8726</v>
      </c>
      <c r="H619" s="5" t="s">
        <v>374</v>
      </c>
      <c r="I619" s="6">
        <v>50017.5</v>
      </c>
      <c r="J619" s="5" t="s">
        <v>15</v>
      </c>
      <c r="K619" s="6">
        <v>7.5</v>
      </c>
      <c r="L619" s="6">
        <v>375131.25</v>
      </c>
      <c r="M619" s="5" t="s">
        <v>1560</v>
      </c>
      <c r="N619" s="5" t="s">
        <v>1558</v>
      </c>
      <c r="O619" s="13">
        <v>43571</v>
      </c>
      <c r="P619" t="s">
        <v>8726</v>
      </c>
    </row>
    <row r="620" spans="1:16" x14ac:dyDescent="0.15">
      <c r="A620" s="5" t="s">
        <v>375</v>
      </c>
      <c r="B620" s="5" t="s">
        <v>1563</v>
      </c>
      <c r="C620" s="5" t="s">
        <v>1571</v>
      </c>
      <c r="D620" s="5" t="s">
        <v>1693</v>
      </c>
      <c r="E620" s="5" t="s">
        <v>37</v>
      </c>
      <c r="F620" s="12">
        <v>43571.864270833335</v>
      </c>
      <c r="G620" t="s">
        <v>8726</v>
      </c>
      <c r="H620" s="5" t="s">
        <v>377</v>
      </c>
      <c r="I620" s="6">
        <v>26520</v>
      </c>
      <c r="J620" s="5" t="s">
        <v>15</v>
      </c>
      <c r="K620" s="6">
        <v>7</v>
      </c>
      <c r="L620" s="6">
        <v>185640</v>
      </c>
      <c r="M620" s="5" t="s">
        <v>1560</v>
      </c>
      <c r="N620" s="5" t="s">
        <v>1558</v>
      </c>
      <c r="O620" s="13">
        <v>43571</v>
      </c>
      <c r="P620" t="s">
        <v>8726</v>
      </c>
    </row>
    <row r="621" spans="1:16" x14ac:dyDescent="0.15">
      <c r="A621" s="5" t="s">
        <v>381</v>
      </c>
      <c r="B621" s="5" t="s">
        <v>1563</v>
      </c>
      <c r="C621" s="5" t="s">
        <v>1609</v>
      </c>
      <c r="D621" s="5" t="s">
        <v>1693</v>
      </c>
      <c r="E621" s="5" t="s">
        <v>37</v>
      </c>
      <c r="F621" s="12">
        <v>43571.883090277777</v>
      </c>
      <c r="G621" t="s">
        <v>8726</v>
      </c>
      <c r="H621" s="5" t="s">
        <v>382</v>
      </c>
      <c r="I621" s="6">
        <v>1950</v>
      </c>
      <c r="J621" s="5" t="s">
        <v>15</v>
      </c>
      <c r="K621" s="6">
        <v>7.5</v>
      </c>
      <c r="L621" s="6">
        <v>14625</v>
      </c>
      <c r="M621" s="5" t="s">
        <v>1560</v>
      </c>
      <c r="N621" s="5" t="s">
        <v>1558</v>
      </c>
      <c r="O621" s="13">
        <v>43571</v>
      </c>
      <c r="P621" t="s">
        <v>8726</v>
      </c>
    </row>
    <row r="622" spans="1:16" x14ac:dyDescent="0.15">
      <c r="A622" s="5" t="s">
        <v>386</v>
      </c>
      <c r="B622" s="5" t="s">
        <v>1563</v>
      </c>
      <c r="C622" s="5" t="s">
        <v>1600</v>
      </c>
      <c r="D622" s="5" t="s">
        <v>1693</v>
      </c>
      <c r="E622" s="5" t="s">
        <v>37</v>
      </c>
      <c r="F622" s="12">
        <v>43591.597349537034</v>
      </c>
      <c r="G622" t="s">
        <v>8727</v>
      </c>
      <c r="H622" s="5" t="s">
        <v>388</v>
      </c>
      <c r="I622" s="6">
        <v>3900</v>
      </c>
      <c r="J622" s="5" t="s">
        <v>15</v>
      </c>
      <c r="K622" s="6">
        <v>18</v>
      </c>
      <c r="L622" s="6">
        <v>70200</v>
      </c>
      <c r="M622" s="5" t="s">
        <v>1560</v>
      </c>
      <c r="N622" s="5" t="s">
        <v>1558</v>
      </c>
      <c r="O622" s="13">
        <v>43591</v>
      </c>
      <c r="P622" t="s">
        <v>8727</v>
      </c>
    </row>
    <row r="623" spans="1:16" x14ac:dyDescent="0.15">
      <c r="A623" s="5" t="s">
        <v>391</v>
      </c>
      <c r="B623" s="5" t="s">
        <v>1563</v>
      </c>
      <c r="C623" s="5" t="s">
        <v>1589</v>
      </c>
      <c r="D623" s="5" t="s">
        <v>1693</v>
      </c>
      <c r="E623" s="5" t="s">
        <v>37</v>
      </c>
      <c r="F623" s="12">
        <v>43591.732048611113</v>
      </c>
      <c r="G623" t="s">
        <v>8727</v>
      </c>
      <c r="H623" s="5" t="s">
        <v>393</v>
      </c>
      <c r="I623" s="6">
        <v>682.5</v>
      </c>
      <c r="J623" s="5" t="s">
        <v>15</v>
      </c>
      <c r="K623" s="6">
        <v>7.5</v>
      </c>
      <c r="L623" s="6">
        <v>5118.75</v>
      </c>
      <c r="M623" s="5" t="s">
        <v>1560</v>
      </c>
      <c r="N623" s="5" t="s">
        <v>1558</v>
      </c>
      <c r="O623" s="13">
        <v>43591</v>
      </c>
      <c r="P623" t="s">
        <v>8727</v>
      </c>
    </row>
    <row r="624" spans="1:16" x14ac:dyDescent="0.15">
      <c r="A624" s="5" t="s">
        <v>399</v>
      </c>
      <c r="B624" s="5" t="s">
        <v>1563</v>
      </c>
      <c r="C624" s="5" t="s">
        <v>1600</v>
      </c>
      <c r="D624" s="5" t="s">
        <v>1693</v>
      </c>
      <c r="E624" s="5" t="s">
        <v>37</v>
      </c>
      <c r="F624" s="12">
        <v>43592.836643518516</v>
      </c>
      <c r="G624" t="s">
        <v>8727</v>
      </c>
      <c r="H624" s="5" t="s">
        <v>401</v>
      </c>
      <c r="I624" s="6">
        <v>-3900</v>
      </c>
      <c r="J624" s="5" t="s">
        <v>15</v>
      </c>
      <c r="K624" s="6">
        <v>18</v>
      </c>
      <c r="L624" s="6">
        <v>-70200</v>
      </c>
      <c r="M624" s="5" t="s">
        <v>1560</v>
      </c>
      <c r="N624" s="5" t="s">
        <v>1558</v>
      </c>
      <c r="O624" s="13">
        <v>43591</v>
      </c>
      <c r="P624" t="s">
        <v>8727</v>
      </c>
    </row>
    <row r="625" spans="1:16" x14ac:dyDescent="0.15">
      <c r="A625" s="5" t="s">
        <v>402</v>
      </c>
      <c r="B625" s="5" t="s">
        <v>1563</v>
      </c>
      <c r="C625" s="5" t="s">
        <v>1600</v>
      </c>
      <c r="D625" s="5" t="s">
        <v>1693</v>
      </c>
      <c r="E625" s="5" t="s">
        <v>37</v>
      </c>
      <c r="F625" s="12">
        <v>43592.850798611114</v>
      </c>
      <c r="G625" t="s">
        <v>8727</v>
      </c>
      <c r="H625" s="5" t="s">
        <v>404</v>
      </c>
      <c r="I625" s="6">
        <v>3900</v>
      </c>
      <c r="J625" s="5" t="s">
        <v>15</v>
      </c>
      <c r="K625" s="6">
        <v>6</v>
      </c>
      <c r="L625" s="6">
        <v>23400</v>
      </c>
      <c r="M625" s="5" t="s">
        <v>1560</v>
      </c>
      <c r="N625" s="5" t="s">
        <v>1558</v>
      </c>
      <c r="O625" s="13">
        <v>43591</v>
      </c>
      <c r="P625" t="s">
        <v>8727</v>
      </c>
    </row>
    <row r="626" spans="1:16" x14ac:dyDescent="0.15">
      <c r="A626" s="5" t="s">
        <v>417</v>
      </c>
      <c r="B626" s="5" t="s">
        <v>1563</v>
      </c>
      <c r="C626" s="5" t="s">
        <v>1592</v>
      </c>
      <c r="D626" s="5" t="s">
        <v>1693</v>
      </c>
      <c r="E626" s="5" t="s">
        <v>37</v>
      </c>
      <c r="F626" s="12">
        <v>43594.623379629629</v>
      </c>
      <c r="G626" t="s">
        <v>8727</v>
      </c>
      <c r="H626" s="5" t="s">
        <v>418</v>
      </c>
      <c r="I626" s="6">
        <v>195</v>
      </c>
      <c r="J626" s="5" t="s">
        <v>15</v>
      </c>
      <c r="K626" s="6">
        <v>9.5</v>
      </c>
      <c r="L626" s="6">
        <v>1852.5</v>
      </c>
      <c r="M626" s="5" t="s">
        <v>1560</v>
      </c>
      <c r="N626" s="5" t="s">
        <v>1558</v>
      </c>
      <c r="O626" s="13">
        <v>43594</v>
      </c>
      <c r="P626" t="s">
        <v>8727</v>
      </c>
    </row>
    <row r="627" spans="1:16" x14ac:dyDescent="0.15">
      <c r="A627" s="5" t="s">
        <v>419</v>
      </c>
      <c r="B627" s="5" t="s">
        <v>1563</v>
      </c>
      <c r="C627" s="5" t="s">
        <v>1600</v>
      </c>
      <c r="D627" s="5" t="s">
        <v>1693</v>
      </c>
      <c r="E627" s="5" t="s">
        <v>37</v>
      </c>
      <c r="F627" s="12">
        <v>43595.585266203707</v>
      </c>
      <c r="G627" t="s">
        <v>8727</v>
      </c>
      <c r="H627" s="5" t="s">
        <v>421</v>
      </c>
      <c r="I627" s="6">
        <v>3900</v>
      </c>
      <c r="J627" s="5" t="s">
        <v>15</v>
      </c>
      <c r="K627" s="6">
        <v>6</v>
      </c>
      <c r="L627" s="6">
        <v>23400</v>
      </c>
      <c r="M627" s="5" t="s">
        <v>1560</v>
      </c>
      <c r="N627" s="5" t="s">
        <v>1558</v>
      </c>
      <c r="O627" s="13">
        <v>43595</v>
      </c>
      <c r="P627" t="s">
        <v>8727</v>
      </c>
    </row>
    <row r="628" spans="1:16" x14ac:dyDescent="0.15">
      <c r="A628" s="5" t="s">
        <v>426</v>
      </c>
      <c r="B628" s="5" t="s">
        <v>1563</v>
      </c>
      <c r="C628" s="5" t="s">
        <v>1597</v>
      </c>
      <c r="D628" s="5" t="s">
        <v>1693</v>
      </c>
      <c r="E628" s="5" t="s">
        <v>37</v>
      </c>
      <c r="F628" s="12">
        <v>43598.603703703702</v>
      </c>
      <c r="G628" t="s">
        <v>8727</v>
      </c>
      <c r="H628" s="5" t="s">
        <v>427</v>
      </c>
      <c r="I628" s="6">
        <v>682.5</v>
      </c>
      <c r="J628" s="5" t="s">
        <v>15</v>
      </c>
      <c r="K628" s="6">
        <v>8.07</v>
      </c>
      <c r="L628" s="6">
        <v>5507.78</v>
      </c>
      <c r="M628" s="5" t="s">
        <v>1560</v>
      </c>
      <c r="N628" s="5" t="s">
        <v>1558</v>
      </c>
      <c r="O628" s="13">
        <v>43598</v>
      </c>
      <c r="P628" t="s">
        <v>8727</v>
      </c>
    </row>
    <row r="629" spans="1:16" x14ac:dyDescent="0.15">
      <c r="A629" s="5" t="s">
        <v>442</v>
      </c>
      <c r="B629" s="5" t="s">
        <v>1563</v>
      </c>
      <c r="C629" s="5" t="s">
        <v>1571</v>
      </c>
      <c r="D629" s="5" t="s">
        <v>1693</v>
      </c>
      <c r="E629" s="5" t="s">
        <v>37</v>
      </c>
      <c r="F629" s="12">
        <v>43605.655092592591</v>
      </c>
      <c r="G629" t="s">
        <v>8727</v>
      </c>
      <c r="H629" s="5" t="s">
        <v>443</v>
      </c>
      <c r="I629" s="6">
        <v>6337.5</v>
      </c>
      <c r="J629" s="5" t="s">
        <v>15</v>
      </c>
      <c r="K629" s="6">
        <v>6.5</v>
      </c>
      <c r="L629" s="6">
        <v>41193.75</v>
      </c>
      <c r="M629" s="5" t="s">
        <v>1560</v>
      </c>
      <c r="N629" s="5" t="s">
        <v>1558</v>
      </c>
      <c r="O629" s="13">
        <v>43607</v>
      </c>
      <c r="P629" t="s">
        <v>8727</v>
      </c>
    </row>
    <row r="630" spans="1:16" x14ac:dyDescent="0.15">
      <c r="A630" s="5" t="s">
        <v>462</v>
      </c>
      <c r="B630" s="5" t="s">
        <v>1563</v>
      </c>
      <c r="C630" s="5" t="s">
        <v>1665</v>
      </c>
      <c r="D630" s="5" t="s">
        <v>1693</v>
      </c>
      <c r="E630" s="5" t="s">
        <v>37</v>
      </c>
      <c r="F630" s="12">
        <v>43613.655833333331</v>
      </c>
      <c r="G630" t="s">
        <v>8727</v>
      </c>
      <c r="H630" s="5" t="s">
        <v>463</v>
      </c>
      <c r="I630" s="6">
        <v>585</v>
      </c>
      <c r="J630" s="5" t="s">
        <v>15</v>
      </c>
      <c r="K630" s="6">
        <v>8.17</v>
      </c>
      <c r="L630" s="6">
        <v>4779.45</v>
      </c>
      <c r="M630" s="5" t="s">
        <v>1560</v>
      </c>
      <c r="N630" s="5" t="s">
        <v>1558</v>
      </c>
      <c r="O630" s="13">
        <v>43613</v>
      </c>
      <c r="P630" t="s">
        <v>8727</v>
      </c>
    </row>
    <row r="631" spans="1:16" x14ac:dyDescent="0.15">
      <c r="A631" s="5" t="s">
        <v>464</v>
      </c>
      <c r="B631" s="5" t="s">
        <v>1563</v>
      </c>
      <c r="C631" s="5" t="s">
        <v>1620</v>
      </c>
      <c r="D631" s="5" t="s">
        <v>1693</v>
      </c>
      <c r="E631" s="5" t="s">
        <v>37</v>
      </c>
      <c r="F631" s="12">
        <v>43620.664166666669</v>
      </c>
      <c r="G631" t="s">
        <v>8728</v>
      </c>
      <c r="H631" s="5" t="s">
        <v>466</v>
      </c>
      <c r="I631" s="6">
        <v>2730</v>
      </c>
      <c r="J631" s="5" t="s">
        <v>15</v>
      </c>
      <c r="K631" s="6">
        <v>6.5</v>
      </c>
      <c r="L631" s="6">
        <v>17745</v>
      </c>
      <c r="M631" s="5" t="s">
        <v>1560</v>
      </c>
      <c r="N631" s="5" t="s">
        <v>1558</v>
      </c>
      <c r="O631" s="13">
        <v>43619</v>
      </c>
      <c r="P631" t="s">
        <v>8728</v>
      </c>
    </row>
    <row r="632" spans="1:16" x14ac:dyDescent="0.15">
      <c r="A632" s="5" t="s">
        <v>469</v>
      </c>
      <c r="B632" s="5" t="s">
        <v>1563</v>
      </c>
      <c r="C632" s="5" t="s">
        <v>1587</v>
      </c>
      <c r="D632" s="5" t="s">
        <v>1693</v>
      </c>
      <c r="E632" s="5" t="s">
        <v>37</v>
      </c>
      <c r="F632" s="12">
        <v>43620.687106481484</v>
      </c>
      <c r="G632" t="s">
        <v>8728</v>
      </c>
      <c r="H632" s="5" t="s">
        <v>470</v>
      </c>
      <c r="I632" s="6">
        <v>5362.5</v>
      </c>
      <c r="J632" s="5" t="s">
        <v>15</v>
      </c>
      <c r="K632" s="6">
        <v>7.5</v>
      </c>
      <c r="L632" s="6">
        <v>40218.75</v>
      </c>
      <c r="M632" s="5" t="s">
        <v>1560</v>
      </c>
      <c r="N632" s="5" t="s">
        <v>1558</v>
      </c>
      <c r="O632" s="13">
        <v>43619</v>
      </c>
      <c r="P632" t="s">
        <v>8728</v>
      </c>
    </row>
    <row r="633" spans="1:16" x14ac:dyDescent="0.15">
      <c r="A633" s="5" t="s">
        <v>471</v>
      </c>
      <c r="B633" s="5" t="s">
        <v>1563</v>
      </c>
      <c r="C633" s="5" t="s">
        <v>1666</v>
      </c>
      <c r="D633" s="5" t="s">
        <v>1693</v>
      </c>
      <c r="E633" s="5" t="s">
        <v>37</v>
      </c>
      <c r="F633" s="12">
        <v>43620.760289351849</v>
      </c>
      <c r="G633" t="s">
        <v>8728</v>
      </c>
      <c r="H633" s="5" t="s">
        <v>472</v>
      </c>
      <c r="I633" s="6">
        <v>195</v>
      </c>
      <c r="J633" s="5" t="s">
        <v>15</v>
      </c>
      <c r="K633" s="6">
        <v>7.5</v>
      </c>
      <c r="L633" s="6">
        <v>1462.5</v>
      </c>
      <c r="M633" s="5" t="s">
        <v>1560</v>
      </c>
      <c r="N633" s="5" t="s">
        <v>1558</v>
      </c>
      <c r="O633" s="13">
        <v>43620</v>
      </c>
      <c r="P633" t="s">
        <v>8728</v>
      </c>
    </row>
    <row r="634" spans="1:16" x14ac:dyDescent="0.15">
      <c r="A634" s="5" t="s">
        <v>480</v>
      </c>
      <c r="B634" s="5" t="s">
        <v>1563</v>
      </c>
      <c r="C634" s="5" t="s">
        <v>1577</v>
      </c>
      <c r="D634" s="5" t="s">
        <v>1693</v>
      </c>
      <c r="E634" s="5" t="s">
        <v>37</v>
      </c>
      <c r="F634" s="12">
        <v>43621.746782407405</v>
      </c>
      <c r="G634" t="s">
        <v>8728</v>
      </c>
      <c r="H634" s="5" t="s">
        <v>482</v>
      </c>
      <c r="I634" s="6">
        <v>7020</v>
      </c>
      <c r="J634" s="5" t="s">
        <v>15</v>
      </c>
      <c r="K634" s="6">
        <v>7.5</v>
      </c>
      <c r="L634" s="6">
        <v>52650</v>
      </c>
      <c r="M634" s="5" t="s">
        <v>1560</v>
      </c>
      <c r="N634" s="5" t="s">
        <v>1558</v>
      </c>
      <c r="O634" s="13">
        <v>43621</v>
      </c>
      <c r="P634" t="s">
        <v>8728</v>
      </c>
    </row>
    <row r="635" spans="1:16" x14ac:dyDescent="0.15">
      <c r="A635" s="5" t="s">
        <v>483</v>
      </c>
      <c r="B635" s="5" t="s">
        <v>1563</v>
      </c>
      <c r="C635" s="5" t="s">
        <v>1575</v>
      </c>
      <c r="D635" s="5" t="s">
        <v>1693</v>
      </c>
      <c r="E635" s="5" t="s">
        <v>37</v>
      </c>
      <c r="F635" s="12">
        <v>43623.610474537039</v>
      </c>
      <c r="G635" t="s">
        <v>8728</v>
      </c>
      <c r="H635" s="5" t="s">
        <v>484</v>
      </c>
      <c r="I635" s="6">
        <v>15600</v>
      </c>
      <c r="J635" s="5" t="s">
        <v>15</v>
      </c>
      <c r="K635" s="6">
        <v>7.5</v>
      </c>
      <c r="L635" s="6">
        <v>117000</v>
      </c>
      <c r="M635" s="5" t="s">
        <v>1560</v>
      </c>
      <c r="N635" s="5" t="s">
        <v>1558</v>
      </c>
      <c r="O635" s="13">
        <v>43622</v>
      </c>
      <c r="P635" t="s">
        <v>8728</v>
      </c>
    </row>
    <row r="636" spans="1:16" x14ac:dyDescent="0.15">
      <c r="A636" s="5" t="s">
        <v>486</v>
      </c>
      <c r="B636" s="5" t="s">
        <v>1563</v>
      </c>
      <c r="C636" s="5" t="s">
        <v>1597</v>
      </c>
      <c r="D636" s="5" t="s">
        <v>1693</v>
      </c>
      <c r="E636" s="5" t="s">
        <v>37</v>
      </c>
      <c r="F636" s="12">
        <v>43626.624675925923</v>
      </c>
      <c r="G636" t="s">
        <v>8728</v>
      </c>
      <c r="H636" s="5" t="s">
        <v>487</v>
      </c>
      <c r="I636" s="6">
        <v>877.5</v>
      </c>
      <c r="J636" s="5" t="s">
        <v>15</v>
      </c>
      <c r="K636" s="6">
        <v>7.94</v>
      </c>
      <c r="L636" s="6">
        <v>6967.35</v>
      </c>
      <c r="M636" s="5" t="s">
        <v>1560</v>
      </c>
      <c r="N636" s="5" t="s">
        <v>1558</v>
      </c>
      <c r="O636" s="13">
        <v>43626</v>
      </c>
      <c r="P636" t="s">
        <v>8728</v>
      </c>
    </row>
    <row r="637" spans="1:16" x14ac:dyDescent="0.15">
      <c r="A637" s="5" t="s">
        <v>488</v>
      </c>
      <c r="B637" s="5" t="s">
        <v>1563</v>
      </c>
      <c r="C637" s="5" t="s">
        <v>1620</v>
      </c>
      <c r="D637" s="5" t="s">
        <v>1693</v>
      </c>
      <c r="E637" s="5" t="s">
        <v>37</v>
      </c>
      <c r="F637" s="12">
        <v>43626.628807870373</v>
      </c>
      <c r="G637" t="s">
        <v>8728</v>
      </c>
      <c r="H637" s="5" t="s">
        <v>490</v>
      </c>
      <c r="I637" s="6">
        <v>2535</v>
      </c>
      <c r="J637" s="5" t="s">
        <v>15</v>
      </c>
      <c r="K637" s="6">
        <v>6.5</v>
      </c>
      <c r="L637" s="6">
        <v>16477.5</v>
      </c>
      <c r="M637" s="5" t="s">
        <v>1560</v>
      </c>
      <c r="N637" s="5" t="s">
        <v>1558</v>
      </c>
      <c r="O637" s="13">
        <v>43626</v>
      </c>
      <c r="P637" t="s">
        <v>8728</v>
      </c>
    </row>
    <row r="638" spans="1:16" x14ac:dyDescent="0.15">
      <c r="A638" s="5" t="s">
        <v>491</v>
      </c>
      <c r="B638" s="5" t="s">
        <v>1563</v>
      </c>
      <c r="C638" s="5" t="s">
        <v>1594</v>
      </c>
      <c r="D638" s="5" t="s">
        <v>1693</v>
      </c>
      <c r="E638" s="5" t="s">
        <v>37</v>
      </c>
      <c r="F638" s="12">
        <v>43626.631643518522</v>
      </c>
      <c r="G638" t="s">
        <v>8728</v>
      </c>
      <c r="H638" s="5" t="s">
        <v>492</v>
      </c>
      <c r="I638" s="6">
        <v>19207.5</v>
      </c>
      <c r="J638" s="5" t="s">
        <v>15</v>
      </c>
      <c r="K638" s="6">
        <v>7</v>
      </c>
      <c r="L638" s="6">
        <v>134452.5</v>
      </c>
      <c r="M638" s="5" t="s">
        <v>1560</v>
      </c>
      <c r="N638" s="5" t="s">
        <v>1558</v>
      </c>
      <c r="O638" s="13">
        <v>43626</v>
      </c>
      <c r="P638" t="s">
        <v>8728</v>
      </c>
    </row>
    <row r="639" spans="1:16" x14ac:dyDescent="0.15">
      <c r="A639" s="5" t="s">
        <v>493</v>
      </c>
      <c r="B639" s="5" t="s">
        <v>1563</v>
      </c>
      <c r="C639" s="5" t="s">
        <v>1618</v>
      </c>
      <c r="D639" s="5" t="s">
        <v>1693</v>
      </c>
      <c r="E639" s="5" t="s">
        <v>37</v>
      </c>
      <c r="F639" s="12">
        <v>43627.632407407407</v>
      </c>
      <c r="G639" t="s">
        <v>8728</v>
      </c>
      <c r="H639" s="5" t="s">
        <v>495</v>
      </c>
      <c r="I639" s="6">
        <v>585</v>
      </c>
      <c r="J639" s="5" t="s">
        <v>15</v>
      </c>
      <c r="K639" s="6">
        <v>7.76</v>
      </c>
      <c r="L639" s="6">
        <v>4539.6000000000004</v>
      </c>
      <c r="M639" s="5" t="s">
        <v>1560</v>
      </c>
      <c r="N639" s="5" t="s">
        <v>1558</v>
      </c>
      <c r="O639" s="13">
        <v>43627</v>
      </c>
      <c r="P639" t="s">
        <v>8728</v>
      </c>
    </row>
    <row r="640" spans="1:16" x14ac:dyDescent="0.15">
      <c r="A640" s="5" t="s">
        <v>502</v>
      </c>
      <c r="B640" s="5" t="s">
        <v>1563</v>
      </c>
      <c r="C640" s="5" t="s">
        <v>1647</v>
      </c>
      <c r="D640" s="5" t="s">
        <v>1693</v>
      </c>
      <c r="E640" s="5" t="s">
        <v>37</v>
      </c>
      <c r="F640" s="12">
        <v>43628.789224537039</v>
      </c>
      <c r="G640" t="s">
        <v>8728</v>
      </c>
      <c r="H640" s="5" t="s">
        <v>503</v>
      </c>
      <c r="I640" s="6">
        <v>9750</v>
      </c>
      <c r="J640" s="5" t="s">
        <v>15</v>
      </c>
      <c r="K640" s="6">
        <v>7.5</v>
      </c>
      <c r="L640" s="6">
        <v>73125</v>
      </c>
      <c r="M640" s="5" t="s">
        <v>1560</v>
      </c>
      <c r="N640" s="5" t="s">
        <v>1558</v>
      </c>
      <c r="O640" s="13">
        <v>43628</v>
      </c>
      <c r="P640" t="s">
        <v>8728</v>
      </c>
    </row>
    <row r="641" spans="1:16" x14ac:dyDescent="0.15">
      <c r="A641" s="5" t="s">
        <v>69</v>
      </c>
      <c r="B641" s="5" t="s">
        <v>1563</v>
      </c>
      <c r="C641" s="5" t="s">
        <v>1588</v>
      </c>
      <c r="D641" s="5" t="s">
        <v>1693</v>
      </c>
      <c r="E641" s="5" t="s">
        <v>37</v>
      </c>
      <c r="F641" s="12">
        <v>43629.857928240737</v>
      </c>
      <c r="G641" t="s">
        <v>8728</v>
      </c>
      <c r="H641" s="5" t="s">
        <v>505</v>
      </c>
      <c r="I641" s="6">
        <v>15210</v>
      </c>
      <c r="J641" s="5" t="s">
        <v>15</v>
      </c>
      <c r="K641" s="6">
        <v>7.5</v>
      </c>
      <c r="L641" s="6">
        <v>114075</v>
      </c>
      <c r="M641" s="5" t="s">
        <v>1560</v>
      </c>
      <c r="N641" s="5" t="s">
        <v>1558</v>
      </c>
      <c r="O641" s="13">
        <v>43629</v>
      </c>
      <c r="P641" t="s">
        <v>8728</v>
      </c>
    </row>
    <row r="642" spans="1:16" x14ac:dyDescent="0.15">
      <c r="A642" s="5" t="s">
        <v>506</v>
      </c>
      <c r="B642" s="5" t="s">
        <v>1563</v>
      </c>
      <c r="C642" s="5" t="s">
        <v>1582</v>
      </c>
      <c r="D642" s="5" t="s">
        <v>1693</v>
      </c>
      <c r="E642" s="5" t="s">
        <v>37</v>
      </c>
      <c r="F642" s="12">
        <v>43630.736250000002</v>
      </c>
      <c r="G642" t="s">
        <v>8728</v>
      </c>
      <c r="H642" s="5" t="s">
        <v>507</v>
      </c>
      <c r="I642" s="6">
        <v>3900</v>
      </c>
      <c r="J642" s="5" t="s">
        <v>15</v>
      </c>
      <c r="K642" s="6">
        <v>6.5</v>
      </c>
      <c r="L642" s="6">
        <v>25350</v>
      </c>
      <c r="M642" s="5" t="s">
        <v>1560</v>
      </c>
      <c r="N642" s="5" t="s">
        <v>1558</v>
      </c>
      <c r="O642" s="13">
        <v>43630</v>
      </c>
      <c r="P642" t="s">
        <v>8728</v>
      </c>
    </row>
    <row r="643" spans="1:16" x14ac:dyDescent="0.15">
      <c r="A643" s="5" t="s">
        <v>508</v>
      </c>
      <c r="B643" s="5" t="s">
        <v>1563</v>
      </c>
      <c r="C643" s="5" t="s">
        <v>1574</v>
      </c>
      <c r="D643" s="5" t="s">
        <v>1693</v>
      </c>
      <c r="E643" s="5" t="s">
        <v>37</v>
      </c>
      <c r="F643" s="12">
        <v>43630.750555555554</v>
      </c>
      <c r="G643" t="s">
        <v>8728</v>
      </c>
      <c r="H643" s="5" t="s">
        <v>509</v>
      </c>
      <c r="I643" s="6">
        <v>1950</v>
      </c>
      <c r="J643" s="5" t="s">
        <v>15</v>
      </c>
      <c r="K643" s="6">
        <v>7.5</v>
      </c>
      <c r="L643" s="6">
        <v>14625</v>
      </c>
      <c r="M643" s="5" t="s">
        <v>1560</v>
      </c>
      <c r="N643" s="5" t="s">
        <v>1558</v>
      </c>
      <c r="O643" s="13">
        <v>43630</v>
      </c>
      <c r="P643" t="s">
        <v>8728</v>
      </c>
    </row>
    <row r="644" spans="1:16" x14ac:dyDescent="0.15">
      <c r="A644" s="5" t="s">
        <v>514</v>
      </c>
      <c r="B644" s="5" t="s">
        <v>1563</v>
      </c>
      <c r="C644" s="5" t="s">
        <v>1589</v>
      </c>
      <c r="D644" s="5" t="s">
        <v>1693</v>
      </c>
      <c r="E644" s="5" t="s">
        <v>37</v>
      </c>
      <c r="F644" s="12">
        <v>43633.846574074072</v>
      </c>
      <c r="G644" t="s">
        <v>8728</v>
      </c>
      <c r="H644" s="5" t="s">
        <v>515</v>
      </c>
      <c r="I644" s="6">
        <v>877.5</v>
      </c>
      <c r="J644" s="5" t="s">
        <v>15</v>
      </c>
      <c r="K644" s="6">
        <v>7</v>
      </c>
      <c r="L644" s="6">
        <v>6142.5</v>
      </c>
      <c r="M644" s="5" t="s">
        <v>1560</v>
      </c>
      <c r="N644" s="5" t="s">
        <v>1558</v>
      </c>
      <c r="O644" s="13">
        <v>43633</v>
      </c>
      <c r="P644" t="s">
        <v>8728</v>
      </c>
    </row>
    <row r="645" spans="1:16" x14ac:dyDescent="0.15">
      <c r="A645" s="5" t="s">
        <v>518</v>
      </c>
      <c r="B645" s="5" t="s">
        <v>1563</v>
      </c>
      <c r="C645" s="5" t="s">
        <v>1594</v>
      </c>
      <c r="D645" s="5" t="s">
        <v>1693</v>
      </c>
      <c r="E645" s="5" t="s">
        <v>37</v>
      </c>
      <c r="F645" s="12">
        <v>43640.589479166665</v>
      </c>
      <c r="G645" t="s">
        <v>8728</v>
      </c>
      <c r="H645" s="5" t="s">
        <v>519</v>
      </c>
      <c r="I645" s="6">
        <v>3900</v>
      </c>
      <c r="J645" s="5" t="s">
        <v>15</v>
      </c>
      <c r="K645" s="6">
        <v>7</v>
      </c>
      <c r="L645" s="6">
        <v>27300</v>
      </c>
      <c r="M645" s="5" t="s">
        <v>1560</v>
      </c>
      <c r="N645" s="5" t="s">
        <v>1558</v>
      </c>
      <c r="O645" s="13">
        <v>43640</v>
      </c>
      <c r="P645" t="s">
        <v>8728</v>
      </c>
    </row>
    <row r="646" spans="1:16" x14ac:dyDescent="0.15">
      <c r="A646" s="5" t="s">
        <v>70</v>
      </c>
      <c r="B646" s="5" t="s">
        <v>1563</v>
      </c>
      <c r="C646" s="5" t="s">
        <v>1574</v>
      </c>
      <c r="D646" s="5" t="s">
        <v>1693</v>
      </c>
      <c r="E646" s="5" t="s">
        <v>37</v>
      </c>
      <c r="F646" s="12">
        <v>43640.609467592592</v>
      </c>
      <c r="G646" t="s">
        <v>8728</v>
      </c>
      <c r="H646" s="5" t="s">
        <v>521</v>
      </c>
      <c r="I646" s="6">
        <v>12285</v>
      </c>
      <c r="J646" s="5" t="s">
        <v>15</v>
      </c>
      <c r="K646" s="6">
        <v>7.5</v>
      </c>
      <c r="L646" s="6">
        <v>92137.5</v>
      </c>
      <c r="M646" s="5" t="s">
        <v>1560</v>
      </c>
      <c r="N646" s="5" t="s">
        <v>1558</v>
      </c>
      <c r="O646" s="13">
        <v>43640</v>
      </c>
      <c r="P646" t="s">
        <v>8728</v>
      </c>
    </row>
    <row r="647" spans="1:16" x14ac:dyDescent="0.15">
      <c r="A647" s="5" t="s">
        <v>522</v>
      </c>
      <c r="B647" s="5" t="s">
        <v>1563</v>
      </c>
      <c r="C647" s="5" t="s">
        <v>1580</v>
      </c>
      <c r="D647" s="5" t="s">
        <v>1693</v>
      </c>
      <c r="E647" s="5" t="s">
        <v>37</v>
      </c>
      <c r="F647" s="12">
        <v>43640.644687499997</v>
      </c>
      <c r="G647" t="s">
        <v>8728</v>
      </c>
      <c r="H647" s="5" t="s">
        <v>523</v>
      </c>
      <c r="I647" s="6">
        <v>9750</v>
      </c>
      <c r="J647" s="5" t="s">
        <v>15</v>
      </c>
      <c r="K647" s="6">
        <v>6</v>
      </c>
      <c r="L647" s="6">
        <v>58500</v>
      </c>
      <c r="M647" s="5" t="s">
        <v>1560</v>
      </c>
      <c r="N647" s="5" t="s">
        <v>1558</v>
      </c>
      <c r="O647" s="13">
        <v>43640</v>
      </c>
      <c r="P647" t="s">
        <v>8728</v>
      </c>
    </row>
    <row r="648" spans="1:16" x14ac:dyDescent="0.15">
      <c r="A648" s="5" t="s">
        <v>524</v>
      </c>
      <c r="B648" s="5" t="s">
        <v>1562</v>
      </c>
      <c r="C648" s="5" t="s">
        <v>1566</v>
      </c>
      <c r="D648" s="5" t="s">
        <v>1698</v>
      </c>
      <c r="E648" s="5" t="s">
        <v>37</v>
      </c>
      <c r="F648" s="12">
        <v>43640.845682870371</v>
      </c>
      <c r="G648" t="s">
        <v>8728</v>
      </c>
      <c r="H648" s="5" t="s">
        <v>1530</v>
      </c>
      <c r="I648" s="6">
        <v>-19305</v>
      </c>
      <c r="J648" s="5" t="s">
        <v>15</v>
      </c>
      <c r="K648" s="6">
        <v>0.67</v>
      </c>
      <c r="L648" s="6">
        <v>-12934.35</v>
      </c>
      <c r="M648" s="5" t="s">
        <v>1557</v>
      </c>
      <c r="N648" s="5" t="s">
        <v>1558</v>
      </c>
      <c r="O648" s="13">
        <v>43640</v>
      </c>
      <c r="P648" t="s">
        <v>8728</v>
      </c>
    </row>
    <row r="649" spans="1:16" x14ac:dyDescent="0.15">
      <c r="A649" s="5" t="s">
        <v>525</v>
      </c>
      <c r="B649" s="5" t="s">
        <v>1563</v>
      </c>
      <c r="C649" s="5" t="s">
        <v>1582</v>
      </c>
      <c r="D649" s="5" t="s">
        <v>1693</v>
      </c>
      <c r="E649" s="5" t="s">
        <v>37</v>
      </c>
      <c r="F649" s="12">
        <v>43641.5702662037</v>
      </c>
      <c r="G649" t="s">
        <v>8728</v>
      </c>
      <c r="H649" s="5" t="s">
        <v>526</v>
      </c>
      <c r="I649" s="6">
        <v>4680</v>
      </c>
      <c r="J649" s="5" t="s">
        <v>15</v>
      </c>
      <c r="K649" s="6">
        <v>6.5</v>
      </c>
      <c r="L649" s="6">
        <v>30420</v>
      </c>
      <c r="M649" s="5" t="s">
        <v>1560</v>
      </c>
      <c r="N649" s="5" t="s">
        <v>1558</v>
      </c>
      <c r="O649" s="13">
        <v>43640</v>
      </c>
      <c r="P649" t="s">
        <v>8728</v>
      </c>
    </row>
    <row r="650" spans="1:16" x14ac:dyDescent="0.15">
      <c r="A650" s="5" t="s">
        <v>529</v>
      </c>
      <c r="B650" s="5" t="s">
        <v>1563</v>
      </c>
      <c r="C650" s="5" t="s">
        <v>1648</v>
      </c>
      <c r="D650" s="5" t="s">
        <v>1693</v>
      </c>
      <c r="E650" s="5" t="s">
        <v>37</v>
      </c>
      <c r="F650" s="12">
        <v>43641.575532407405</v>
      </c>
      <c r="G650" t="s">
        <v>8728</v>
      </c>
      <c r="H650" s="5" t="s">
        <v>530</v>
      </c>
      <c r="I650" s="6">
        <v>6240</v>
      </c>
      <c r="J650" s="5" t="s">
        <v>15</v>
      </c>
      <c r="K650" s="6">
        <v>7.5</v>
      </c>
      <c r="L650" s="6">
        <v>46800</v>
      </c>
      <c r="M650" s="5" t="s">
        <v>1560</v>
      </c>
      <c r="N650" s="5" t="s">
        <v>1558</v>
      </c>
      <c r="O650" s="13">
        <v>43641</v>
      </c>
      <c r="P650" t="s">
        <v>8728</v>
      </c>
    </row>
    <row r="651" spans="1:16" x14ac:dyDescent="0.15">
      <c r="A651" s="5" t="s">
        <v>537</v>
      </c>
      <c r="B651" s="5" t="s">
        <v>1563</v>
      </c>
      <c r="C651" s="5" t="s">
        <v>1600</v>
      </c>
      <c r="D651" s="5" t="s">
        <v>1693</v>
      </c>
      <c r="E651" s="5" t="s">
        <v>37</v>
      </c>
      <c r="F651" s="12">
        <v>43648.61922453704</v>
      </c>
      <c r="G651" t="s">
        <v>8729</v>
      </c>
      <c r="H651" s="5" t="s">
        <v>538</v>
      </c>
      <c r="I651" s="6">
        <v>3900</v>
      </c>
      <c r="J651" s="5" t="s">
        <v>15</v>
      </c>
      <c r="K651" s="6">
        <v>6</v>
      </c>
      <c r="L651" s="6">
        <v>23400</v>
      </c>
      <c r="M651" s="5" t="s">
        <v>1560</v>
      </c>
      <c r="N651" s="5" t="s">
        <v>1558</v>
      </c>
      <c r="O651" s="13">
        <v>43662</v>
      </c>
      <c r="P651" t="s">
        <v>8729</v>
      </c>
    </row>
    <row r="652" spans="1:16" x14ac:dyDescent="0.15">
      <c r="A652" s="5" t="s">
        <v>71</v>
      </c>
      <c r="B652" s="5" t="s">
        <v>1563</v>
      </c>
      <c r="C652" s="5" t="s">
        <v>1575</v>
      </c>
      <c r="D652" s="5" t="s">
        <v>1693</v>
      </c>
      <c r="E652" s="5" t="s">
        <v>37</v>
      </c>
      <c r="F652" s="12">
        <v>43648.620567129627</v>
      </c>
      <c r="G652" t="s">
        <v>8729</v>
      </c>
      <c r="H652" s="5" t="s">
        <v>540</v>
      </c>
      <c r="I652" s="6">
        <v>1755</v>
      </c>
      <c r="J652" s="5" t="s">
        <v>15</v>
      </c>
      <c r="K652" s="6">
        <v>7.5</v>
      </c>
      <c r="L652" s="6">
        <v>13162.5</v>
      </c>
      <c r="M652" s="5" t="s">
        <v>1560</v>
      </c>
      <c r="N652" s="5" t="s">
        <v>1558</v>
      </c>
      <c r="O652" s="13">
        <v>43647</v>
      </c>
      <c r="P652" t="s">
        <v>8729</v>
      </c>
    </row>
    <row r="653" spans="1:16" x14ac:dyDescent="0.15">
      <c r="A653" s="5" t="s">
        <v>541</v>
      </c>
      <c r="B653" s="5" t="s">
        <v>1563</v>
      </c>
      <c r="C653" s="5" t="s">
        <v>1580</v>
      </c>
      <c r="D653" s="5" t="s">
        <v>1693</v>
      </c>
      <c r="E653" s="5" t="s">
        <v>37</v>
      </c>
      <c r="F653" s="12">
        <v>43648.757719907408</v>
      </c>
      <c r="G653" t="s">
        <v>8729</v>
      </c>
      <c r="H653" s="5" t="s">
        <v>542</v>
      </c>
      <c r="I653" s="6">
        <v>11700</v>
      </c>
      <c r="J653" s="5" t="s">
        <v>15</v>
      </c>
      <c r="K653" s="6">
        <v>6</v>
      </c>
      <c r="L653" s="6">
        <v>70200</v>
      </c>
      <c r="M653" s="5" t="s">
        <v>1560</v>
      </c>
      <c r="N653" s="5" t="s">
        <v>1558</v>
      </c>
      <c r="O653" s="13">
        <v>43647</v>
      </c>
      <c r="P653" t="s">
        <v>8729</v>
      </c>
    </row>
    <row r="654" spans="1:16" x14ac:dyDescent="0.15">
      <c r="A654" s="5" t="s">
        <v>73</v>
      </c>
      <c r="B654" s="5" t="s">
        <v>1563</v>
      </c>
      <c r="C654" s="5" t="s">
        <v>1638</v>
      </c>
      <c r="D654" s="5" t="s">
        <v>1693</v>
      </c>
      <c r="E654" s="5" t="s">
        <v>37</v>
      </c>
      <c r="F654" s="12">
        <v>43649.692118055558</v>
      </c>
      <c r="G654" t="s">
        <v>8729</v>
      </c>
      <c r="H654" s="5" t="s">
        <v>547</v>
      </c>
      <c r="I654" s="6">
        <v>487.5</v>
      </c>
      <c r="J654" s="5" t="s">
        <v>15</v>
      </c>
      <c r="K654" s="6">
        <v>8.3000000000000007</v>
      </c>
      <c r="L654" s="6">
        <v>4046.25</v>
      </c>
      <c r="M654" s="5" t="s">
        <v>1560</v>
      </c>
      <c r="N654" s="5" t="s">
        <v>1558</v>
      </c>
      <c r="O654" s="13">
        <v>43649</v>
      </c>
      <c r="P654" t="s">
        <v>8729</v>
      </c>
    </row>
    <row r="655" spans="1:16" x14ac:dyDescent="0.15">
      <c r="A655" s="5" t="s">
        <v>73</v>
      </c>
      <c r="B655" s="5" t="s">
        <v>1563</v>
      </c>
      <c r="C655" s="5" t="s">
        <v>1638</v>
      </c>
      <c r="D655" s="5" t="s">
        <v>1693</v>
      </c>
      <c r="E655" s="5" t="s">
        <v>37</v>
      </c>
      <c r="F655" s="12">
        <v>43649.721921296295</v>
      </c>
      <c r="G655" t="s">
        <v>8729</v>
      </c>
      <c r="H655" s="5" t="s">
        <v>548</v>
      </c>
      <c r="I655" s="6">
        <v>-487.5</v>
      </c>
      <c r="J655" s="5" t="s">
        <v>15</v>
      </c>
      <c r="K655" s="6">
        <v>8.3000000000000007</v>
      </c>
      <c r="L655" s="6">
        <v>-4046.25</v>
      </c>
      <c r="M655" s="5" t="s">
        <v>1560</v>
      </c>
      <c r="N655" s="5" t="s">
        <v>1558</v>
      </c>
      <c r="O655" s="13">
        <v>43649</v>
      </c>
      <c r="P655" t="s">
        <v>8729</v>
      </c>
    </row>
    <row r="656" spans="1:16" x14ac:dyDescent="0.15">
      <c r="A656" s="5" t="s">
        <v>549</v>
      </c>
      <c r="B656" s="5" t="s">
        <v>1563</v>
      </c>
      <c r="C656" s="5" t="s">
        <v>1610</v>
      </c>
      <c r="D656" s="5" t="s">
        <v>1693</v>
      </c>
      <c r="E656" s="5" t="s">
        <v>37</v>
      </c>
      <c r="F656" s="12">
        <v>43649.695138888892</v>
      </c>
      <c r="G656" t="s">
        <v>8729</v>
      </c>
      <c r="H656" s="5" t="s">
        <v>550</v>
      </c>
      <c r="I656" s="6">
        <v>4485</v>
      </c>
      <c r="J656" s="5" t="s">
        <v>15</v>
      </c>
      <c r="K656" s="6">
        <v>7.5</v>
      </c>
      <c r="L656" s="6">
        <v>33637.5</v>
      </c>
      <c r="M656" s="5" t="s">
        <v>1560</v>
      </c>
      <c r="N656" s="5" t="s">
        <v>1558</v>
      </c>
      <c r="O656" s="13">
        <v>43649</v>
      </c>
      <c r="P656" t="s">
        <v>8729</v>
      </c>
    </row>
    <row r="657" spans="1:16" x14ac:dyDescent="0.15">
      <c r="A657" s="5" t="s">
        <v>559</v>
      </c>
      <c r="B657" s="5" t="s">
        <v>1563</v>
      </c>
      <c r="C657" s="5" t="s">
        <v>1580</v>
      </c>
      <c r="D657" s="5" t="s">
        <v>1693</v>
      </c>
      <c r="E657" s="5" t="s">
        <v>37</v>
      </c>
      <c r="F657" s="12">
        <v>43654.719733796293</v>
      </c>
      <c r="G657" t="s">
        <v>8729</v>
      </c>
      <c r="H657" s="5" t="s">
        <v>560</v>
      </c>
      <c r="I657" s="6">
        <v>9750</v>
      </c>
      <c r="J657" s="5" t="s">
        <v>15</v>
      </c>
      <c r="K657" s="6">
        <v>6</v>
      </c>
      <c r="L657" s="6">
        <v>58500</v>
      </c>
      <c r="M657" s="5" t="s">
        <v>1560</v>
      </c>
      <c r="N657" s="5" t="s">
        <v>1558</v>
      </c>
      <c r="O657" s="13">
        <v>43654</v>
      </c>
      <c r="P657" t="s">
        <v>8729</v>
      </c>
    </row>
    <row r="658" spans="1:16" x14ac:dyDescent="0.15">
      <c r="A658" s="5" t="s">
        <v>561</v>
      </c>
      <c r="B658" s="5" t="s">
        <v>1563</v>
      </c>
      <c r="C658" s="5" t="s">
        <v>1604</v>
      </c>
      <c r="D658" s="5" t="s">
        <v>1693</v>
      </c>
      <c r="E658" s="5" t="s">
        <v>37</v>
      </c>
      <c r="F658" s="12">
        <v>43654.721250000002</v>
      </c>
      <c r="G658" t="s">
        <v>8729</v>
      </c>
      <c r="H658" s="5" t="s">
        <v>562</v>
      </c>
      <c r="I658" s="6">
        <v>3997.5</v>
      </c>
      <c r="J658" s="5" t="s">
        <v>15</v>
      </c>
      <c r="K658" s="6">
        <v>7.5</v>
      </c>
      <c r="L658" s="6">
        <v>29981.25</v>
      </c>
      <c r="M658" s="5" t="s">
        <v>1560</v>
      </c>
      <c r="N658" s="5" t="s">
        <v>1558</v>
      </c>
      <c r="O658" s="13">
        <v>43654</v>
      </c>
      <c r="P658" t="s">
        <v>8729</v>
      </c>
    </row>
    <row r="659" spans="1:16" x14ac:dyDescent="0.15">
      <c r="A659" s="5" t="s">
        <v>563</v>
      </c>
      <c r="B659" s="5" t="s">
        <v>1563</v>
      </c>
      <c r="C659" s="5" t="s">
        <v>1612</v>
      </c>
      <c r="D659" s="5" t="s">
        <v>1693</v>
      </c>
      <c r="E659" s="5" t="s">
        <v>37</v>
      </c>
      <c r="F659" s="12">
        <v>43654.72388888889</v>
      </c>
      <c r="G659" t="s">
        <v>8729</v>
      </c>
      <c r="H659" s="5" t="s">
        <v>564</v>
      </c>
      <c r="I659" s="6">
        <v>3997.5</v>
      </c>
      <c r="J659" s="5" t="s">
        <v>15</v>
      </c>
      <c r="K659" s="6">
        <v>7</v>
      </c>
      <c r="L659" s="6">
        <v>27982.5</v>
      </c>
      <c r="M659" s="5" t="s">
        <v>1560</v>
      </c>
      <c r="N659" s="5" t="s">
        <v>1558</v>
      </c>
      <c r="O659" s="13">
        <v>43654</v>
      </c>
      <c r="P659" t="s">
        <v>8729</v>
      </c>
    </row>
    <row r="660" spans="1:16" x14ac:dyDescent="0.15">
      <c r="A660" s="5" t="s">
        <v>74</v>
      </c>
      <c r="B660" s="5" t="s">
        <v>1563</v>
      </c>
      <c r="C660" s="5" t="s">
        <v>1667</v>
      </c>
      <c r="D660" s="5" t="s">
        <v>1693</v>
      </c>
      <c r="E660" s="5" t="s">
        <v>37</v>
      </c>
      <c r="F660" s="12">
        <v>43654.736064814817</v>
      </c>
      <c r="G660" t="s">
        <v>8729</v>
      </c>
      <c r="H660" s="5" t="s">
        <v>566</v>
      </c>
      <c r="I660" s="6">
        <v>390</v>
      </c>
      <c r="J660" s="5" t="s">
        <v>15</v>
      </c>
      <c r="K660" s="6">
        <v>8.5</v>
      </c>
      <c r="L660" s="6">
        <v>3315</v>
      </c>
      <c r="M660" s="5" t="s">
        <v>1560</v>
      </c>
      <c r="N660" s="5" t="s">
        <v>1558</v>
      </c>
      <c r="O660" s="13">
        <v>43654</v>
      </c>
      <c r="P660" t="s">
        <v>8729</v>
      </c>
    </row>
    <row r="661" spans="1:16" x14ac:dyDescent="0.15">
      <c r="A661" s="5" t="s">
        <v>75</v>
      </c>
      <c r="B661" s="5" t="s">
        <v>1563</v>
      </c>
      <c r="C661" s="5" t="s">
        <v>1574</v>
      </c>
      <c r="D661" s="5" t="s">
        <v>1693</v>
      </c>
      <c r="E661" s="5" t="s">
        <v>37</v>
      </c>
      <c r="F661" s="12">
        <v>43654.739212962966</v>
      </c>
      <c r="G661" t="s">
        <v>8729</v>
      </c>
      <c r="H661" s="5" t="s">
        <v>567</v>
      </c>
      <c r="I661" s="6">
        <v>1950</v>
      </c>
      <c r="J661" s="5" t="s">
        <v>15</v>
      </c>
      <c r="K661" s="6">
        <v>7.5</v>
      </c>
      <c r="L661" s="6">
        <v>14625</v>
      </c>
      <c r="M661" s="5" t="s">
        <v>1560</v>
      </c>
      <c r="N661" s="5" t="s">
        <v>1558</v>
      </c>
      <c r="O661" s="13">
        <v>43654</v>
      </c>
      <c r="P661" t="s">
        <v>8729</v>
      </c>
    </row>
    <row r="662" spans="1:16" x14ac:dyDescent="0.15">
      <c r="A662" s="5" t="s">
        <v>569</v>
      </c>
      <c r="B662" s="5" t="s">
        <v>1563</v>
      </c>
      <c r="C662" s="5" t="s">
        <v>1637</v>
      </c>
      <c r="D662" s="5" t="s">
        <v>1693</v>
      </c>
      <c r="E662" s="5" t="s">
        <v>37</v>
      </c>
      <c r="F662" s="12">
        <v>43655.611006944448</v>
      </c>
      <c r="G662" t="s">
        <v>8729</v>
      </c>
      <c r="H662" s="5" t="s">
        <v>571</v>
      </c>
      <c r="I662" s="6">
        <v>1950</v>
      </c>
      <c r="J662" s="5" t="s">
        <v>15</v>
      </c>
      <c r="K662" s="6">
        <v>7.5</v>
      </c>
      <c r="L662" s="6">
        <v>14625</v>
      </c>
      <c r="M662" s="5" t="s">
        <v>1560</v>
      </c>
      <c r="N662" s="5" t="s">
        <v>1558</v>
      </c>
      <c r="O662" s="13">
        <v>43655</v>
      </c>
      <c r="P662" t="s">
        <v>8729</v>
      </c>
    </row>
    <row r="663" spans="1:16" x14ac:dyDescent="0.15">
      <c r="A663" s="5" t="s">
        <v>76</v>
      </c>
      <c r="B663" s="5" t="s">
        <v>1563</v>
      </c>
      <c r="C663" s="5" t="s">
        <v>1596</v>
      </c>
      <c r="D663" s="5" t="s">
        <v>1693</v>
      </c>
      <c r="E663" s="5" t="s">
        <v>37</v>
      </c>
      <c r="F663" s="12">
        <v>43656.644641203704</v>
      </c>
      <c r="G663" t="s">
        <v>8729</v>
      </c>
      <c r="H663" s="5" t="s">
        <v>572</v>
      </c>
      <c r="I663" s="6">
        <v>487.5</v>
      </c>
      <c r="J663" s="5" t="s">
        <v>15</v>
      </c>
      <c r="K663" s="6">
        <v>8.3000000000000007</v>
      </c>
      <c r="L663" s="6">
        <v>4046.25</v>
      </c>
      <c r="M663" s="5" t="s">
        <v>1560</v>
      </c>
      <c r="N663" s="5" t="s">
        <v>1558</v>
      </c>
      <c r="O663" s="13">
        <v>43655</v>
      </c>
      <c r="P663" t="s">
        <v>8729</v>
      </c>
    </row>
    <row r="664" spans="1:16" x14ac:dyDescent="0.15">
      <c r="A664" s="5" t="s">
        <v>577</v>
      </c>
      <c r="B664" s="5" t="s">
        <v>1563</v>
      </c>
      <c r="C664" s="5" t="s">
        <v>1612</v>
      </c>
      <c r="D664" s="5" t="s">
        <v>1693</v>
      </c>
      <c r="E664" s="5" t="s">
        <v>37</v>
      </c>
      <c r="F664" s="12">
        <v>43657.844282407408</v>
      </c>
      <c r="G664" t="s">
        <v>8729</v>
      </c>
      <c r="H664" s="5" t="s">
        <v>578</v>
      </c>
      <c r="I664" s="6">
        <v>5850</v>
      </c>
      <c r="J664" s="5" t="s">
        <v>15</v>
      </c>
      <c r="K664" s="6">
        <v>7</v>
      </c>
      <c r="L664" s="6">
        <v>40950</v>
      </c>
      <c r="M664" s="5" t="s">
        <v>1560</v>
      </c>
      <c r="N664" s="5" t="s">
        <v>1558</v>
      </c>
      <c r="O664" s="13">
        <v>43657</v>
      </c>
      <c r="P664" t="s">
        <v>8729</v>
      </c>
    </row>
    <row r="665" spans="1:16" x14ac:dyDescent="0.15">
      <c r="A665" s="5" t="s">
        <v>579</v>
      </c>
      <c r="B665" s="5" t="s">
        <v>1563</v>
      </c>
      <c r="C665" s="5" t="s">
        <v>1610</v>
      </c>
      <c r="D665" s="5" t="s">
        <v>1693</v>
      </c>
      <c r="E665" s="5" t="s">
        <v>37</v>
      </c>
      <c r="F665" s="12">
        <v>43658.78528935185</v>
      </c>
      <c r="G665" t="s">
        <v>8729</v>
      </c>
      <c r="H665" s="5" t="s">
        <v>580</v>
      </c>
      <c r="I665" s="6">
        <v>1950</v>
      </c>
      <c r="J665" s="5" t="s">
        <v>15</v>
      </c>
      <c r="K665" s="6">
        <v>7.5</v>
      </c>
      <c r="L665" s="6">
        <v>14625</v>
      </c>
      <c r="M665" s="5" t="s">
        <v>1560</v>
      </c>
      <c r="N665" s="5" t="s">
        <v>1558</v>
      </c>
      <c r="O665" s="13">
        <v>43658</v>
      </c>
      <c r="P665" t="s">
        <v>8729</v>
      </c>
    </row>
    <row r="666" spans="1:16" x14ac:dyDescent="0.15">
      <c r="A666" s="5" t="s">
        <v>586</v>
      </c>
      <c r="B666" s="5" t="s">
        <v>1563</v>
      </c>
      <c r="C666" s="5" t="s">
        <v>1658</v>
      </c>
      <c r="D666" s="5" t="s">
        <v>1693</v>
      </c>
      <c r="E666" s="5" t="s">
        <v>37</v>
      </c>
      <c r="F666" s="12">
        <v>43658.831886574073</v>
      </c>
      <c r="G666" t="s">
        <v>8729</v>
      </c>
      <c r="H666" s="5" t="s">
        <v>587</v>
      </c>
      <c r="I666" s="6">
        <v>5167.5</v>
      </c>
      <c r="J666" s="5" t="s">
        <v>15</v>
      </c>
      <c r="K666" s="6">
        <v>7.2</v>
      </c>
      <c r="L666" s="6">
        <v>37206</v>
      </c>
      <c r="M666" s="5" t="s">
        <v>1560</v>
      </c>
      <c r="N666" s="5" t="s">
        <v>1558</v>
      </c>
      <c r="O666" s="13">
        <v>43658</v>
      </c>
      <c r="P666" t="s">
        <v>8729</v>
      </c>
    </row>
    <row r="667" spans="1:16" x14ac:dyDescent="0.15">
      <c r="A667" s="5" t="s">
        <v>588</v>
      </c>
      <c r="B667" s="5" t="s">
        <v>1563</v>
      </c>
      <c r="C667" s="5" t="s">
        <v>1580</v>
      </c>
      <c r="D667" s="5" t="s">
        <v>1693</v>
      </c>
      <c r="E667" s="5" t="s">
        <v>37</v>
      </c>
      <c r="F667" s="12">
        <v>43661.601030092592</v>
      </c>
      <c r="G667" t="s">
        <v>8729</v>
      </c>
      <c r="H667" s="5" t="s">
        <v>589</v>
      </c>
      <c r="I667" s="6">
        <v>5070</v>
      </c>
      <c r="J667" s="5" t="s">
        <v>15</v>
      </c>
      <c r="K667" s="6">
        <v>7.5</v>
      </c>
      <c r="L667" s="6">
        <v>38025</v>
      </c>
      <c r="M667" s="5" t="s">
        <v>1560</v>
      </c>
      <c r="N667" s="5" t="s">
        <v>1558</v>
      </c>
      <c r="O667" s="13">
        <v>43658</v>
      </c>
      <c r="P667" t="s">
        <v>8729</v>
      </c>
    </row>
    <row r="668" spans="1:16" x14ac:dyDescent="0.15">
      <c r="A668" s="5" t="s">
        <v>79</v>
      </c>
      <c r="B668" s="5" t="s">
        <v>1563</v>
      </c>
      <c r="C668" s="5" t="s">
        <v>1603</v>
      </c>
      <c r="D668" s="5" t="s">
        <v>1693</v>
      </c>
      <c r="E668" s="5" t="s">
        <v>37</v>
      </c>
      <c r="F668" s="12">
        <v>43662.665231481478</v>
      </c>
      <c r="G668" t="s">
        <v>8729</v>
      </c>
      <c r="H668" s="5" t="s">
        <v>593</v>
      </c>
      <c r="I668" s="6">
        <v>25057.5</v>
      </c>
      <c r="J668" s="5" t="s">
        <v>15</v>
      </c>
      <c r="K668" s="6">
        <v>7.5</v>
      </c>
      <c r="L668" s="6">
        <v>187931.25</v>
      </c>
      <c r="M668" s="5" t="s">
        <v>1560</v>
      </c>
      <c r="N668" s="5" t="s">
        <v>1558</v>
      </c>
      <c r="O668" s="13">
        <v>43662</v>
      </c>
      <c r="P668" t="s">
        <v>8729</v>
      </c>
    </row>
    <row r="669" spans="1:16" x14ac:dyDescent="0.15">
      <c r="A669" s="5" t="s">
        <v>600</v>
      </c>
      <c r="B669" s="5" t="s">
        <v>1563</v>
      </c>
      <c r="C669" s="5" t="s">
        <v>1588</v>
      </c>
      <c r="D669" s="5" t="s">
        <v>1693</v>
      </c>
      <c r="E669" s="5" t="s">
        <v>37</v>
      </c>
      <c r="F669" s="12">
        <v>43663.809513888889</v>
      </c>
      <c r="G669" t="s">
        <v>8729</v>
      </c>
      <c r="H669" s="5" t="s">
        <v>602</v>
      </c>
      <c r="I669" s="6">
        <v>5752.5</v>
      </c>
      <c r="J669" s="5" t="s">
        <v>15</v>
      </c>
      <c r="K669" s="6">
        <v>7.5</v>
      </c>
      <c r="L669" s="6">
        <v>43143.75</v>
      </c>
      <c r="M669" s="5" t="s">
        <v>1560</v>
      </c>
      <c r="N669" s="5" t="s">
        <v>1558</v>
      </c>
      <c r="O669" s="13">
        <v>43663</v>
      </c>
      <c r="P669" t="s">
        <v>8729</v>
      </c>
    </row>
    <row r="670" spans="1:16" x14ac:dyDescent="0.15">
      <c r="A670" s="5" t="s">
        <v>608</v>
      </c>
      <c r="B670" s="5" t="s">
        <v>1563</v>
      </c>
      <c r="C670" s="5" t="s">
        <v>1668</v>
      </c>
      <c r="D670" s="5" t="s">
        <v>1693</v>
      </c>
      <c r="E670" s="5" t="s">
        <v>37</v>
      </c>
      <c r="F670" s="12">
        <v>43668.736145833333</v>
      </c>
      <c r="G670" t="s">
        <v>8729</v>
      </c>
      <c r="H670" s="5" t="s">
        <v>609</v>
      </c>
      <c r="I670" s="6">
        <v>195</v>
      </c>
      <c r="J670" s="5" t="s">
        <v>15</v>
      </c>
      <c r="K670" s="6">
        <v>7.5</v>
      </c>
      <c r="L670" s="6">
        <v>1462.5</v>
      </c>
      <c r="M670" s="5" t="s">
        <v>1560</v>
      </c>
      <c r="N670" s="5" t="s">
        <v>1558</v>
      </c>
      <c r="O670" s="13">
        <v>43664</v>
      </c>
      <c r="P670" t="s">
        <v>8729</v>
      </c>
    </row>
    <row r="671" spans="1:16" x14ac:dyDescent="0.15">
      <c r="A671" s="5" t="s">
        <v>610</v>
      </c>
      <c r="B671" s="5" t="s">
        <v>1563</v>
      </c>
      <c r="C671" s="5" t="s">
        <v>1572</v>
      </c>
      <c r="D671" s="5" t="s">
        <v>1693</v>
      </c>
      <c r="E671" s="5" t="s">
        <v>37</v>
      </c>
      <c r="F671" s="12">
        <v>43668.741851851853</v>
      </c>
      <c r="G671" t="s">
        <v>8729</v>
      </c>
      <c r="H671" s="5" t="s">
        <v>613</v>
      </c>
      <c r="I671" s="6">
        <v>6045</v>
      </c>
      <c r="J671" s="5" t="s">
        <v>15</v>
      </c>
      <c r="K671" s="6">
        <v>7</v>
      </c>
      <c r="L671" s="6">
        <v>42315</v>
      </c>
      <c r="M671" s="5" t="s">
        <v>1560</v>
      </c>
      <c r="N671" s="5" t="s">
        <v>1558</v>
      </c>
      <c r="O671" s="13">
        <v>43668</v>
      </c>
      <c r="P671" t="s">
        <v>8729</v>
      </c>
    </row>
    <row r="672" spans="1:16" x14ac:dyDescent="0.15">
      <c r="A672" s="5" t="s">
        <v>617</v>
      </c>
      <c r="B672" s="5" t="s">
        <v>1563</v>
      </c>
      <c r="C672" s="5" t="s">
        <v>1589</v>
      </c>
      <c r="D672" s="5" t="s">
        <v>1693</v>
      </c>
      <c r="E672" s="5" t="s">
        <v>37</v>
      </c>
      <c r="F672" s="12">
        <v>43668.748912037037</v>
      </c>
      <c r="G672" t="s">
        <v>8729</v>
      </c>
      <c r="H672" s="5" t="s">
        <v>618</v>
      </c>
      <c r="I672" s="6">
        <v>10042.5</v>
      </c>
      <c r="J672" s="5" t="s">
        <v>15</v>
      </c>
      <c r="K672" s="6">
        <v>7</v>
      </c>
      <c r="L672" s="6">
        <v>70297.5</v>
      </c>
      <c r="M672" s="5" t="s">
        <v>1560</v>
      </c>
      <c r="N672" s="5" t="s">
        <v>1558</v>
      </c>
      <c r="O672" s="13">
        <v>43670</v>
      </c>
      <c r="P672" t="s">
        <v>8729</v>
      </c>
    </row>
    <row r="673" spans="1:16" x14ac:dyDescent="0.15">
      <c r="A673" s="5" t="s">
        <v>84</v>
      </c>
      <c r="B673" s="5" t="s">
        <v>1563</v>
      </c>
      <c r="C673" s="5" t="s">
        <v>1645</v>
      </c>
      <c r="D673" s="5" t="s">
        <v>1693</v>
      </c>
      <c r="E673" s="5" t="s">
        <v>37</v>
      </c>
      <c r="F673" s="12">
        <v>43668.823067129626</v>
      </c>
      <c r="G673" t="s">
        <v>8729</v>
      </c>
      <c r="H673" s="5" t="s">
        <v>621</v>
      </c>
      <c r="I673" s="6">
        <v>1365</v>
      </c>
      <c r="J673" s="5" t="s">
        <v>15</v>
      </c>
      <c r="K673" s="6">
        <v>7.7799999999999994</v>
      </c>
      <c r="L673" s="6">
        <v>10619.7</v>
      </c>
      <c r="M673" s="5" t="s">
        <v>1560</v>
      </c>
      <c r="N673" s="5" t="s">
        <v>1558</v>
      </c>
      <c r="O673" s="13">
        <v>43669</v>
      </c>
      <c r="P673" t="s">
        <v>8729</v>
      </c>
    </row>
    <row r="674" spans="1:16" x14ac:dyDescent="0.15">
      <c r="A674" s="5" t="s">
        <v>85</v>
      </c>
      <c r="B674" s="5" t="s">
        <v>1563</v>
      </c>
      <c r="C674" s="5" t="s">
        <v>1662</v>
      </c>
      <c r="D674" s="5" t="s">
        <v>1693</v>
      </c>
      <c r="E674" s="5" t="s">
        <v>37</v>
      </c>
      <c r="F674" s="12">
        <v>43668.829247685186</v>
      </c>
      <c r="G674" t="s">
        <v>8729</v>
      </c>
      <c r="H674" s="5" t="s">
        <v>622</v>
      </c>
      <c r="I674" s="6">
        <v>7995</v>
      </c>
      <c r="J674" s="5" t="s">
        <v>15</v>
      </c>
      <c r="K674" s="6">
        <v>7.5</v>
      </c>
      <c r="L674" s="6">
        <v>59962.5</v>
      </c>
      <c r="M674" s="5" t="s">
        <v>1560</v>
      </c>
      <c r="N674" s="5" t="s">
        <v>1558</v>
      </c>
      <c r="O674" s="13">
        <v>43670</v>
      </c>
      <c r="P674" t="s">
        <v>8729</v>
      </c>
    </row>
    <row r="675" spans="1:16" x14ac:dyDescent="0.15">
      <c r="A675" s="5" t="s">
        <v>623</v>
      </c>
      <c r="B675" s="5" t="s">
        <v>1563</v>
      </c>
      <c r="C675" s="5" t="s">
        <v>1600</v>
      </c>
      <c r="D675" s="5" t="s">
        <v>1693</v>
      </c>
      <c r="E675" s="5" t="s">
        <v>37</v>
      </c>
      <c r="F675" s="12">
        <v>43668.839062500003</v>
      </c>
      <c r="G675" t="s">
        <v>8729</v>
      </c>
      <c r="H675" s="5" t="s">
        <v>625</v>
      </c>
      <c r="I675" s="6">
        <v>12285</v>
      </c>
      <c r="J675" s="5" t="s">
        <v>15</v>
      </c>
      <c r="K675" s="6">
        <v>6</v>
      </c>
      <c r="L675" s="6">
        <v>73710</v>
      </c>
      <c r="M675" s="5" t="s">
        <v>1560</v>
      </c>
      <c r="N675" s="5" t="s">
        <v>1558</v>
      </c>
      <c r="O675" s="13">
        <v>43670</v>
      </c>
      <c r="P675" t="s">
        <v>8729</v>
      </c>
    </row>
    <row r="676" spans="1:16" x14ac:dyDescent="0.15">
      <c r="A676" s="5" t="s">
        <v>89</v>
      </c>
      <c r="B676" s="5" t="s">
        <v>1563</v>
      </c>
      <c r="C676" s="5" t="s">
        <v>1571</v>
      </c>
      <c r="D676" s="5" t="s">
        <v>1693</v>
      </c>
      <c r="E676" s="5" t="s">
        <v>37</v>
      </c>
      <c r="F676" s="12">
        <v>43671.672152777777</v>
      </c>
      <c r="G676" t="s">
        <v>8729</v>
      </c>
      <c r="H676" s="5" t="s">
        <v>631</v>
      </c>
      <c r="I676" s="6">
        <v>1950</v>
      </c>
      <c r="J676" s="5" t="s">
        <v>15</v>
      </c>
      <c r="K676" s="6">
        <v>6.5</v>
      </c>
      <c r="L676" s="6">
        <v>12675</v>
      </c>
      <c r="M676" s="5" t="s">
        <v>1560</v>
      </c>
      <c r="N676" s="5" t="s">
        <v>1558</v>
      </c>
      <c r="O676" s="13">
        <v>43671</v>
      </c>
      <c r="P676" t="s">
        <v>8729</v>
      </c>
    </row>
    <row r="677" spans="1:16" x14ac:dyDescent="0.15">
      <c r="A677" s="5" t="s">
        <v>635</v>
      </c>
      <c r="B677" s="5" t="s">
        <v>1563</v>
      </c>
      <c r="C677" s="5" t="s">
        <v>1600</v>
      </c>
      <c r="D677" s="5" t="s">
        <v>1693</v>
      </c>
      <c r="E677" s="5" t="s">
        <v>37</v>
      </c>
      <c r="F677" s="12">
        <v>43672.569120370368</v>
      </c>
      <c r="G677" t="s">
        <v>8729</v>
      </c>
      <c r="H677" s="5" t="s">
        <v>637</v>
      </c>
      <c r="I677" s="6">
        <v>-12285</v>
      </c>
      <c r="J677" s="5" t="s">
        <v>15</v>
      </c>
      <c r="K677" s="6">
        <v>6</v>
      </c>
      <c r="L677" s="6">
        <v>-73710</v>
      </c>
      <c r="M677" s="5" t="s">
        <v>1560</v>
      </c>
      <c r="N677" s="5" t="s">
        <v>1558</v>
      </c>
      <c r="O677" s="13">
        <v>43672</v>
      </c>
      <c r="P677" t="s">
        <v>8729</v>
      </c>
    </row>
    <row r="678" spans="1:16" x14ac:dyDescent="0.15">
      <c r="A678" s="5" t="s">
        <v>638</v>
      </c>
      <c r="B678" s="5" t="s">
        <v>1563</v>
      </c>
      <c r="C678" s="5" t="s">
        <v>1609</v>
      </c>
      <c r="D678" s="5" t="s">
        <v>1693</v>
      </c>
      <c r="E678" s="5" t="s">
        <v>37</v>
      </c>
      <c r="F678" s="12">
        <v>43672.599259259259</v>
      </c>
      <c r="G678" t="s">
        <v>8729</v>
      </c>
      <c r="H678" s="5" t="s">
        <v>639</v>
      </c>
      <c r="I678" s="6">
        <v>487.5</v>
      </c>
      <c r="J678" s="5" t="s">
        <v>15</v>
      </c>
      <c r="K678" s="6">
        <v>7.5</v>
      </c>
      <c r="L678" s="6">
        <v>3656.25</v>
      </c>
      <c r="M678" s="5" t="s">
        <v>1560</v>
      </c>
      <c r="N678" s="5" t="s">
        <v>1558</v>
      </c>
      <c r="O678" s="13">
        <v>43671</v>
      </c>
      <c r="P678" t="s">
        <v>8729</v>
      </c>
    </row>
    <row r="679" spans="1:16" x14ac:dyDescent="0.15">
      <c r="A679" s="5" t="s">
        <v>91</v>
      </c>
      <c r="B679" s="5" t="s">
        <v>1563</v>
      </c>
      <c r="C679" s="5" t="s">
        <v>1580</v>
      </c>
      <c r="D679" s="5" t="s">
        <v>1693</v>
      </c>
      <c r="E679" s="5" t="s">
        <v>37</v>
      </c>
      <c r="F679" s="12">
        <v>43672.747430555559</v>
      </c>
      <c r="G679" t="s">
        <v>8729</v>
      </c>
      <c r="H679" s="5" t="s">
        <v>641</v>
      </c>
      <c r="I679" s="6">
        <v>4680</v>
      </c>
      <c r="J679" s="5" t="s">
        <v>15</v>
      </c>
      <c r="K679" s="6">
        <v>7.5</v>
      </c>
      <c r="L679" s="6">
        <v>35100</v>
      </c>
      <c r="M679" s="5" t="s">
        <v>1560</v>
      </c>
      <c r="N679" s="5" t="s">
        <v>1558</v>
      </c>
      <c r="O679" s="13">
        <v>43672</v>
      </c>
      <c r="P679" t="s">
        <v>8729</v>
      </c>
    </row>
    <row r="680" spans="1:16" x14ac:dyDescent="0.15">
      <c r="A680" s="5" t="s">
        <v>646</v>
      </c>
      <c r="B680" s="5" t="s">
        <v>1563</v>
      </c>
      <c r="C680" s="5" t="s">
        <v>1645</v>
      </c>
      <c r="D680" s="5" t="s">
        <v>1693</v>
      </c>
      <c r="E680" s="5" t="s">
        <v>37</v>
      </c>
      <c r="F680" s="12">
        <v>43675.638958333337</v>
      </c>
      <c r="G680" t="s">
        <v>8729</v>
      </c>
      <c r="H680" s="5" t="s">
        <v>647</v>
      </c>
      <c r="I680" s="6">
        <v>1365</v>
      </c>
      <c r="J680" s="5" t="s">
        <v>15</v>
      </c>
      <c r="K680" s="6">
        <v>7.5</v>
      </c>
      <c r="L680" s="6">
        <v>10237.5</v>
      </c>
      <c r="M680" s="5" t="s">
        <v>1560</v>
      </c>
      <c r="N680" s="5" t="s">
        <v>1558</v>
      </c>
      <c r="O680" s="13">
        <v>43672</v>
      </c>
      <c r="P680" t="s">
        <v>8729</v>
      </c>
    </row>
    <row r="681" spans="1:16" x14ac:dyDescent="0.15">
      <c r="A681" s="5" t="s">
        <v>93</v>
      </c>
      <c r="B681" s="5" t="s">
        <v>1563</v>
      </c>
      <c r="C681" s="5" t="s">
        <v>1669</v>
      </c>
      <c r="D681" s="5" t="s">
        <v>1693</v>
      </c>
      <c r="E681" s="5" t="s">
        <v>37</v>
      </c>
      <c r="F681" s="12">
        <v>43675.813113425924</v>
      </c>
      <c r="G681" t="s">
        <v>8729</v>
      </c>
      <c r="H681" s="5" t="s">
        <v>648</v>
      </c>
      <c r="I681" s="6">
        <v>6825</v>
      </c>
      <c r="J681" s="5" t="s">
        <v>15</v>
      </c>
      <c r="K681" s="6">
        <v>5.9</v>
      </c>
      <c r="L681" s="6">
        <v>40267.5</v>
      </c>
      <c r="M681" s="5" t="s">
        <v>1560</v>
      </c>
      <c r="N681" s="5" t="s">
        <v>1558</v>
      </c>
      <c r="O681" s="13">
        <v>43675</v>
      </c>
      <c r="P681" t="s">
        <v>8729</v>
      </c>
    </row>
    <row r="682" spans="1:16" x14ac:dyDescent="0.15">
      <c r="A682" s="5" t="s">
        <v>94</v>
      </c>
      <c r="B682" s="5" t="s">
        <v>1563</v>
      </c>
      <c r="C682" s="5" t="s">
        <v>1616</v>
      </c>
      <c r="D682" s="5" t="s">
        <v>1693</v>
      </c>
      <c r="E682" s="5" t="s">
        <v>37</v>
      </c>
      <c r="F682" s="12">
        <v>43678.652650462966</v>
      </c>
      <c r="G682" t="s">
        <v>8730</v>
      </c>
      <c r="H682" s="5" t="s">
        <v>650</v>
      </c>
      <c r="I682" s="6">
        <v>780</v>
      </c>
      <c r="J682" s="5" t="s">
        <v>15</v>
      </c>
      <c r="K682" s="6">
        <v>7.75</v>
      </c>
      <c r="L682" s="6">
        <v>6045</v>
      </c>
      <c r="M682" s="5" t="s">
        <v>1560</v>
      </c>
      <c r="N682" s="5" t="s">
        <v>1558</v>
      </c>
      <c r="O682" s="13">
        <v>43678</v>
      </c>
      <c r="P682" t="s">
        <v>8730</v>
      </c>
    </row>
    <row r="683" spans="1:16" x14ac:dyDescent="0.15">
      <c r="A683" s="5" t="s">
        <v>651</v>
      </c>
      <c r="B683" s="5" t="s">
        <v>1563</v>
      </c>
      <c r="C683" s="5" t="s">
        <v>1666</v>
      </c>
      <c r="D683" s="5" t="s">
        <v>1693</v>
      </c>
      <c r="E683" s="5" t="s">
        <v>37</v>
      </c>
      <c r="F683" s="12">
        <v>43678.655046296299</v>
      </c>
      <c r="G683" t="s">
        <v>8730</v>
      </c>
      <c r="H683" s="5" t="s">
        <v>652</v>
      </c>
      <c r="I683" s="6">
        <v>1560</v>
      </c>
      <c r="J683" s="5" t="s">
        <v>15</v>
      </c>
      <c r="K683" s="6">
        <v>7.75</v>
      </c>
      <c r="L683" s="6">
        <v>12090</v>
      </c>
      <c r="M683" s="5" t="s">
        <v>1560</v>
      </c>
      <c r="N683" s="5" t="s">
        <v>1558</v>
      </c>
      <c r="O683" s="13">
        <v>43678</v>
      </c>
      <c r="P683" t="s">
        <v>8730</v>
      </c>
    </row>
    <row r="684" spans="1:16" x14ac:dyDescent="0.15">
      <c r="A684" s="5" t="s">
        <v>664</v>
      </c>
      <c r="B684" s="5" t="s">
        <v>1563</v>
      </c>
      <c r="C684" s="5" t="s">
        <v>1594</v>
      </c>
      <c r="D684" s="5" t="s">
        <v>1693</v>
      </c>
      <c r="E684" s="5" t="s">
        <v>37</v>
      </c>
      <c r="F684" s="12">
        <v>43678.680578703701</v>
      </c>
      <c r="G684" t="s">
        <v>8730</v>
      </c>
      <c r="H684" s="5" t="s">
        <v>666</v>
      </c>
      <c r="I684" s="6">
        <v>7995</v>
      </c>
      <c r="J684" s="5" t="s">
        <v>15</v>
      </c>
      <c r="K684" s="6">
        <v>7</v>
      </c>
      <c r="L684" s="6">
        <v>55965</v>
      </c>
      <c r="M684" s="5" t="s">
        <v>1560</v>
      </c>
      <c r="N684" s="5" t="s">
        <v>1558</v>
      </c>
      <c r="O684" s="13">
        <v>43678</v>
      </c>
      <c r="P684" t="s">
        <v>8730</v>
      </c>
    </row>
    <row r="685" spans="1:16" x14ac:dyDescent="0.15">
      <c r="A685" s="5" t="s">
        <v>667</v>
      </c>
      <c r="B685" s="5" t="s">
        <v>1563</v>
      </c>
      <c r="C685" s="5" t="s">
        <v>1574</v>
      </c>
      <c r="D685" s="5" t="s">
        <v>1693</v>
      </c>
      <c r="E685" s="5" t="s">
        <v>37</v>
      </c>
      <c r="F685" s="12">
        <v>43678.686736111114</v>
      </c>
      <c r="G685" t="s">
        <v>8730</v>
      </c>
      <c r="H685" s="5" t="s">
        <v>669</v>
      </c>
      <c r="I685" s="6">
        <v>5850</v>
      </c>
      <c r="J685" s="5" t="s">
        <v>15</v>
      </c>
      <c r="K685" s="6">
        <v>7.5</v>
      </c>
      <c r="L685" s="6">
        <v>43875</v>
      </c>
      <c r="M685" s="5" t="s">
        <v>1560</v>
      </c>
      <c r="N685" s="5" t="s">
        <v>1558</v>
      </c>
      <c r="O685" s="13">
        <v>43678</v>
      </c>
      <c r="P685" t="s">
        <v>8730</v>
      </c>
    </row>
    <row r="686" spans="1:16" x14ac:dyDescent="0.15">
      <c r="A686" s="5" t="s">
        <v>672</v>
      </c>
      <c r="B686" s="5" t="s">
        <v>1563</v>
      </c>
      <c r="C686" s="5" t="s">
        <v>1572</v>
      </c>
      <c r="D686" s="5" t="s">
        <v>1693</v>
      </c>
      <c r="E686" s="5" t="s">
        <v>37</v>
      </c>
      <c r="F686" s="12">
        <v>43678.849166666667</v>
      </c>
      <c r="G686" t="s">
        <v>8730</v>
      </c>
      <c r="H686" s="5" t="s">
        <v>673</v>
      </c>
      <c r="I686" s="6">
        <v>1755</v>
      </c>
      <c r="J686" s="5" t="s">
        <v>15</v>
      </c>
      <c r="K686" s="6">
        <v>7.7200000000000006</v>
      </c>
      <c r="L686" s="6">
        <v>13548.6</v>
      </c>
      <c r="M686" s="5" t="s">
        <v>1560</v>
      </c>
      <c r="N686" s="5" t="s">
        <v>1558</v>
      </c>
      <c r="O686" s="13">
        <v>43678</v>
      </c>
      <c r="P686" t="s">
        <v>8730</v>
      </c>
    </row>
    <row r="687" spans="1:16" x14ac:dyDescent="0.15">
      <c r="A687" s="5" t="s">
        <v>677</v>
      </c>
      <c r="B687" s="5" t="s">
        <v>1563</v>
      </c>
      <c r="C687" s="5" t="s">
        <v>1670</v>
      </c>
      <c r="D687" s="5" t="s">
        <v>1693</v>
      </c>
      <c r="E687" s="5" t="s">
        <v>37</v>
      </c>
      <c r="F687" s="12">
        <v>43679.660798611112</v>
      </c>
      <c r="G687" t="s">
        <v>8730</v>
      </c>
      <c r="H687" s="5" t="s">
        <v>678</v>
      </c>
      <c r="I687" s="6">
        <v>4095</v>
      </c>
      <c r="J687" s="5" t="s">
        <v>15</v>
      </c>
      <c r="K687" s="6">
        <v>7</v>
      </c>
      <c r="L687" s="6">
        <v>28665</v>
      </c>
      <c r="M687" s="5" t="s">
        <v>1560</v>
      </c>
      <c r="N687" s="5" t="s">
        <v>1558</v>
      </c>
      <c r="O687" s="13">
        <v>43679</v>
      </c>
      <c r="P687" t="s">
        <v>8730</v>
      </c>
    </row>
    <row r="688" spans="1:16" x14ac:dyDescent="0.15">
      <c r="A688" s="5" t="s">
        <v>682</v>
      </c>
      <c r="B688" s="5" t="s">
        <v>1563</v>
      </c>
      <c r="C688" s="5" t="s">
        <v>1671</v>
      </c>
      <c r="D688" s="5" t="s">
        <v>1693</v>
      </c>
      <c r="E688" s="5" t="s">
        <v>37</v>
      </c>
      <c r="F688" s="12">
        <v>43683.598344907405</v>
      </c>
      <c r="G688" t="s">
        <v>8730</v>
      </c>
      <c r="H688" s="5" t="s">
        <v>683</v>
      </c>
      <c r="I688" s="6">
        <v>5850</v>
      </c>
      <c r="J688" s="5" t="s">
        <v>15</v>
      </c>
      <c r="K688" s="6">
        <v>7</v>
      </c>
      <c r="L688" s="6">
        <v>40950</v>
      </c>
      <c r="M688" s="5" t="s">
        <v>1560</v>
      </c>
      <c r="N688" s="5" t="s">
        <v>1558</v>
      </c>
      <c r="O688" s="13">
        <v>43682</v>
      </c>
      <c r="P688" t="s">
        <v>8730</v>
      </c>
    </row>
    <row r="689" spans="1:16" x14ac:dyDescent="0.15">
      <c r="A689" s="5" t="s">
        <v>682</v>
      </c>
      <c r="B689" s="5" t="s">
        <v>1563</v>
      </c>
      <c r="C689" s="5" t="s">
        <v>1671</v>
      </c>
      <c r="D689" s="5" t="s">
        <v>1693</v>
      </c>
      <c r="E689" s="5" t="s">
        <v>37</v>
      </c>
      <c r="F689" s="12">
        <v>43683.621296296296</v>
      </c>
      <c r="G689" t="s">
        <v>8730</v>
      </c>
      <c r="H689" s="5" t="s">
        <v>684</v>
      </c>
      <c r="I689" s="6">
        <v>-5850</v>
      </c>
      <c r="J689" s="5" t="s">
        <v>15</v>
      </c>
      <c r="K689" s="6">
        <v>7</v>
      </c>
      <c r="L689" s="6">
        <v>-40950</v>
      </c>
      <c r="M689" s="5" t="s">
        <v>1560</v>
      </c>
      <c r="N689" s="5" t="s">
        <v>1558</v>
      </c>
      <c r="O689" s="13">
        <v>43683</v>
      </c>
      <c r="P689" t="s">
        <v>8730</v>
      </c>
    </row>
    <row r="690" spans="1:16" x14ac:dyDescent="0.15">
      <c r="A690" s="5" t="s">
        <v>96</v>
      </c>
      <c r="B690" s="5" t="s">
        <v>1563</v>
      </c>
      <c r="C690" s="5" t="s">
        <v>1672</v>
      </c>
      <c r="D690" s="5" t="s">
        <v>1693</v>
      </c>
      <c r="E690" s="5" t="s">
        <v>37</v>
      </c>
      <c r="F690" s="12">
        <v>43683.650208333333</v>
      </c>
      <c r="G690" t="s">
        <v>8730</v>
      </c>
      <c r="H690" s="5" t="s">
        <v>685</v>
      </c>
      <c r="I690" s="6">
        <v>5850</v>
      </c>
      <c r="J690" s="5" t="s">
        <v>15</v>
      </c>
      <c r="K690" s="6">
        <v>7</v>
      </c>
      <c r="L690" s="6">
        <v>40950</v>
      </c>
      <c r="M690" s="5" t="s">
        <v>1560</v>
      </c>
      <c r="N690" s="5" t="s">
        <v>1558</v>
      </c>
      <c r="O690" s="13">
        <v>43682</v>
      </c>
      <c r="P690" t="s">
        <v>8730</v>
      </c>
    </row>
    <row r="691" spans="1:16" x14ac:dyDescent="0.15">
      <c r="A691" s="5" t="s">
        <v>686</v>
      </c>
      <c r="B691" s="5" t="s">
        <v>1563</v>
      </c>
      <c r="C691" s="5" t="s">
        <v>1577</v>
      </c>
      <c r="D691" s="5" t="s">
        <v>1693</v>
      </c>
      <c r="E691" s="5" t="s">
        <v>37</v>
      </c>
      <c r="F691" s="12">
        <v>43683.671527777777</v>
      </c>
      <c r="G691" t="s">
        <v>8730</v>
      </c>
      <c r="H691" s="5" t="s">
        <v>687</v>
      </c>
      <c r="I691" s="6">
        <v>5655</v>
      </c>
      <c r="J691" s="5" t="s">
        <v>15</v>
      </c>
      <c r="K691" s="6">
        <v>7.5</v>
      </c>
      <c r="L691" s="6">
        <v>42412.5</v>
      </c>
      <c r="M691" s="5" t="s">
        <v>1560</v>
      </c>
      <c r="N691" s="5" t="s">
        <v>1558</v>
      </c>
      <c r="O691" s="13">
        <v>43683</v>
      </c>
      <c r="P691" t="s">
        <v>8730</v>
      </c>
    </row>
    <row r="692" spans="1:16" x14ac:dyDescent="0.15">
      <c r="A692" s="5" t="s">
        <v>97</v>
      </c>
      <c r="B692" s="5" t="s">
        <v>1563</v>
      </c>
      <c r="C692" s="5" t="s">
        <v>1641</v>
      </c>
      <c r="D692" s="5" t="s">
        <v>1693</v>
      </c>
      <c r="E692" s="5" t="s">
        <v>37</v>
      </c>
      <c r="F692" s="12">
        <v>43683.85355324074</v>
      </c>
      <c r="G692" t="s">
        <v>8730</v>
      </c>
      <c r="H692" s="5" t="s">
        <v>688</v>
      </c>
      <c r="I692" s="6">
        <v>292.5</v>
      </c>
      <c r="J692" s="5" t="s">
        <v>15</v>
      </c>
      <c r="K692" s="6">
        <v>7.5</v>
      </c>
      <c r="L692" s="6">
        <v>2193.75</v>
      </c>
      <c r="M692" s="5" t="s">
        <v>1560</v>
      </c>
      <c r="N692" s="5" t="s">
        <v>1558</v>
      </c>
      <c r="O692" s="13">
        <v>43684</v>
      </c>
      <c r="P692" t="s">
        <v>8730</v>
      </c>
    </row>
    <row r="693" spans="1:16" x14ac:dyDescent="0.15">
      <c r="A693" s="5" t="s">
        <v>98</v>
      </c>
      <c r="B693" s="5" t="s">
        <v>1563</v>
      </c>
      <c r="C693" s="5" t="s">
        <v>1600</v>
      </c>
      <c r="D693" s="5" t="s">
        <v>1693</v>
      </c>
      <c r="E693" s="5" t="s">
        <v>37</v>
      </c>
      <c r="F693" s="12">
        <v>43684.578125</v>
      </c>
      <c r="G693" t="s">
        <v>8730</v>
      </c>
      <c r="H693" s="5" t="s">
        <v>690</v>
      </c>
      <c r="I693" s="6">
        <v>9750</v>
      </c>
      <c r="J693" s="5" t="s">
        <v>15</v>
      </c>
      <c r="K693" s="6">
        <v>6</v>
      </c>
      <c r="L693" s="6">
        <v>58500</v>
      </c>
      <c r="M693" s="5" t="s">
        <v>1560</v>
      </c>
      <c r="N693" s="5" t="s">
        <v>1558</v>
      </c>
      <c r="O693" s="13">
        <v>43684</v>
      </c>
      <c r="P693" t="s">
        <v>8730</v>
      </c>
    </row>
    <row r="694" spans="1:16" x14ac:dyDescent="0.15">
      <c r="A694" s="5" t="s">
        <v>691</v>
      </c>
      <c r="B694" s="5" t="s">
        <v>1563</v>
      </c>
      <c r="C694" s="5" t="s">
        <v>1672</v>
      </c>
      <c r="D694" s="5" t="s">
        <v>1693</v>
      </c>
      <c r="E694" s="5" t="s">
        <v>37</v>
      </c>
      <c r="F694" s="12">
        <v>43684.597592592596</v>
      </c>
      <c r="G694" t="s">
        <v>8730</v>
      </c>
      <c r="H694" s="5" t="s">
        <v>692</v>
      </c>
      <c r="I694" s="6">
        <v>-5850</v>
      </c>
      <c r="J694" s="5" t="s">
        <v>15</v>
      </c>
      <c r="K694" s="6">
        <v>7</v>
      </c>
      <c r="L694" s="6">
        <v>-40950</v>
      </c>
      <c r="M694" s="5" t="s">
        <v>1560</v>
      </c>
      <c r="N694" s="5" t="s">
        <v>1558</v>
      </c>
      <c r="O694" s="13">
        <v>43684</v>
      </c>
      <c r="P694" t="s">
        <v>8730</v>
      </c>
    </row>
    <row r="695" spans="1:16" x14ac:dyDescent="0.15">
      <c r="A695" s="5" t="s">
        <v>693</v>
      </c>
      <c r="B695" s="5" t="s">
        <v>1563</v>
      </c>
      <c r="C695" s="5" t="s">
        <v>1612</v>
      </c>
      <c r="D695" s="5" t="s">
        <v>1693</v>
      </c>
      <c r="E695" s="5" t="s">
        <v>37</v>
      </c>
      <c r="F695" s="12">
        <v>43684.625347222223</v>
      </c>
      <c r="G695" t="s">
        <v>8730</v>
      </c>
      <c r="H695" s="5" t="s">
        <v>694</v>
      </c>
      <c r="I695" s="6">
        <v>8190</v>
      </c>
      <c r="J695" s="5" t="s">
        <v>15</v>
      </c>
      <c r="K695" s="6">
        <v>7</v>
      </c>
      <c r="L695" s="6">
        <v>57330</v>
      </c>
      <c r="M695" s="5" t="s">
        <v>1560</v>
      </c>
      <c r="N695" s="5" t="s">
        <v>1558</v>
      </c>
      <c r="O695" s="13">
        <v>43684</v>
      </c>
      <c r="P695" t="s">
        <v>8730</v>
      </c>
    </row>
    <row r="696" spans="1:16" x14ac:dyDescent="0.15">
      <c r="A696" s="5" t="s">
        <v>693</v>
      </c>
      <c r="B696" s="5" t="s">
        <v>1563</v>
      </c>
      <c r="C696" s="5" t="s">
        <v>1612</v>
      </c>
      <c r="D696" s="5" t="s">
        <v>1693</v>
      </c>
      <c r="E696" s="5" t="s">
        <v>37</v>
      </c>
      <c r="F696" s="12">
        <v>43684.730925925927</v>
      </c>
      <c r="G696" t="s">
        <v>8730</v>
      </c>
      <c r="H696" s="5" t="s">
        <v>695</v>
      </c>
      <c r="I696" s="6">
        <v>6337.5</v>
      </c>
      <c r="J696" s="5" t="s">
        <v>15</v>
      </c>
      <c r="K696" s="6">
        <v>7</v>
      </c>
      <c r="L696" s="6">
        <v>44362.5</v>
      </c>
      <c r="M696" s="5" t="s">
        <v>1560</v>
      </c>
      <c r="N696" s="5" t="s">
        <v>1558</v>
      </c>
      <c r="O696" s="13">
        <v>43684</v>
      </c>
      <c r="P696" t="s">
        <v>8730</v>
      </c>
    </row>
    <row r="697" spans="1:16" x14ac:dyDescent="0.15">
      <c r="A697" s="5" t="s">
        <v>99</v>
      </c>
      <c r="B697" s="5" t="s">
        <v>1563</v>
      </c>
      <c r="C697" s="5" t="s">
        <v>1646</v>
      </c>
      <c r="D697" s="5" t="s">
        <v>1693</v>
      </c>
      <c r="E697" s="5" t="s">
        <v>37</v>
      </c>
      <c r="F697" s="12">
        <v>43684.841620370367</v>
      </c>
      <c r="G697" t="s">
        <v>8730</v>
      </c>
      <c r="H697" s="5" t="s">
        <v>698</v>
      </c>
      <c r="I697" s="6">
        <v>4095</v>
      </c>
      <c r="J697" s="5" t="s">
        <v>15</v>
      </c>
      <c r="K697" s="6">
        <v>7.5</v>
      </c>
      <c r="L697" s="6">
        <v>30712.5</v>
      </c>
      <c r="M697" s="5" t="s">
        <v>1560</v>
      </c>
      <c r="N697" s="5" t="s">
        <v>1558</v>
      </c>
      <c r="O697" s="13">
        <v>43684</v>
      </c>
      <c r="P697" t="s">
        <v>8730</v>
      </c>
    </row>
    <row r="698" spans="1:16" x14ac:dyDescent="0.15">
      <c r="A698" s="5" t="s">
        <v>100</v>
      </c>
      <c r="B698" s="5" t="s">
        <v>1563</v>
      </c>
      <c r="C698" s="5" t="s">
        <v>1612</v>
      </c>
      <c r="D698" s="5" t="s">
        <v>1693</v>
      </c>
      <c r="E698" s="5" t="s">
        <v>37</v>
      </c>
      <c r="F698" s="12">
        <v>43685.62400462963</v>
      </c>
      <c r="G698" t="s">
        <v>8730</v>
      </c>
      <c r="H698" s="5" t="s">
        <v>699</v>
      </c>
      <c r="I698" s="6">
        <v>3120</v>
      </c>
      <c r="J698" s="5" t="s">
        <v>15</v>
      </c>
      <c r="K698" s="6">
        <v>7</v>
      </c>
      <c r="L698" s="6">
        <v>21840</v>
      </c>
      <c r="M698" s="5" t="s">
        <v>1560</v>
      </c>
      <c r="N698" s="5" t="s">
        <v>1558</v>
      </c>
      <c r="O698" s="13">
        <v>43685</v>
      </c>
      <c r="P698" t="s">
        <v>8730</v>
      </c>
    </row>
    <row r="699" spans="1:16" x14ac:dyDescent="0.15">
      <c r="A699" s="5" t="s">
        <v>101</v>
      </c>
      <c r="B699" s="5" t="s">
        <v>1563</v>
      </c>
      <c r="C699" s="5" t="s">
        <v>1610</v>
      </c>
      <c r="D699" s="5" t="s">
        <v>1693</v>
      </c>
      <c r="E699" s="5" t="s">
        <v>37</v>
      </c>
      <c r="F699" s="12">
        <v>43685.822025462963</v>
      </c>
      <c r="G699" t="s">
        <v>8730</v>
      </c>
      <c r="H699" s="5" t="s">
        <v>702</v>
      </c>
      <c r="I699" s="6">
        <v>3412.5</v>
      </c>
      <c r="J699" s="5" t="s">
        <v>15</v>
      </c>
      <c r="K699" s="6">
        <v>7.5</v>
      </c>
      <c r="L699" s="6">
        <v>25593.75</v>
      </c>
      <c r="M699" s="5" t="s">
        <v>1560</v>
      </c>
      <c r="N699" s="5" t="s">
        <v>1558</v>
      </c>
      <c r="O699" s="13">
        <v>43685</v>
      </c>
      <c r="P699" t="s">
        <v>8730</v>
      </c>
    </row>
    <row r="700" spans="1:16" x14ac:dyDescent="0.15">
      <c r="A700" s="5" t="s">
        <v>102</v>
      </c>
      <c r="B700" s="5" t="s">
        <v>1563</v>
      </c>
      <c r="C700" s="5" t="s">
        <v>1592</v>
      </c>
      <c r="D700" s="5" t="s">
        <v>1693</v>
      </c>
      <c r="E700" s="5" t="s">
        <v>37</v>
      </c>
      <c r="F700" s="12">
        <v>43686.632465277777</v>
      </c>
      <c r="G700" t="s">
        <v>8730</v>
      </c>
      <c r="H700" s="5" t="s">
        <v>704</v>
      </c>
      <c r="I700" s="6">
        <v>1072.5</v>
      </c>
      <c r="J700" s="5" t="s">
        <v>15</v>
      </c>
      <c r="K700" s="6">
        <v>7.82</v>
      </c>
      <c r="L700" s="6">
        <v>8386.9500000000007</v>
      </c>
      <c r="M700" s="5" t="s">
        <v>1560</v>
      </c>
      <c r="N700" s="5" t="s">
        <v>1558</v>
      </c>
      <c r="O700" s="13">
        <v>43686</v>
      </c>
      <c r="P700" t="s">
        <v>8730</v>
      </c>
    </row>
    <row r="701" spans="1:16" x14ac:dyDescent="0.15">
      <c r="A701" s="5" t="s">
        <v>103</v>
      </c>
      <c r="B701" s="5" t="s">
        <v>1563</v>
      </c>
      <c r="C701" s="5" t="s">
        <v>1673</v>
      </c>
      <c r="D701" s="5" t="s">
        <v>1693</v>
      </c>
      <c r="E701" s="5" t="s">
        <v>37</v>
      </c>
      <c r="F701" s="12">
        <v>43686.647141203706</v>
      </c>
      <c r="G701" t="s">
        <v>8730</v>
      </c>
      <c r="H701" s="5" t="s">
        <v>705</v>
      </c>
      <c r="I701" s="6">
        <v>3510</v>
      </c>
      <c r="J701" s="5" t="s">
        <v>15</v>
      </c>
      <c r="K701" s="6">
        <v>6.7</v>
      </c>
      <c r="L701" s="6">
        <v>23517</v>
      </c>
      <c r="M701" s="5" t="s">
        <v>1560</v>
      </c>
      <c r="N701" s="5" t="s">
        <v>1558</v>
      </c>
      <c r="O701" s="13">
        <v>43686</v>
      </c>
      <c r="P701" t="s">
        <v>8730</v>
      </c>
    </row>
    <row r="702" spans="1:16" x14ac:dyDescent="0.15">
      <c r="A702" s="5" t="s">
        <v>707</v>
      </c>
      <c r="B702" s="5" t="s">
        <v>1563</v>
      </c>
      <c r="C702" s="5" t="s">
        <v>1643</v>
      </c>
      <c r="D702" s="5" t="s">
        <v>1693</v>
      </c>
      <c r="E702" s="5" t="s">
        <v>37</v>
      </c>
      <c r="F702" s="12">
        <v>43686.747164351851</v>
      </c>
      <c r="G702" t="s">
        <v>8730</v>
      </c>
      <c r="H702" s="5" t="s">
        <v>709</v>
      </c>
      <c r="I702" s="6">
        <v>6630</v>
      </c>
      <c r="J702" s="5" t="s">
        <v>15</v>
      </c>
      <c r="K702" s="6">
        <v>7.5</v>
      </c>
      <c r="L702" s="6">
        <v>49725</v>
      </c>
      <c r="M702" s="5" t="s">
        <v>1560</v>
      </c>
      <c r="N702" s="5" t="s">
        <v>1558</v>
      </c>
      <c r="O702" s="13">
        <v>43689</v>
      </c>
      <c r="P702" t="s">
        <v>8730</v>
      </c>
    </row>
    <row r="703" spans="1:16" x14ac:dyDescent="0.15">
      <c r="A703" s="5" t="s">
        <v>710</v>
      </c>
      <c r="B703" s="5" t="s">
        <v>1563</v>
      </c>
      <c r="C703" s="5" t="s">
        <v>1600</v>
      </c>
      <c r="D703" s="5" t="s">
        <v>1693</v>
      </c>
      <c r="E703" s="5" t="s">
        <v>37</v>
      </c>
      <c r="F703" s="12">
        <v>43689.777499999997</v>
      </c>
      <c r="G703" t="s">
        <v>8730</v>
      </c>
      <c r="H703" s="5" t="s">
        <v>711</v>
      </c>
      <c r="I703" s="6">
        <v>-3900</v>
      </c>
      <c r="J703" s="5" t="s">
        <v>15</v>
      </c>
      <c r="K703" s="6">
        <v>6</v>
      </c>
      <c r="L703" s="6">
        <v>-23400</v>
      </c>
      <c r="M703" s="5" t="s">
        <v>1560</v>
      </c>
      <c r="N703" s="5" t="s">
        <v>1558</v>
      </c>
      <c r="O703" s="13">
        <v>43689</v>
      </c>
      <c r="P703" t="s">
        <v>8730</v>
      </c>
    </row>
    <row r="704" spans="1:16" x14ac:dyDescent="0.15">
      <c r="A704" s="5" t="s">
        <v>710</v>
      </c>
      <c r="B704" s="5" t="s">
        <v>1563</v>
      </c>
      <c r="C704" s="5" t="s">
        <v>1600</v>
      </c>
      <c r="D704" s="5" t="s">
        <v>1693</v>
      </c>
      <c r="E704" s="5" t="s">
        <v>37</v>
      </c>
      <c r="F704" s="12">
        <v>43689.777499999997</v>
      </c>
      <c r="G704" t="s">
        <v>8730</v>
      </c>
      <c r="H704" s="5" t="s">
        <v>712</v>
      </c>
      <c r="I704" s="6">
        <v>1950</v>
      </c>
      <c r="J704" s="5" t="s">
        <v>15</v>
      </c>
      <c r="K704" s="6">
        <v>6</v>
      </c>
      <c r="L704" s="6">
        <v>11700</v>
      </c>
      <c r="M704" s="5" t="s">
        <v>1560</v>
      </c>
      <c r="N704" s="5" t="s">
        <v>1558</v>
      </c>
      <c r="O704" s="13">
        <v>43689</v>
      </c>
      <c r="P704" t="s">
        <v>8730</v>
      </c>
    </row>
    <row r="705" spans="1:16" x14ac:dyDescent="0.15">
      <c r="A705" s="5" t="s">
        <v>105</v>
      </c>
      <c r="B705" s="5" t="s">
        <v>1563</v>
      </c>
      <c r="C705" s="5" t="s">
        <v>1600</v>
      </c>
      <c r="D705" s="5" t="s">
        <v>1693</v>
      </c>
      <c r="E705" s="5" t="s">
        <v>37</v>
      </c>
      <c r="F705" s="12">
        <v>43689.88008101852</v>
      </c>
      <c r="G705" t="s">
        <v>8730</v>
      </c>
      <c r="H705" s="5" t="s">
        <v>713</v>
      </c>
      <c r="I705" s="6">
        <v>3900</v>
      </c>
      <c r="J705" s="5" t="s">
        <v>15</v>
      </c>
      <c r="K705" s="6">
        <v>6</v>
      </c>
      <c r="L705" s="6">
        <v>23400</v>
      </c>
      <c r="M705" s="5" t="s">
        <v>1560</v>
      </c>
      <c r="N705" s="5" t="s">
        <v>1558</v>
      </c>
      <c r="O705" s="13">
        <v>43689</v>
      </c>
      <c r="P705" t="s">
        <v>8730</v>
      </c>
    </row>
    <row r="706" spans="1:16" x14ac:dyDescent="0.15">
      <c r="A706" s="5" t="s">
        <v>105</v>
      </c>
      <c r="B706" s="5" t="s">
        <v>1563</v>
      </c>
      <c r="C706" s="5" t="s">
        <v>1600</v>
      </c>
      <c r="D706" s="5" t="s">
        <v>1693</v>
      </c>
      <c r="E706" s="5" t="s">
        <v>37</v>
      </c>
      <c r="F706" s="12">
        <v>43689.88008101852</v>
      </c>
      <c r="G706" t="s">
        <v>8730</v>
      </c>
      <c r="H706" s="5" t="s">
        <v>714</v>
      </c>
      <c r="I706" s="6">
        <v>-1950</v>
      </c>
      <c r="J706" s="5" t="s">
        <v>15</v>
      </c>
      <c r="K706" s="6">
        <v>6</v>
      </c>
      <c r="L706" s="6">
        <v>-11700</v>
      </c>
      <c r="M706" s="5" t="s">
        <v>1560</v>
      </c>
      <c r="N706" s="5" t="s">
        <v>1558</v>
      </c>
      <c r="O706" s="13">
        <v>43689</v>
      </c>
      <c r="P706" t="s">
        <v>8730</v>
      </c>
    </row>
    <row r="707" spans="1:16" x14ac:dyDescent="0.15">
      <c r="A707" s="5" t="s">
        <v>106</v>
      </c>
      <c r="B707" s="5" t="s">
        <v>1563</v>
      </c>
      <c r="C707" s="5" t="s">
        <v>1672</v>
      </c>
      <c r="D707" s="5" t="s">
        <v>1693</v>
      </c>
      <c r="E707" s="5" t="s">
        <v>37</v>
      </c>
      <c r="F707" s="12">
        <v>43696.644652777781</v>
      </c>
      <c r="G707" t="s">
        <v>8730</v>
      </c>
      <c r="H707" s="5" t="s">
        <v>715</v>
      </c>
      <c r="I707" s="6">
        <v>5850</v>
      </c>
      <c r="J707" s="5" t="s">
        <v>15</v>
      </c>
      <c r="K707" s="6">
        <v>7</v>
      </c>
      <c r="L707" s="6">
        <v>40950</v>
      </c>
      <c r="M707" s="5" t="s">
        <v>1560</v>
      </c>
      <c r="N707" s="5" t="s">
        <v>1558</v>
      </c>
      <c r="O707" s="13">
        <v>43691</v>
      </c>
      <c r="P707" t="s">
        <v>8730</v>
      </c>
    </row>
    <row r="708" spans="1:16" x14ac:dyDescent="0.15">
      <c r="A708" s="5" t="s">
        <v>721</v>
      </c>
      <c r="B708" s="5" t="s">
        <v>1563</v>
      </c>
      <c r="C708" s="5" t="s">
        <v>1585</v>
      </c>
      <c r="D708" s="5" t="s">
        <v>1693</v>
      </c>
      <c r="E708" s="5" t="s">
        <v>37</v>
      </c>
      <c r="F708" s="12">
        <v>43696.658217592594</v>
      </c>
      <c r="G708" t="s">
        <v>8730</v>
      </c>
      <c r="H708" s="5" t="s">
        <v>722</v>
      </c>
      <c r="I708" s="6">
        <v>3510</v>
      </c>
      <c r="J708" s="5" t="s">
        <v>15</v>
      </c>
      <c r="K708" s="6">
        <v>7.5</v>
      </c>
      <c r="L708" s="6">
        <v>26325</v>
      </c>
      <c r="M708" s="5" t="s">
        <v>1560</v>
      </c>
      <c r="N708" s="5" t="s">
        <v>1558</v>
      </c>
      <c r="O708" s="13">
        <v>43691</v>
      </c>
      <c r="P708" t="s">
        <v>8730</v>
      </c>
    </row>
    <row r="709" spans="1:16" x14ac:dyDescent="0.15">
      <c r="A709" s="5" t="s">
        <v>725</v>
      </c>
      <c r="B709" s="5" t="s">
        <v>1563</v>
      </c>
      <c r="C709" s="5" t="s">
        <v>1594</v>
      </c>
      <c r="D709" s="5" t="s">
        <v>1693</v>
      </c>
      <c r="E709" s="5" t="s">
        <v>37</v>
      </c>
      <c r="F709" s="12">
        <v>43696.668576388889</v>
      </c>
      <c r="G709" t="s">
        <v>8730</v>
      </c>
      <c r="H709" s="5" t="s">
        <v>727</v>
      </c>
      <c r="I709" s="6">
        <v>10140</v>
      </c>
      <c r="J709" s="5" t="s">
        <v>15</v>
      </c>
      <c r="K709" s="6">
        <v>7</v>
      </c>
      <c r="L709" s="6">
        <v>70980</v>
      </c>
      <c r="M709" s="5" t="s">
        <v>1560</v>
      </c>
      <c r="N709" s="5" t="s">
        <v>1558</v>
      </c>
      <c r="O709" s="13">
        <v>43693</v>
      </c>
      <c r="P709" t="s">
        <v>8730</v>
      </c>
    </row>
    <row r="710" spans="1:16" x14ac:dyDescent="0.15">
      <c r="A710" s="5" t="s">
        <v>730</v>
      </c>
      <c r="B710" s="5" t="s">
        <v>1563</v>
      </c>
      <c r="C710" s="5" t="s">
        <v>1574</v>
      </c>
      <c r="D710" s="5" t="s">
        <v>1693</v>
      </c>
      <c r="E710" s="5" t="s">
        <v>37</v>
      </c>
      <c r="F710" s="12">
        <v>43696.677939814814</v>
      </c>
      <c r="G710" t="s">
        <v>8730</v>
      </c>
      <c r="H710" s="5" t="s">
        <v>731</v>
      </c>
      <c r="I710" s="6">
        <v>975</v>
      </c>
      <c r="J710" s="5" t="s">
        <v>15</v>
      </c>
      <c r="K710" s="6">
        <v>7.5</v>
      </c>
      <c r="L710" s="6">
        <v>7312.5</v>
      </c>
      <c r="M710" s="5" t="s">
        <v>1560</v>
      </c>
      <c r="N710" s="5" t="s">
        <v>1558</v>
      </c>
      <c r="O710" s="13">
        <v>43691</v>
      </c>
      <c r="P710" t="s">
        <v>8730</v>
      </c>
    </row>
    <row r="711" spans="1:16" x14ac:dyDescent="0.15">
      <c r="A711" s="5" t="s">
        <v>734</v>
      </c>
      <c r="B711" s="5" t="s">
        <v>1563</v>
      </c>
      <c r="C711" s="5" t="s">
        <v>1674</v>
      </c>
      <c r="D711" s="5" t="s">
        <v>1693</v>
      </c>
      <c r="E711" s="5" t="s">
        <v>37</v>
      </c>
      <c r="F711" s="12">
        <v>43696.688969907409</v>
      </c>
      <c r="G711" t="s">
        <v>8730</v>
      </c>
      <c r="H711" s="5" t="s">
        <v>735</v>
      </c>
      <c r="I711" s="6">
        <v>195</v>
      </c>
      <c r="J711" s="5" t="s">
        <v>15</v>
      </c>
      <c r="K711" s="6">
        <v>8.5</v>
      </c>
      <c r="L711" s="6">
        <v>1657.5</v>
      </c>
      <c r="M711" s="5" t="s">
        <v>1560</v>
      </c>
      <c r="N711" s="5" t="s">
        <v>1558</v>
      </c>
      <c r="O711" s="13">
        <v>43691</v>
      </c>
      <c r="P711" t="s">
        <v>8730</v>
      </c>
    </row>
    <row r="712" spans="1:16" x14ac:dyDescent="0.15">
      <c r="A712" s="5" t="s">
        <v>745</v>
      </c>
      <c r="B712" s="5" t="s">
        <v>1563</v>
      </c>
      <c r="C712" s="5" t="s">
        <v>1675</v>
      </c>
      <c r="D712" s="5" t="s">
        <v>1693</v>
      </c>
      <c r="E712" s="5" t="s">
        <v>37</v>
      </c>
      <c r="F712" s="12">
        <v>43697.806342592594</v>
      </c>
      <c r="G712" t="s">
        <v>8730</v>
      </c>
      <c r="H712" s="5" t="s">
        <v>746</v>
      </c>
      <c r="I712" s="6">
        <v>7410</v>
      </c>
      <c r="J712" s="5" t="s">
        <v>15</v>
      </c>
      <c r="K712" s="6">
        <v>7.5</v>
      </c>
      <c r="L712" s="6">
        <v>55575</v>
      </c>
      <c r="M712" s="5" t="s">
        <v>1560</v>
      </c>
      <c r="N712" s="5" t="s">
        <v>1558</v>
      </c>
      <c r="O712" s="13">
        <v>43697</v>
      </c>
      <c r="P712" t="s">
        <v>8730</v>
      </c>
    </row>
    <row r="713" spans="1:16" x14ac:dyDescent="0.15">
      <c r="A713" s="5" t="s">
        <v>748</v>
      </c>
      <c r="B713" s="5" t="s">
        <v>1563</v>
      </c>
      <c r="C713" s="5" t="s">
        <v>1575</v>
      </c>
      <c r="D713" s="5" t="s">
        <v>1693</v>
      </c>
      <c r="E713" s="5" t="s">
        <v>37</v>
      </c>
      <c r="F713" s="12">
        <v>43698.72383101852</v>
      </c>
      <c r="G713" t="s">
        <v>8730</v>
      </c>
      <c r="H713" s="5" t="s">
        <v>750</v>
      </c>
      <c r="I713" s="6">
        <v>3120</v>
      </c>
      <c r="J713" s="5" t="s">
        <v>15</v>
      </c>
      <c r="K713" s="6">
        <v>7.5</v>
      </c>
      <c r="L713" s="6">
        <v>23400</v>
      </c>
      <c r="M713" s="5" t="s">
        <v>1560</v>
      </c>
      <c r="N713" s="5" t="s">
        <v>1558</v>
      </c>
      <c r="O713" s="13">
        <v>43698</v>
      </c>
      <c r="P713" t="s">
        <v>8730</v>
      </c>
    </row>
    <row r="714" spans="1:16" x14ac:dyDescent="0.15">
      <c r="A714" s="5" t="s">
        <v>752</v>
      </c>
      <c r="B714" s="5" t="s">
        <v>1563</v>
      </c>
      <c r="C714" s="5" t="s">
        <v>1616</v>
      </c>
      <c r="D714" s="5" t="s">
        <v>1693</v>
      </c>
      <c r="E714" s="5" t="s">
        <v>37</v>
      </c>
      <c r="F714" s="12">
        <v>43698.754236111112</v>
      </c>
      <c r="G714" t="s">
        <v>8730</v>
      </c>
      <c r="H714" s="5" t="s">
        <v>754</v>
      </c>
      <c r="I714" s="6">
        <v>2730</v>
      </c>
      <c r="J714" s="5" t="s">
        <v>15</v>
      </c>
      <c r="K714" s="6">
        <v>7.5</v>
      </c>
      <c r="L714" s="6">
        <v>20475</v>
      </c>
      <c r="M714" s="5" t="s">
        <v>1560</v>
      </c>
      <c r="N714" s="5" t="s">
        <v>1558</v>
      </c>
      <c r="O714" s="13">
        <v>43698</v>
      </c>
      <c r="P714" t="s">
        <v>8730</v>
      </c>
    </row>
    <row r="715" spans="1:16" x14ac:dyDescent="0.15">
      <c r="A715" s="5" t="s">
        <v>755</v>
      </c>
      <c r="B715" s="5" t="s">
        <v>1563</v>
      </c>
      <c r="C715" s="5" t="s">
        <v>1616</v>
      </c>
      <c r="D715" s="5" t="s">
        <v>1693</v>
      </c>
      <c r="E715" s="5" t="s">
        <v>37</v>
      </c>
      <c r="F715" s="12">
        <v>43698.755277777775</v>
      </c>
      <c r="G715" t="s">
        <v>8730</v>
      </c>
      <c r="H715" s="5" t="s">
        <v>756</v>
      </c>
      <c r="I715" s="6">
        <v>390</v>
      </c>
      <c r="J715" s="5" t="s">
        <v>15</v>
      </c>
      <c r="K715" s="6">
        <v>7.5</v>
      </c>
      <c r="L715" s="6">
        <v>2925</v>
      </c>
      <c r="M715" s="5" t="s">
        <v>1560</v>
      </c>
      <c r="N715" s="5" t="s">
        <v>1558</v>
      </c>
      <c r="O715" s="13">
        <v>43698</v>
      </c>
      <c r="P715" t="s">
        <v>8730</v>
      </c>
    </row>
    <row r="716" spans="1:16" x14ac:dyDescent="0.15">
      <c r="A716" s="5" t="s">
        <v>757</v>
      </c>
      <c r="B716" s="5" t="s">
        <v>1563</v>
      </c>
      <c r="C716" s="5" t="s">
        <v>1649</v>
      </c>
      <c r="D716" s="5" t="s">
        <v>1693</v>
      </c>
      <c r="E716" s="5" t="s">
        <v>37</v>
      </c>
      <c r="F716" s="12">
        <v>43698.760034722225</v>
      </c>
      <c r="G716" t="s">
        <v>8730</v>
      </c>
      <c r="H716" s="5" t="s">
        <v>758</v>
      </c>
      <c r="I716" s="6">
        <v>487.5</v>
      </c>
      <c r="J716" s="5" t="s">
        <v>15</v>
      </c>
      <c r="K716" s="6">
        <v>8.3000000000000007</v>
      </c>
      <c r="L716" s="6">
        <v>4046.25</v>
      </c>
      <c r="M716" s="5" t="s">
        <v>1560</v>
      </c>
      <c r="N716" s="5" t="s">
        <v>1558</v>
      </c>
      <c r="O716" s="13">
        <v>43698</v>
      </c>
      <c r="P716" t="s">
        <v>8730</v>
      </c>
    </row>
    <row r="717" spans="1:16" x14ac:dyDescent="0.15">
      <c r="A717" s="5" t="s">
        <v>759</v>
      </c>
      <c r="B717" s="5" t="s">
        <v>1563</v>
      </c>
      <c r="C717" s="5" t="s">
        <v>1641</v>
      </c>
      <c r="D717" s="5" t="s">
        <v>1693</v>
      </c>
      <c r="E717" s="5" t="s">
        <v>37</v>
      </c>
      <c r="F717" s="12">
        <v>43698.842962962961</v>
      </c>
      <c r="G717" t="s">
        <v>8730</v>
      </c>
      <c r="H717" s="5" t="s">
        <v>760</v>
      </c>
      <c r="I717" s="6">
        <v>2242.5</v>
      </c>
      <c r="J717" s="5" t="s">
        <v>15</v>
      </c>
      <c r="K717" s="6">
        <v>7.5</v>
      </c>
      <c r="L717" s="6">
        <v>16818.75</v>
      </c>
      <c r="M717" s="5" t="s">
        <v>1560</v>
      </c>
      <c r="N717" s="5" t="s">
        <v>1558</v>
      </c>
      <c r="O717" s="13">
        <v>43699</v>
      </c>
      <c r="P717" t="s">
        <v>8730</v>
      </c>
    </row>
    <row r="718" spans="1:16" x14ac:dyDescent="0.15">
      <c r="A718" s="5" t="s">
        <v>113</v>
      </c>
      <c r="B718" s="5" t="s">
        <v>1563</v>
      </c>
      <c r="C718" s="5" t="s">
        <v>1612</v>
      </c>
      <c r="D718" s="5" t="s">
        <v>1693</v>
      </c>
      <c r="E718" s="5" t="s">
        <v>37</v>
      </c>
      <c r="F718" s="12">
        <v>43699.764293981483</v>
      </c>
      <c r="G718" t="s">
        <v>8730</v>
      </c>
      <c r="H718" s="5" t="s">
        <v>761</v>
      </c>
      <c r="I718" s="6">
        <v>10530</v>
      </c>
      <c r="J718" s="5" t="s">
        <v>15</v>
      </c>
      <c r="K718" s="6">
        <v>7</v>
      </c>
      <c r="L718" s="6">
        <v>73710</v>
      </c>
      <c r="M718" s="5" t="s">
        <v>1560</v>
      </c>
      <c r="N718" s="5" t="s">
        <v>1558</v>
      </c>
      <c r="O718" s="13">
        <v>43699</v>
      </c>
      <c r="P718" t="s">
        <v>8730</v>
      </c>
    </row>
    <row r="719" spans="1:16" x14ac:dyDescent="0.15">
      <c r="A719" s="5" t="s">
        <v>762</v>
      </c>
      <c r="B719" s="5" t="s">
        <v>1563</v>
      </c>
      <c r="C719" s="5" t="s">
        <v>1638</v>
      </c>
      <c r="D719" s="5" t="s">
        <v>1693</v>
      </c>
      <c r="E719" s="5" t="s">
        <v>37</v>
      </c>
      <c r="F719" s="12">
        <v>43699.766064814816</v>
      </c>
      <c r="G719" t="s">
        <v>8730</v>
      </c>
      <c r="H719" s="5" t="s">
        <v>763</v>
      </c>
      <c r="I719" s="6">
        <v>6337.5</v>
      </c>
      <c r="J719" s="5" t="s">
        <v>15</v>
      </c>
      <c r="K719" s="6">
        <v>7.5</v>
      </c>
      <c r="L719" s="6">
        <v>47531.25</v>
      </c>
      <c r="M719" s="5" t="s">
        <v>1560</v>
      </c>
      <c r="N719" s="5" t="s">
        <v>1558</v>
      </c>
      <c r="O719" s="13">
        <v>43699</v>
      </c>
      <c r="P719" t="s">
        <v>8730</v>
      </c>
    </row>
    <row r="720" spans="1:16" x14ac:dyDescent="0.15">
      <c r="A720" s="5" t="s">
        <v>115</v>
      </c>
      <c r="B720" s="5" t="s">
        <v>1563</v>
      </c>
      <c r="C720" s="5" t="s">
        <v>1648</v>
      </c>
      <c r="D720" s="5" t="s">
        <v>1693</v>
      </c>
      <c r="E720" s="5" t="s">
        <v>37</v>
      </c>
      <c r="F720" s="12">
        <v>43700.598958333336</v>
      </c>
      <c r="G720" t="s">
        <v>8730</v>
      </c>
      <c r="H720" s="5" t="s">
        <v>766</v>
      </c>
      <c r="I720" s="6">
        <v>19110</v>
      </c>
      <c r="J720" s="5" t="s">
        <v>15</v>
      </c>
      <c r="K720" s="6">
        <v>7.2</v>
      </c>
      <c r="L720" s="6">
        <v>137592</v>
      </c>
      <c r="M720" s="5" t="s">
        <v>1560</v>
      </c>
      <c r="N720" s="5" t="s">
        <v>1558</v>
      </c>
      <c r="O720" s="13">
        <v>43699</v>
      </c>
      <c r="P720" t="s">
        <v>8730</v>
      </c>
    </row>
    <row r="721" spans="1:16" x14ac:dyDescent="0.15">
      <c r="A721" s="5" t="s">
        <v>117</v>
      </c>
      <c r="B721" s="5" t="s">
        <v>1563</v>
      </c>
      <c r="C721" s="5" t="s">
        <v>1571</v>
      </c>
      <c r="D721" s="5" t="s">
        <v>1693</v>
      </c>
      <c r="E721" s="5" t="s">
        <v>37</v>
      </c>
      <c r="F721" s="12">
        <v>43703.639131944445</v>
      </c>
      <c r="G721" t="s">
        <v>8730</v>
      </c>
      <c r="H721" s="5" t="s">
        <v>778</v>
      </c>
      <c r="I721" s="6">
        <v>1170</v>
      </c>
      <c r="J721" s="5" t="s">
        <v>15</v>
      </c>
      <c r="K721" s="6">
        <v>7.7299999999999995</v>
      </c>
      <c r="L721" s="6">
        <v>9044.1</v>
      </c>
      <c r="M721" s="5" t="s">
        <v>1560</v>
      </c>
      <c r="N721" s="5" t="s">
        <v>1558</v>
      </c>
      <c r="O721" s="13">
        <v>43703</v>
      </c>
      <c r="P721" t="s">
        <v>8730</v>
      </c>
    </row>
    <row r="722" spans="1:16" x14ac:dyDescent="0.15">
      <c r="A722" s="5" t="s">
        <v>118</v>
      </c>
      <c r="B722" s="5" t="s">
        <v>1563</v>
      </c>
      <c r="C722" s="5" t="s">
        <v>1577</v>
      </c>
      <c r="D722" s="5" t="s">
        <v>1693</v>
      </c>
      <c r="E722" s="5" t="s">
        <v>37</v>
      </c>
      <c r="F722" s="12">
        <v>43703.643506944441</v>
      </c>
      <c r="G722" t="s">
        <v>8730</v>
      </c>
      <c r="H722" s="5" t="s">
        <v>779</v>
      </c>
      <c r="I722" s="6">
        <v>16672.5</v>
      </c>
      <c r="J722" s="5" t="s">
        <v>15</v>
      </c>
      <c r="K722" s="6">
        <v>7.5</v>
      </c>
      <c r="L722" s="6">
        <v>125043.75</v>
      </c>
      <c r="M722" s="5" t="s">
        <v>1560</v>
      </c>
      <c r="N722" s="5" t="s">
        <v>1558</v>
      </c>
      <c r="O722" s="13">
        <v>43704</v>
      </c>
      <c r="P722" t="s">
        <v>8730</v>
      </c>
    </row>
    <row r="723" spans="1:16" x14ac:dyDescent="0.15">
      <c r="A723" s="5" t="s">
        <v>119</v>
      </c>
      <c r="B723" s="5" t="s">
        <v>1563</v>
      </c>
      <c r="C723" s="5" t="s">
        <v>1604</v>
      </c>
      <c r="D723" s="5" t="s">
        <v>1693</v>
      </c>
      <c r="E723" s="5" t="s">
        <v>37</v>
      </c>
      <c r="F723" s="12">
        <v>43703.645381944443</v>
      </c>
      <c r="G723" t="s">
        <v>8730</v>
      </c>
      <c r="H723" s="5" t="s">
        <v>780</v>
      </c>
      <c r="I723" s="6">
        <v>4485</v>
      </c>
      <c r="J723" s="5" t="s">
        <v>15</v>
      </c>
      <c r="K723" s="6">
        <v>7.5</v>
      </c>
      <c r="L723" s="6">
        <v>33637.5</v>
      </c>
      <c r="M723" s="5" t="s">
        <v>1560</v>
      </c>
      <c r="N723" s="5" t="s">
        <v>1558</v>
      </c>
      <c r="O723" s="13">
        <v>43703</v>
      </c>
      <c r="P723" t="s">
        <v>8730</v>
      </c>
    </row>
    <row r="724" spans="1:16" x14ac:dyDescent="0.15">
      <c r="A724" s="5" t="s">
        <v>781</v>
      </c>
      <c r="B724" s="5" t="s">
        <v>1563</v>
      </c>
      <c r="C724" s="5" t="s">
        <v>1644</v>
      </c>
      <c r="D724" s="5" t="s">
        <v>1693</v>
      </c>
      <c r="E724" s="5" t="s">
        <v>37</v>
      </c>
      <c r="F724" s="12">
        <v>43703.659166666665</v>
      </c>
      <c r="G724" t="s">
        <v>8730</v>
      </c>
      <c r="H724" s="5" t="s">
        <v>783</v>
      </c>
      <c r="I724" s="6">
        <v>1170</v>
      </c>
      <c r="J724" s="5" t="s">
        <v>15</v>
      </c>
      <c r="K724" s="6">
        <v>7.7200000000000006</v>
      </c>
      <c r="L724" s="6">
        <v>9032.4</v>
      </c>
      <c r="M724" s="5" t="s">
        <v>1560</v>
      </c>
      <c r="N724" s="5" t="s">
        <v>1558</v>
      </c>
      <c r="O724" s="13">
        <v>43693</v>
      </c>
      <c r="P724" t="s">
        <v>8730</v>
      </c>
    </row>
    <row r="725" spans="1:16" x14ac:dyDescent="0.15">
      <c r="A725" s="5" t="s">
        <v>121</v>
      </c>
      <c r="B725" s="5" t="s">
        <v>1563</v>
      </c>
      <c r="C725" s="5" t="s">
        <v>1676</v>
      </c>
      <c r="D725" s="5" t="s">
        <v>1693</v>
      </c>
      <c r="E725" s="5" t="s">
        <v>37</v>
      </c>
      <c r="F725" s="12">
        <v>43703.719548611109</v>
      </c>
      <c r="G725" t="s">
        <v>8730</v>
      </c>
      <c r="H725" s="5" t="s">
        <v>785</v>
      </c>
      <c r="I725" s="6">
        <v>2340</v>
      </c>
      <c r="J725" s="5" t="s">
        <v>15</v>
      </c>
      <c r="K725" s="6">
        <v>7.5</v>
      </c>
      <c r="L725" s="6">
        <v>17550</v>
      </c>
      <c r="M725" s="5" t="s">
        <v>1560</v>
      </c>
      <c r="N725" s="5" t="s">
        <v>1558</v>
      </c>
      <c r="O725" s="13">
        <v>43691</v>
      </c>
      <c r="P725" t="s">
        <v>8730</v>
      </c>
    </row>
    <row r="726" spans="1:16" x14ac:dyDescent="0.15">
      <c r="A726" s="5" t="s">
        <v>788</v>
      </c>
      <c r="B726" s="5" t="s">
        <v>1563</v>
      </c>
      <c r="C726" s="5" t="s">
        <v>1572</v>
      </c>
      <c r="D726" s="5" t="s">
        <v>1693</v>
      </c>
      <c r="E726" s="5" t="s">
        <v>37</v>
      </c>
      <c r="F726" s="12">
        <v>43704.680856481478</v>
      </c>
      <c r="G726" t="s">
        <v>8730</v>
      </c>
      <c r="H726" s="5" t="s">
        <v>789</v>
      </c>
      <c r="I726" s="6">
        <v>18135</v>
      </c>
      <c r="J726" s="5" t="s">
        <v>15</v>
      </c>
      <c r="K726" s="6">
        <v>7</v>
      </c>
      <c r="L726" s="6">
        <v>126945</v>
      </c>
      <c r="M726" s="5" t="s">
        <v>1560</v>
      </c>
      <c r="N726" s="5" t="s">
        <v>1558</v>
      </c>
      <c r="O726" s="13">
        <v>43704</v>
      </c>
      <c r="P726" t="s">
        <v>8730</v>
      </c>
    </row>
    <row r="727" spans="1:16" x14ac:dyDescent="0.15">
      <c r="A727" s="5" t="s">
        <v>122</v>
      </c>
      <c r="B727" s="5" t="s">
        <v>1563</v>
      </c>
      <c r="C727" s="5" t="s">
        <v>1677</v>
      </c>
      <c r="D727" s="5" t="s">
        <v>1693</v>
      </c>
      <c r="E727" s="5" t="s">
        <v>37</v>
      </c>
      <c r="F727" s="12">
        <v>43705.661053240743</v>
      </c>
      <c r="G727" t="s">
        <v>8730</v>
      </c>
      <c r="H727" s="5" t="s">
        <v>792</v>
      </c>
      <c r="I727" s="6">
        <v>4095</v>
      </c>
      <c r="J727" s="5" t="s">
        <v>15</v>
      </c>
      <c r="K727" s="6">
        <v>7.5</v>
      </c>
      <c r="L727" s="6">
        <v>30712.5</v>
      </c>
      <c r="M727" s="5" t="s">
        <v>1560</v>
      </c>
      <c r="N727" s="5" t="s">
        <v>1558</v>
      </c>
      <c r="O727" s="13">
        <v>43705</v>
      </c>
      <c r="P727" t="s">
        <v>8730</v>
      </c>
    </row>
    <row r="728" spans="1:16" x14ac:dyDescent="0.15">
      <c r="A728" s="5" t="s">
        <v>796</v>
      </c>
      <c r="B728" s="5" t="s">
        <v>1563</v>
      </c>
      <c r="C728" s="5" t="s">
        <v>1622</v>
      </c>
      <c r="D728" s="5" t="s">
        <v>1693</v>
      </c>
      <c r="E728" s="5" t="s">
        <v>37</v>
      </c>
      <c r="F728" s="12">
        <v>43710.693437499998</v>
      </c>
      <c r="G728" t="s">
        <v>8731</v>
      </c>
      <c r="H728" s="5" t="s">
        <v>798</v>
      </c>
      <c r="I728" s="6">
        <v>487.5</v>
      </c>
      <c r="J728" s="5" t="s">
        <v>15</v>
      </c>
      <c r="K728" s="6">
        <v>7.5</v>
      </c>
      <c r="L728" s="6">
        <v>3656.25</v>
      </c>
      <c r="M728" s="5" t="s">
        <v>1560</v>
      </c>
      <c r="N728" s="5" t="s">
        <v>1558</v>
      </c>
      <c r="O728" s="13">
        <v>43710</v>
      </c>
      <c r="P728" t="s">
        <v>8731</v>
      </c>
    </row>
    <row r="729" spans="1:16" x14ac:dyDescent="0.15">
      <c r="A729" s="5" t="s">
        <v>127</v>
      </c>
      <c r="B729" s="5" t="s">
        <v>1563</v>
      </c>
      <c r="C729" s="5" t="s">
        <v>1665</v>
      </c>
      <c r="D729" s="5" t="s">
        <v>1693</v>
      </c>
      <c r="E729" s="5" t="s">
        <v>37</v>
      </c>
      <c r="F729" s="12">
        <v>43710.712581018517</v>
      </c>
      <c r="G729" t="s">
        <v>8731</v>
      </c>
      <c r="H729" s="5" t="s">
        <v>800</v>
      </c>
      <c r="I729" s="6">
        <v>975</v>
      </c>
      <c r="J729" s="5" t="s">
        <v>15</v>
      </c>
      <c r="K729" s="6">
        <v>7.9</v>
      </c>
      <c r="L729" s="6">
        <v>7702.5</v>
      </c>
      <c r="M729" s="5" t="s">
        <v>1560</v>
      </c>
      <c r="N729" s="5" t="s">
        <v>1558</v>
      </c>
      <c r="O729" s="13">
        <v>43710</v>
      </c>
      <c r="P729" t="s">
        <v>8731</v>
      </c>
    </row>
    <row r="730" spans="1:16" x14ac:dyDescent="0.15">
      <c r="A730" s="5" t="s">
        <v>801</v>
      </c>
      <c r="B730" s="5" t="s">
        <v>1563</v>
      </c>
      <c r="C730" s="5" t="s">
        <v>1678</v>
      </c>
      <c r="D730" s="5" t="s">
        <v>1693</v>
      </c>
      <c r="E730" s="5" t="s">
        <v>37</v>
      </c>
      <c r="F730" s="12">
        <v>43711.604444444441</v>
      </c>
      <c r="G730" t="s">
        <v>8731</v>
      </c>
      <c r="H730" s="5" t="s">
        <v>802</v>
      </c>
      <c r="I730" s="6">
        <v>3022.5</v>
      </c>
      <c r="J730" s="5" t="s">
        <v>15</v>
      </c>
      <c r="K730" s="6">
        <v>7.5</v>
      </c>
      <c r="L730" s="6">
        <v>22668.75</v>
      </c>
      <c r="M730" s="5" t="s">
        <v>1560</v>
      </c>
      <c r="N730" s="5" t="s">
        <v>1558</v>
      </c>
      <c r="O730" s="13">
        <v>43711</v>
      </c>
      <c r="P730" t="s">
        <v>8731</v>
      </c>
    </row>
    <row r="731" spans="1:16" x14ac:dyDescent="0.15">
      <c r="A731" s="5" t="s">
        <v>803</v>
      </c>
      <c r="B731" s="5" t="s">
        <v>1563</v>
      </c>
      <c r="C731" s="5" t="s">
        <v>1670</v>
      </c>
      <c r="D731" s="5" t="s">
        <v>1693</v>
      </c>
      <c r="E731" s="5" t="s">
        <v>37</v>
      </c>
      <c r="F731" s="12">
        <v>43711.605763888889</v>
      </c>
      <c r="G731" t="s">
        <v>8731</v>
      </c>
      <c r="H731" s="5" t="s">
        <v>804</v>
      </c>
      <c r="I731" s="6">
        <v>2145</v>
      </c>
      <c r="J731" s="5" t="s">
        <v>15</v>
      </c>
      <c r="K731" s="6">
        <v>7</v>
      </c>
      <c r="L731" s="6">
        <v>15015</v>
      </c>
      <c r="M731" s="5" t="s">
        <v>1560</v>
      </c>
      <c r="N731" s="5" t="s">
        <v>1558</v>
      </c>
      <c r="O731" s="13">
        <v>43711</v>
      </c>
      <c r="P731" t="s">
        <v>8731</v>
      </c>
    </row>
    <row r="732" spans="1:16" x14ac:dyDescent="0.15">
      <c r="A732" s="5" t="s">
        <v>805</v>
      </c>
      <c r="B732" s="5" t="s">
        <v>1563</v>
      </c>
      <c r="C732" s="5" t="s">
        <v>1577</v>
      </c>
      <c r="D732" s="5" t="s">
        <v>1693</v>
      </c>
      <c r="E732" s="5" t="s">
        <v>37</v>
      </c>
      <c r="F732" s="12">
        <v>43711.62835648148</v>
      </c>
      <c r="G732" t="s">
        <v>8731</v>
      </c>
      <c r="H732" s="5" t="s">
        <v>806</v>
      </c>
      <c r="I732" s="6">
        <v>4192.5</v>
      </c>
      <c r="J732" s="5" t="s">
        <v>15</v>
      </c>
      <c r="K732" s="6">
        <v>7.5</v>
      </c>
      <c r="L732" s="6">
        <v>31443.75</v>
      </c>
      <c r="M732" s="5" t="s">
        <v>1560</v>
      </c>
      <c r="N732" s="5" t="s">
        <v>1558</v>
      </c>
      <c r="O732" s="13">
        <v>43710</v>
      </c>
      <c r="P732" t="s">
        <v>8731</v>
      </c>
    </row>
    <row r="733" spans="1:16" x14ac:dyDescent="0.15">
      <c r="A733" s="5" t="s">
        <v>810</v>
      </c>
      <c r="B733" s="5" t="s">
        <v>1563</v>
      </c>
      <c r="C733" s="5" t="s">
        <v>1577</v>
      </c>
      <c r="D733" s="5" t="s">
        <v>1693</v>
      </c>
      <c r="E733" s="5" t="s">
        <v>37</v>
      </c>
      <c r="F733" s="12">
        <v>43717.637129629627</v>
      </c>
      <c r="G733" t="s">
        <v>8731</v>
      </c>
      <c r="H733" s="5" t="s">
        <v>811</v>
      </c>
      <c r="I733" s="6">
        <v>10042.5</v>
      </c>
      <c r="J733" s="5" t="s">
        <v>15</v>
      </c>
      <c r="K733" s="6">
        <v>7.5</v>
      </c>
      <c r="L733" s="6">
        <v>75318.75</v>
      </c>
      <c r="M733" s="5" t="s">
        <v>1560</v>
      </c>
      <c r="N733" s="5" t="s">
        <v>1558</v>
      </c>
      <c r="O733" s="13">
        <v>43714</v>
      </c>
      <c r="P733" t="s">
        <v>8731</v>
      </c>
    </row>
    <row r="734" spans="1:16" x14ac:dyDescent="0.15">
      <c r="A734" s="5" t="s">
        <v>812</v>
      </c>
      <c r="B734" s="5" t="s">
        <v>1563</v>
      </c>
      <c r="C734" s="5" t="s">
        <v>1648</v>
      </c>
      <c r="D734" s="5" t="s">
        <v>1693</v>
      </c>
      <c r="E734" s="5" t="s">
        <v>37</v>
      </c>
      <c r="F734" s="12">
        <v>43718.572314814817</v>
      </c>
      <c r="G734" t="s">
        <v>8731</v>
      </c>
      <c r="H734" s="5" t="s">
        <v>813</v>
      </c>
      <c r="I734" s="6">
        <v>292.5</v>
      </c>
      <c r="J734" s="5" t="s">
        <v>15</v>
      </c>
      <c r="K734" s="6">
        <v>8.5299999999999994</v>
      </c>
      <c r="L734" s="6">
        <v>2495.0300000000002</v>
      </c>
      <c r="M734" s="5" t="s">
        <v>1560</v>
      </c>
      <c r="N734" s="5" t="s">
        <v>1558</v>
      </c>
      <c r="O734" s="13">
        <v>43710</v>
      </c>
      <c r="P734" t="s">
        <v>8731</v>
      </c>
    </row>
    <row r="735" spans="1:16" x14ac:dyDescent="0.15">
      <c r="A735" s="5" t="s">
        <v>822</v>
      </c>
      <c r="B735" s="5" t="s">
        <v>1563</v>
      </c>
      <c r="C735" s="5" t="s">
        <v>1679</v>
      </c>
      <c r="D735" s="5" t="s">
        <v>1693</v>
      </c>
      <c r="E735" s="5" t="s">
        <v>37</v>
      </c>
      <c r="F735" s="12">
        <v>43718.617013888892</v>
      </c>
      <c r="G735" t="s">
        <v>8731</v>
      </c>
      <c r="H735" s="5" t="s">
        <v>823</v>
      </c>
      <c r="I735" s="6">
        <v>390</v>
      </c>
      <c r="J735" s="5" t="s">
        <v>15</v>
      </c>
      <c r="K735" s="6">
        <v>7.5</v>
      </c>
      <c r="L735" s="6">
        <v>2925</v>
      </c>
      <c r="M735" s="5" t="s">
        <v>1560</v>
      </c>
      <c r="N735" s="5" t="s">
        <v>1558</v>
      </c>
      <c r="O735" s="13">
        <v>43718</v>
      </c>
      <c r="P735" t="s">
        <v>8731</v>
      </c>
    </row>
    <row r="736" spans="1:16" x14ac:dyDescent="0.15">
      <c r="A736" s="5" t="s">
        <v>826</v>
      </c>
      <c r="B736" s="5" t="s">
        <v>1563</v>
      </c>
      <c r="C736" s="5" t="s">
        <v>1572</v>
      </c>
      <c r="D736" s="5" t="s">
        <v>1693</v>
      </c>
      <c r="E736" s="5" t="s">
        <v>37</v>
      </c>
      <c r="F736" s="12">
        <v>43719.829421296294</v>
      </c>
      <c r="G736" t="s">
        <v>8731</v>
      </c>
      <c r="H736" s="5" t="s">
        <v>827</v>
      </c>
      <c r="I736" s="6">
        <v>5850</v>
      </c>
      <c r="J736" s="5" t="s">
        <v>15</v>
      </c>
      <c r="K736" s="6">
        <v>7.5</v>
      </c>
      <c r="L736" s="6">
        <v>43875</v>
      </c>
      <c r="M736" s="5" t="s">
        <v>1560</v>
      </c>
      <c r="N736" s="5" t="s">
        <v>1558</v>
      </c>
      <c r="O736" s="13">
        <v>43718</v>
      </c>
      <c r="P736" t="s">
        <v>8731</v>
      </c>
    </row>
    <row r="737" spans="1:16" x14ac:dyDescent="0.15">
      <c r="A737" s="5" t="s">
        <v>828</v>
      </c>
      <c r="B737" s="5" t="s">
        <v>1563</v>
      </c>
      <c r="C737" s="5" t="s">
        <v>1645</v>
      </c>
      <c r="D737" s="5" t="s">
        <v>1693</v>
      </c>
      <c r="E737" s="5" t="s">
        <v>37</v>
      </c>
      <c r="F737" s="12">
        <v>43719.83184027778</v>
      </c>
      <c r="G737" t="s">
        <v>8731</v>
      </c>
      <c r="H737" s="5" t="s">
        <v>830</v>
      </c>
      <c r="I737" s="6">
        <v>780</v>
      </c>
      <c r="J737" s="5" t="s">
        <v>15</v>
      </c>
      <c r="K737" s="6">
        <v>7.5</v>
      </c>
      <c r="L737" s="6">
        <v>5850</v>
      </c>
      <c r="M737" s="5" t="s">
        <v>1560</v>
      </c>
      <c r="N737" s="5" t="s">
        <v>1558</v>
      </c>
      <c r="O737" s="13">
        <v>43718</v>
      </c>
      <c r="P737" t="s">
        <v>8731</v>
      </c>
    </row>
    <row r="738" spans="1:16" x14ac:dyDescent="0.15">
      <c r="A738" s="5" t="s">
        <v>831</v>
      </c>
      <c r="B738" s="5" t="s">
        <v>1563</v>
      </c>
      <c r="C738" s="5" t="s">
        <v>1646</v>
      </c>
      <c r="D738" s="5" t="s">
        <v>1693</v>
      </c>
      <c r="E738" s="5" t="s">
        <v>37</v>
      </c>
      <c r="F738" s="12">
        <v>43719.840775462966</v>
      </c>
      <c r="G738" t="s">
        <v>8731</v>
      </c>
      <c r="H738" s="5" t="s">
        <v>832</v>
      </c>
      <c r="I738" s="6">
        <v>7215</v>
      </c>
      <c r="J738" s="5" t="s">
        <v>15</v>
      </c>
      <c r="K738" s="6">
        <v>7.5</v>
      </c>
      <c r="L738" s="6">
        <v>54112.5</v>
      </c>
      <c r="M738" s="5" t="s">
        <v>1560</v>
      </c>
      <c r="N738" s="5" t="s">
        <v>1558</v>
      </c>
      <c r="O738" s="13">
        <v>43718</v>
      </c>
      <c r="P738" t="s">
        <v>8731</v>
      </c>
    </row>
    <row r="739" spans="1:16" x14ac:dyDescent="0.15">
      <c r="A739" s="5" t="s">
        <v>128</v>
      </c>
      <c r="B739" s="5" t="s">
        <v>1563</v>
      </c>
      <c r="C739" s="5" t="s">
        <v>1589</v>
      </c>
      <c r="D739" s="5" t="s">
        <v>1693</v>
      </c>
      <c r="E739" s="5" t="s">
        <v>37</v>
      </c>
      <c r="F739" s="12">
        <v>43719.849004629628</v>
      </c>
      <c r="G739" t="s">
        <v>8731</v>
      </c>
      <c r="H739" s="5" t="s">
        <v>836</v>
      </c>
      <c r="I739" s="6">
        <v>12967.5</v>
      </c>
      <c r="J739" s="5" t="s">
        <v>15</v>
      </c>
      <c r="K739" s="6">
        <v>15.5</v>
      </c>
      <c r="L739" s="6">
        <v>200996.25</v>
      </c>
      <c r="M739" s="5" t="s">
        <v>1560</v>
      </c>
      <c r="N739" s="5" t="s">
        <v>1558</v>
      </c>
      <c r="O739" s="13">
        <v>43719</v>
      </c>
      <c r="P739" t="s">
        <v>8731</v>
      </c>
    </row>
    <row r="740" spans="1:16" x14ac:dyDescent="0.15">
      <c r="A740" s="5" t="s">
        <v>838</v>
      </c>
      <c r="B740" s="5" t="s">
        <v>1563</v>
      </c>
      <c r="C740" s="5" t="s">
        <v>1648</v>
      </c>
      <c r="D740" s="5" t="s">
        <v>1693</v>
      </c>
      <c r="E740" s="5" t="s">
        <v>37</v>
      </c>
      <c r="F740" s="12">
        <v>43719.862986111111</v>
      </c>
      <c r="G740" t="s">
        <v>8731</v>
      </c>
      <c r="H740" s="5" t="s">
        <v>839</v>
      </c>
      <c r="I740" s="6">
        <v>1950</v>
      </c>
      <c r="J740" s="5" t="s">
        <v>15</v>
      </c>
      <c r="K740" s="6">
        <v>7.2</v>
      </c>
      <c r="L740" s="6">
        <v>14040</v>
      </c>
      <c r="M740" s="5" t="s">
        <v>1560</v>
      </c>
      <c r="N740" s="5" t="s">
        <v>1558</v>
      </c>
      <c r="O740" s="13">
        <v>43719</v>
      </c>
      <c r="P740" t="s">
        <v>8731</v>
      </c>
    </row>
    <row r="741" spans="1:16" x14ac:dyDescent="0.15">
      <c r="A741" s="5" t="s">
        <v>840</v>
      </c>
      <c r="B741" s="5" t="s">
        <v>1563</v>
      </c>
      <c r="C741" s="5" t="s">
        <v>1666</v>
      </c>
      <c r="D741" s="5" t="s">
        <v>1693</v>
      </c>
      <c r="E741" s="5" t="s">
        <v>37</v>
      </c>
      <c r="F741" s="12">
        <v>43719.866180555553</v>
      </c>
      <c r="G741" t="s">
        <v>8731</v>
      </c>
      <c r="H741" s="5" t="s">
        <v>841</v>
      </c>
      <c r="I741" s="6">
        <v>1267.5</v>
      </c>
      <c r="J741" s="5" t="s">
        <v>15</v>
      </c>
      <c r="K741" s="6">
        <v>7.81</v>
      </c>
      <c r="L741" s="6">
        <v>9899.18</v>
      </c>
      <c r="M741" s="5" t="s">
        <v>1560</v>
      </c>
      <c r="N741" s="5" t="s">
        <v>1558</v>
      </c>
      <c r="O741" s="13">
        <v>43719</v>
      </c>
      <c r="P741" t="s">
        <v>8731</v>
      </c>
    </row>
    <row r="742" spans="1:16" x14ac:dyDescent="0.15">
      <c r="A742" s="5" t="s">
        <v>131</v>
      </c>
      <c r="B742" s="5" t="s">
        <v>1563</v>
      </c>
      <c r="C742" s="5" t="s">
        <v>1612</v>
      </c>
      <c r="D742" s="5" t="s">
        <v>1693</v>
      </c>
      <c r="E742" s="5" t="s">
        <v>37</v>
      </c>
      <c r="F742" s="12">
        <v>43720.683229166665</v>
      </c>
      <c r="G742" t="s">
        <v>8731</v>
      </c>
      <c r="H742" s="5" t="s">
        <v>845</v>
      </c>
      <c r="I742" s="6">
        <v>5850</v>
      </c>
      <c r="J742" s="5" t="s">
        <v>15</v>
      </c>
      <c r="K742" s="6">
        <v>7</v>
      </c>
      <c r="L742" s="6">
        <v>40950</v>
      </c>
      <c r="M742" s="5" t="s">
        <v>1560</v>
      </c>
      <c r="N742" s="5" t="s">
        <v>1558</v>
      </c>
      <c r="O742" s="13">
        <v>43719</v>
      </c>
      <c r="P742" t="s">
        <v>8731</v>
      </c>
    </row>
    <row r="743" spans="1:16" x14ac:dyDescent="0.15">
      <c r="A743" s="5" t="s">
        <v>133</v>
      </c>
      <c r="B743" s="5" t="s">
        <v>1563</v>
      </c>
      <c r="C743" s="5" t="s">
        <v>1612</v>
      </c>
      <c r="D743" s="5" t="s">
        <v>1693</v>
      </c>
      <c r="E743" s="5" t="s">
        <v>37</v>
      </c>
      <c r="F743" s="12">
        <v>43720.852326388886</v>
      </c>
      <c r="G743" t="s">
        <v>8731</v>
      </c>
      <c r="H743" s="5" t="s">
        <v>849</v>
      </c>
      <c r="I743" s="6">
        <v>3900</v>
      </c>
      <c r="J743" s="5" t="s">
        <v>15</v>
      </c>
      <c r="K743" s="6">
        <v>7</v>
      </c>
      <c r="L743" s="6">
        <v>27300</v>
      </c>
      <c r="M743" s="5" t="s">
        <v>1560</v>
      </c>
      <c r="N743" s="5" t="s">
        <v>1558</v>
      </c>
      <c r="O743" s="13">
        <v>43720</v>
      </c>
      <c r="P743" t="s">
        <v>8731</v>
      </c>
    </row>
    <row r="744" spans="1:16" x14ac:dyDescent="0.15">
      <c r="A744" s="5" t="s">
        <v>853</v>
      </c>
      <c r="B744" s="5" t="s">
        <v>1563</v>
      </c>
      <c r="C744" s="5" t="s">
        <v>1596</v>
      </c>
      <c r="D744" s="5" t="s">
        <v>1693</v>
      </c>
      <c r="E744" s="5" t="s">
        <v>37</v>
      </c>
      <c r="F744" s="12">
        <v>43724.635613425926</v>
      </c>
      <c r="G744" t="s">
        <v>8731</v>
      </c>
      <c r="H744" s="5" t="s">
        <v>855</v>
      </c>
      <c r="I744" s="6">
        <v>390</v>
      </c>
      <c r="J744" s="5" t="s">
        <v>15</v>
      </c>
      <c r="K744" s="6">
        <v>7.5</v>
      </c>
      <c r="L744" s="6">
        <v>2925</v>
      </c>
      <c r="M744" s="5" t="s">
        <v>1560</v>
      </c>
      <c r="N744" s="5" t="s">
        <v>1558</v>
      </c>
      <c r="O744" s="13">
        <v>43724</v>
      </c>
      <c r="P744" t="s">
        <v>8731</v>
      </c>
    </row>
    <row r="745" spans="1:16" x14ac:dyDescent="0.15">
      <c r="A745" s="5" t="s">
        <v>137</v>
      </c>
      <c r="B745" s="5" t="s">
        <v>1563</v>
      </c>
      <c r="C745" s="5" t="s">
        <v>1571</v>
      </c>
      <c r="D745" s="5" t="s">
        <v>1693</v>
      </c>
      <c r="E745" s="5" t="s">
        <v>37</v>
      </c>
      <c r="F745" s="12">
        <v>43724.656388888892</v>
      </c>
      <c r="G745" t="s">
        <v>8731</v>
      </c>
      <c r="H745" s="5" t="s">
        <v>857</v>
      </c>
      <c r="I745" s="6">
        <v>4192.5</v>
      </c>
      <c r="J745" s="5" t="s">
        <v>15</v>
      </c>
      <c r="K745" s="6">
        <v>7.5</v>
      </c>
      <c r="L745" s="6">
        <v>31443.75</v>
      </c>
      <c r="M745" s="5" t="s">
        <v>1560</v>
      </c>
      <c r="N745" s="5" t="s">
        <v>1558</v>
      </c>
      <c r="O745" s="13">
        <v>43724</v>
      </c>
      <c r="P745" t="s">
        <v>8731</v>
      </c>
    </row>
    <row r="746" spans="1:16" x14ac:dyDescent="0.15">
      <c r="A746" s="5" t="s">
        <v>139</v>
      </c>
      <c r="B746" s="5" t="s">
        <v>1563</v>
      </c>
      <c r="C746" s="5" t="s">
        <v>1571</v>
      </c>
      <c r="D746" s="5" t="s">
        <v>1693</v>
      </c>
      <c r="E746" s="5" t="s">
        <v>37</v>
      </c>
      <c r="F746" s="12">
        <v>43725.76730324074</v>
      </c>
      <c r="G746" t="s">
        <v>8731</v>
      </c>
      <c r="H746" s="5" t="s">
        <v>866</v>
      </c>
      <c r="I746" s="6">
        <v>2047.5</v>
      </c>
      <c r="J746" s="5" t="s">
        <v>15</v>
      </c>
      <c r="K746" s="6">
        <v>6.5</v>
      </c>
      <c r="L746" s="6">
        <v>13308.75</v>
      </c>
      <c r="M746" s="5" t="s">
        <v>1560</v>
      </c>
      <c r="N746" s="5" t="s">
        <v>1558</v>
      </c>
      <c r="O746" s="13">
        <v>43725</v>
      </c>
      <c r="P746" t="s">
        <v>8731</v>
      </c>
    </row>
    <row r="747" spans="1:16" x14ac:dyDescent="0.15">
      <c r="A747" s="5" t="s">
        <v>868</v>
      </c>
      <c r="B747" s="5" t="s">
        <v>1563</v>
      </c>
      <c r="C747" s="5" t="s">
        <v>1604</v>
      </c>
      <c r="D747" s="5" t="s">
        <v>1693</v>
      </c>
      <c r="E747" s="5" t="s">
        <v>37</v>
      </c>
      <c r="F747" s="12">
        <v>43726.608807870369</v>
      </c>
      <c r="G747" t="s">
        <v>8731</v>
      </c>
      <c r="H747" s="5" t="s">
        <v>869</v>
      </c>
      <c r="I747" s="6">
        <v>1170</v>
      </c>
      <c r="J747" s="5" t="s">
        <v>15</v>
      </c>
      <c r="K747" s="6">
        <v>7.5</v>
      </c>
      <c r="L747" s="6">
        <v>8775</v>
      </c>
      <c r="M747" s="5" t="s">
        <v>1560</v>
      </c>
      <c r="N747" s="5" t="s">
        <v>1558</v>
      </c>
      <c r="O747" s="13">
        <v>43726</v>
      </c>
      <c r="P747" t="s">
        <v>8731</v>
      </c>
    </row>
    <row r="748" spans="1:16" x14ac:dyDescent="0.15">
      <c r="A748" s="5" t="s">
        <v>870</v>
      </c>
      <c r="B748" s="5" t="s">
        <v>1563</v>
      </c>
      <c r="C748" s="5" t="s">
        <v>1673</v>
      </c>
      <c r="D748" s="5" t="s">
        <v>1693</v>
      </c>
      <c r="E748" s="5" t="s">
        <v>37</v>
      </c>
      <c r="F748" s="12">
        <v>43726.612743055557</v>
      </c>
      <c r="G748" t="s">
        <v>8731</v>
      </c>
      <c r="H748" s="5" t="s">
        <v>871</v>
      </c>
      <c r="I748" s="6">
        <v>4095</v>
      </c>
      <c r="J748" s="5" t="s">
        <v>15</v>
      </c>
      <c r="K748" s="6">
        <v>6.7</v>
      </c>
      <c r="L748" s="6">
        <v>27436.5</v>
      </c>
      <c r="M748" s="5" t="s">
        <v>1560</v>
      </c>
      <c r="N748" s="5" t="s">
        <v>1558</v>
      </c>
      <c r="O748" s="13">
        <v>43726</v>
      </c>
      <c r="P748" t="s">
        <v>8731</v>
      </c>
    </row>
    <row r="749" spans="1:16" x14ac:dyDescent="0.15">
      <c r="A749" s="5" t="s">
        <v>872</v>
      </c>
      <c r="B749" s="5" t="s">
        <v>1563</v>
      </c>
      <c r="C749" s="5" t="s">
        <v>1574</v>
      </c>
      <c r="D749" s="5" t="s">
        <v>1693</v>
      </c>
      <c r="E749" s="5" t="s">
        <v>37</v>
      </c>
      <c r="F749" s="12">
        <v>43726.63480324074</v>
      </c>
      <c r="G749" t="s">
        <v>8731</v>
      </c>
      <c r="H749" s="5" t="s">
        <v>873</v>
      </c>
      <c r="I749" s="6">
        <v>11505</v>
      </c>
      <c r="J749" s="5" t="s">
        <v>15</v>
      </c>
      <c r="K749" s="6">
        <v>7.5</v>
      </c>
      <c r="L749" s="6">
        <v>86287.5</v>
      </c>
      <c r="M749" s="5" t="s">
        <v>1560</v>
      </c>
      <c r="N749" s="5" t="s">
        <v>1558</v>
      </c>
      <c r="O749" s="13">
        <v>43726</v>
      </c>
      <c r="P749" t="s">
        <v>8731</v>
      </c>
    </row>
    <row r="750" spans="1:16" x14ac:dyDescent="0.15">
      <c r="A750" s="5" t="s">
        <v>140</v>
      </c>
      <c r="B750" s="5" t="s">
        <v>1563</v>
      </c>
      <c r="C750" s="5" t="s">
        <v>1600</v>
      </c>
      <c r="D750" s="5" t="s">
        <v>1693</v>
      </c>
      <c r="E750" s="5" t="s">
        <v>37</v>
      </c>
      <c r="F750" s="12">
        <v>43728.609560185185</v>
      </c>
      <c r="G750" t="s">
        <v>8731</v>
      </c>
      <c r="H750" s="5" t="s">
        <v>876</v>
      </c>
      <c r="I750" s="6">
        <v>17550</v>
      </c>
      <c r="J750" s="5" t="s">
        <v>15</v>
      </c>
      <c r="K750" s="6">
        <v>6</v>
      </c>
      <c r="L750" s="6">
        <v>105300</v>
      </c>
      <c r="M750" s="5" t="s">
        <v>1560</v>
      </c>
      <c r="N750" s="5" t="s">
        <v>1558</v>
      </c>
      <c r="O750" s="13">
        <v>43727</v>
      </c>
      <c r="P750" t="s">
        <v>8731</v>
      </c>
    </row>
    <row r="751" spans="1:16" x14ac:dyDescent="0.15">
      <c r="A751" s="5" t="s">
        <v>880</v>
      </c>
      <c r="B751" s="5" t="s">
        <v>1563</v>
      </c>
      <c r="C751" s="5" t="s">
        <v>1657</v>
      </c>
      <c r="D751" s="5" t="s">
        <v>1693</v>
      </c>
      <c r="E751" s="5" t="s">
        <v>37</v>
      </c>
      <c r="F751" s="12">
        <v>43728.686597222222</v>
      </c>
      <c r="G751" t="s">
        <v>8731</v>
      </c>
      <c r="H751" s="5" t="s">
        <v>881</v>
      </c>
      <c r="I751" s="6">
        <v>1950</v>
      </c>
      <c r="J751" s="5" t="s">
        <v>15</v>
      </c>
      <c r="K751" s="6">
        <v>6.5</v>
      </c>
      <c r="L751" s="6">
        <v>12675</v>
      </c>
      <c r="M751" s="5" t="s">
        <v>1560</v>
      </c>
      <c r="N751" s="5" t="s">
        <v>1558</v>
      </c>
      <c r="O751" s="13">
        <v>43727</v>
      </c>
      <c r="P751" t="s">
        <v>8731</v>
      </c>
    </row>
    <row r="752" spans="1:16" x14ac:dyDescent="0.15">
      <c r="A752" s="5" t="s">
        <v>882</v>
      </c>
      <c r="B752" s="5" t="s">
        <v>1563</v>
      </c>
      <c r="C752" s="5" t="s">
        <v>1665</v>
      </c>
      <c r="D752" s="5" t="s">
        <v>1693</v>
      </c>
      <c r="E752" s="5" t="s">
        <v>37</v>
      </c>
      <c r="F752" s="12">
        <v>43728.688414351855</v>
      </c>
      <c r="G752" t="s">
        <v>8731</v>
      </c>
      <c r="H752" s="5" t="s">
        <v>883</v>
      </c>
      <c r="I752" s="6">
        <v>7507.5</v>
      </c>
      <c r="J752" s="5" t="s">
        <v>15</v>
      </c>
      <c r="K752" s="6">
        <v>7.5</v>
      </c>
      <c r="L752" s="6">
        <v>56306.25</v>
      </c>
      <c r="M752" s="5" t="s">
        <v>1560</v>
      </c>
      <c r="N752" s="5" t="s">
        <v>1558</v>
      </c>
      <c r="O752" s="13">
        <v>43727</v>
      </c>
      <c r="P752" t="s">
        <v>8731</v>
      </c>
    </row>
    <row r="753" spans="1:16" x14ac:dyDescent="0.15">
      <c r="A753" s="5" t="s">
        <v>887</v>
      </c>
      <c r="B753" s="5" t="s">
        <v>1563</v>
      </c>
      <c r="C753" s="5" t="s">
        <v>1648</v>
      </c>
      <c r="D753" s="5" t="s">
        <v>1693</v>
      </c>
      <c r="E753" s="5" t="s">
        <v>37</v>
      </c>
      <c r="F753" s="12">
        <v>43732.66505787037</v>
      </c>
      <c r="G753" t="s">
        <v>8731</v>
      </c>
      <c r="H753" s="5" t="s">
        <v>889</v>
      </c>
      <c r="I753" s="6">
        <v>13747.5</v>
      </c>
      <c r="J753" s="5" t="s">
        <v>15</v>
      </c>
      <c r="K753" s="6">
        <v>7.2</v>
      </c>
      <c r="L753" s="6">
        <v>98982</v>
      </c>
      <c r="M753" s="5" t="s">
        <v>1560</v>
      </c>
      <c r="N753" s="5" t="s">
        <v>1558</v>
      </c>
      <c r="O753" s="13">
        <v>43732</v>
      </c>
      <c r="P753" t="s">
        <v>8731</v>
      </c>
    </row>
    <row r="754" spans="1:16" x14ac:dyDescent="0.15">
      <c r="A754" s="5" t="s">
        <v>144</v>
      </c>
      <c r="B754" s="5" t="s">
        <v>1563</v>
      </c>
      <c r="C754" s="5" t="s">
        <v>1604</v>
      </c>
      <c r="D754" s="5" t="s">
        <v>1693</v>
      </c>
      <c r="E754" s="5" t="s">
        <v>37</v>
      </c>
      <c r="F754" s="12">
        <v>43732.666550925926</v>
      </c>
      <c r="G754" t="s">
        <v>8731</v>
      </c>
      <c r="H754" s="5" t="s">
        <v>890</v>
      </c>
      <c r="I754" s="6">
        <v>3315</v>
      </c>
      <c r="J754" s="5" t="s">
        <v>15</v>
      </c>
      <c r="K754" s="6">
        <v>7.5</v>
      </c>
      <c r="L754" s="6">
        <v>24862.5</v>
      </c>
      <c r="M754" s="5" t="s">
        <v>1560</v>
      </c>
      <c r="N754" s="5" t="s">
        <v>1558</v>
      </c>
      <c r="O754" s="13">
        <v>43732</v>
      </c>
      <c r="P754" t="s">
        <v>8731</v>
      </c>
    </row>
    <row r="755" spans="1:16" x14ac:dyDescent="0.15">
      <c r="A755" s="5" t="s">
        <v>145</v>
      </c>
      <c r="B755" s="5" t="s">
        <v>1563</v>
      </c>
      <c r="C755" s="5" t="s">
        <v>1622</v>
      </c>
      <c r="D755" s="5" t="s">
        <v>1693</v>
      </c>
      <c r="E755" s="5" t="s">
        <v>37</v>
      </c>
      <c r="F755" s="12">
        <v>43732.667997685188</v>
      </c>
      <c r="G755" t="s">
        <v>8731</v>
      </c>
      <c r="H755" s="5" t="s">
        <v>891</v>
      </c>
      <c r="I755" s="6">
        <v>5557.5</v>
      </c>
      <c r="J755" s="5" t="s">
        <v>15</v>
      </c>
      <c r="K755" s="6">
        <v>7.5</v>
      </c>
      <c r="L755" s="6">
        <v>41681.25</v>
      </c>
      <c r="M755" s="5" t="s">
        <v>1560</v>
      </c>
      <c r="N755" s="5" t="s">
        <v>1558</v>
      </c>
      <c r="O755" s="13">
        <v>43732</v>
      </c>
      <c r="P755" t="s">
        <v>8731</v>
      </c>
    </row>
    <row r="756" spans="1:16" x14ac:dyDescent="0.15">
      <c r="A756" s="5" t="s">
        <v>892</v>
      </c>
      <c r="B756" s="5" t="s">
        <v>1563</v>
      </c>
      <c r="C756" s="5" t="s">
        <v>1597</v>
      </c>
      <c r="D756" s="5" t="s">
        <v>1693</v>
      </c>
      <c r="E756" s="5" t="s">
        <v>37</v>
      </c>
      <c r="F756" s="12">
        <v>43733.679849537039</v>
      </c>
      <c r="G756" t="s">
        <v>8731</v>
      </c>
      <c r="H756" s="5" t="s">
        <v>893</v>
      </c>
      <c r="I756" s="6">
        <v>1560</v>
      </c>
      <c r="J756" s="5" t="s">
        <v>15</v>
      </c>
      <c r="K756" s="6">
        <v>7.5</v>
      </c>
      <c r="L756" s="6">
        <v>11700</v>
      </c>
      <c r="M756" s="5" t="s">
        <v>1560</v>
      </c>
      <c r="N756" s="5" t="s">
        <v>1558</v>
      </c>
      <c r="O756" s="13">
        <v>43733</v>
      </c>
      <c r="P756" t="s">
        <v>8731</v>
      </c>
    </row>
    <row r="757" spans="1:16" x14ac:dyDescent="0.15">
      <c r="A757" s="5" t="s">
        <v>149</v>
      </c>
      <c r="B757" s="5" t="s">
        <v>1563</v>
      </c>
      <c r="C757" s="5" t="s">
        <v>1572</v>
      </c>
      <c r="D757" s="5" t="s">
        <v>1693</v>
      </c>
      <c r="E757" s="5" t="s">
        <v>37</v>
      </c>
      <c r="F757" s="12">
        <v>43733.805775462963</v>
      </c>
      <c r="G757" t="s">
        <v>8731</v>
      </c>
      <c r="H757" s="5" t="s">
        <v>905</v>
      </c>
      <c r="I757" s="6">
        <v>975</v>
      </c>
      <c r="J757" s="5" t="s">
        <v>15</v>
      </c>
      <c r="K757" s="6">
        <v>7.5</v>
      </c>
      <c r="L757" s="6">
        <v>7312.5</v>
      </c>
      <c r="M757" s="5" t="s">
        <v>1560</v>
      </c>
      <c r="N757" s="5" t="s">
        <v>1558</v>
      </c>
      <c r="O757" s="13">
        <v>43733</v>
      </c>
      <c r="P757" t="s">
        <v>8731</v>
      </c>
    </row>
    <row r="758" spans="1:16" x14ac:dyDescent="0.15">
      <c r="A758" s="5" t="s">
        <v>906</v>
      </c>
      <c r="B758" s="5" t="s">
        <v>1563</v>
      </c>
      <c r="C758" s="5" t="s">
        <v>1610</v>
      </c>
      <c r="D758" s="5" t="s">
        <v>1693</v>
      </c>
      <c r="E758" s="5" t="s">
        <v>37</v>
      </c>
      <c r="F758" s="12">
        <v>43733.811122685183</v>
      </c>
      <c r="G758" t="s">
        <v>8731</v>
      </c>
      <c r="H758" s="5" t="s">
        <v>907</v>
      </c>
      <c r="I758" s="6">
        <v>3120</v>
      </c>
      <c r="J758" s="5" t="s">
        <v>15</v>
      </c>
      <c r="K758" s="6">
        <v>7.5</v>
      </c>
      <c r="L758" s="6">
        <v>23400</v>
      </c>
      <c r="M758" s="5" t="s">
        <v>1560</v>
      </c>
      <c r="N758" s="5" t="s">
        <v>1558</v>
      </c>
      <c r="O758" s="13">
        <v>43733</v>
      </c>
      <c r="P758" t="s">
        <v>8731</v>
      </c>
    </row>
    <row r="759" spans="1:16" x14ac:dyDescent="0.15">
      <c r="A759" s="5" t="s">
        <v>908</v>
      </c>
      <c r="B759" s="5" t="s">
        <v>1563</v>
      </c>
      <c r="C759" s="5" t="s">
        <v>1646</v>
      </c>
      <c r="D759" s="5" t="s">
        <v>1693</v>
      </c>
      <c r="E759" s="5" t="s">
        <v>37</v>
      </c>
      <c r="F759" s="12">
        <v>43734.658159722225</v>
      </c>
      <c r="G759" t="s">
        <v>8731</v>
      </c>
      <c r="H759" s="5" t="s">
        <v>909</v>
      </c>
      <c r="I759" s="6">
        <v>1950</v>
      </c>
      <c r="J759" s="5" t="s">
        <v>15</v>
      </c>
      <c r="K759" s="6">
        <v>7.5</v>
      </c>
      <c r="L759" s="6">
        <v>14625</v>
      </c>
      <c r="M759" s="5" t="s">
        <v>1560</v>
      </c>
      <c r="N759" s="5" t="s">
        <v>1558</v>
      </c>
      <c r="O759" s="13">
        <v>43734</v>
      </c>
      <c r="P759" t="s">
        <v>8731</v>
      </c>
    </row>
    <row r="760" spans="1:16" x14ac:dyDescent="0.15">
      <c r="A760" s="5" t="s">
        <v>910</v>
      </c>
      <c r="B760" s="5" t="s">
        <v>1563</v>
      </c>
      <c r="C760" s="5" t="s">
        <v>1680</v>
      </c>
      <c r="D760" s="5" t="s">
        <v>1693</v>
      </c>
      <c r="E760" s="5" t="s">
        <v>37</v>
      </c>
      <c r="F760" s="12">
        <v>43734.662442129629</v>
      </c>
      <c r="G760" t="s">
        <v>8731</v>
      </c>
      <c r="H760" s="5" t="s">
        <v>911</v>
      </c>
      <c r="I760" s="6">
        <v>7800</v>
      </c>
      <c r="J760" s="5" t="s">
        <v>15</v>
      </c>
      <c r="K760" s="6">
        <v>7</v>
      </c>
      <c r="L760" s="6">
        <v>54600</v>
      </c>
      <c r="M760" s="5" t="s">
        <v>1560</v>
      </c>
      <c r="N760" s="5" t="s">
        <v>1558</v>
      </c>
      <c r="O760" s="13">
        <v>43734</v>
      </c>
      <c r="P760" t="s">
        <v>8731</v>
      </c>
    </row>
    <row r="761" spans="1:16" x14ac:dyDescent="0.15">
      <c r="A761" s="5" t="s">
        <v>912</v>
      </c>
      <c r="B761" s="5" t="s">
        <v>1563</v>
      </c>
      <c r="C761" s="5" t="s">
        <v>1600</v>
      </c>
      <c r="D761" s="5" t="s">
        <v>1693</v>
      </c>
      <c r="E761" s="5" t="s">
        <v>37</v>
      </c>
      <c r="F761" s="12">
        <v>43735.573229166665</v>
      </c>
      <c r="G761" t="s">
        <v>8731</v>
      </c>
      <c r="H761" s="5" t="s">
        <v>913</v>
      </c>
      <c r="I761" s="6">
        <v>-17550</v>
      </c>
      <c r="J761" s="5" t="s">
        <v>15</v>
      </c>
      <c r="K761" s="6">
        <v>6</v>
      </c>
      <c r="L761" s="6">
        <v>-105300</v>
      </c>
      <c r="M761" s="5" t="s">
        <v>1560</v>
      </c>
      <c r="N761" s="5" t="s">
        <v>1558</v>
      </c>
      <c r="O761" s="13">
        <v>43735</v>
      </c>
      <c r="P761" t="s">
        <v>8731</v>
      </c>
    </row>
    <row r="762" spans="1:16" x14ac:dyDescent="0.15">
      <c r="A762" s="5" t="s">
        <v>912</v>
      </c>
      <c r="B762" s="5" t="s">
        <v>1563</v>
      </c>
      <c r="C762" s="5" t="s">
        <v>1600</v>
      </c>
      <c r="D762" s="5" t="s">
        <v>1693</v>
      </c>
      <c r="E762" s="5" t="s">
        <v>37</v>
      </c>
      <c r="F762" s="12">
        <v>43735.573229166665</v>
      </c>
      <c r="G762" t="s">
        <v>8731</v>
      </c>
      <c r="H762" s="5" t="s">
        <v>914</v>
      </c>
      <c r="I762" s="6">
        <v>17550</v>
      </c>
      <c r="J762" s="5" t="s">
        <v>15</v>
      </c>
      <c r="K762" s="6">
        <v>6</v>
      </c>
      <c r="L762" s="6">
        <v>105300</v>
      </c>
      <c r="M762" s="5" t="s">
        <v>1560</v>
      </c>
      <c r="N762" s="5" t="s">
        <v>1558</v>
      </c>
      <c r="O762" s="13">
        <v>43735</v>
      </c>
      <c r="P762" t="s">
        <v>8731</v>
      </c>
    </row>
    <row r="763" spans="1:16" x14ac:dyDescent="0.15">
      <c r="A763" s="5" t="s">
        <v>151</v>
      </c>
      <c r="B763" s="5" t="s">
        <v>1563</v>
      </c>
      <c r="C763" s="5" t="s">
        <v>1574</v>
      </c>
      <c r="D763" s="5" t="s">
        <v>1693</v>
      </c>
      <c r="E763" s="5" t="s">
        <v>37</v>
      </c>
      <c r="F763" s="12">
        <v>43740.780821759261</v>
      </c>
      <c r="G763" t="s">
        <v>8732</v>
      </c>
      <c r="H763" s="5" t="s">
        <v>919</v>
      </c>
      <c r="I763" s="6">
        <v>10627.5</v>
      </c>
      <c r="J763" s="5" t="s">
        <v>15</v>
      </c>
      <c r="K763" s="6">
        <v>7</v>
      </c>
      <c r="L763" s="6">
        <v>74392.5</v>
      </c>
      <c r="M763" s="5" t="s">
        <v>1560</v>
      </c>
      <c r="N763" s="5" t="s">
        <v>1558</v>
      </c>
      <c r="O763" s="13">
        <v>43739</v>
      </c>
      <c r="P763" t="s">
        <v>8732</v>
      </c>
    </row>
    <row r="764" spans="1:16" x14ac:dyDescent="0.15">
      <c r="A764" s="5" t="s">
        <v>152</v>
      </c>
      <c r="B764" s="5" t="s">
        <v>1563</v>
      </c>
      <c r="C764" s="5" t="s">
        <v>1574</v>
      </c>
      <c r="D764" s="5" t="s">
        <v>1693</v>
      </c>
      <c r="E764" s="5" t="s">
        <v>37</v>
      </c>
      <c r="F764" s="12">
        <v>43740.849120370367</v>
      </c>
      <c r="G764" t="s">
        <v>8732</v>
      </c>
      <c r="H764" s="5" t="s">
        <v>920</v>
      </c>
      <c r="I764" s="6">
        <v>11505</v>
      </c>
      <c r="J764" s="5" t="s">
        <v>15</v>
      </c>
      <c r="K764" s="6">
        <v>7</v>
      </c>
      <c r="L764" s="6">
        <v>80535</v>
      </c>
      <c r="M764" s="5" t="s">
        <v>1560</v>
      </c>
      <c r="N764" s="5" t="s">
        <v>1558</v>
      </c>
      <c r="O764" s="13">
        <v>43739</v>
      </c>
      <c r="P764" t="s">
        <v>8732</v>
      </c>
    </row>
    <row r="765" spans="1:16" x14ac:dyDescent="0.15">
      <c r="A765" s="5" t="s">
        <v>153</v>
      </c>
      <c r="B765" s="5" t="s">
        <v>1563</v>
      </c>
      <c r="C765" s="5" t="s">
        <v>1588</v>
      </c>
      <c r="D765" s="5" t="s">
        <v>1693</v>
      </c>
      <c r="E765" s="5" t="s">
        <v>37</v>
      </c>
      <c r="F765" s="12">
        <v>43740.8515162037</v>
      </c>
      <c r="G765" t="s">
        <v>8732</v>
      </c>
      <c r="H765" s="5" t="s">
        <v>921</v>
      </c>
      <c r="I765" s="6">
        <v>2437.5</v>
      </c>
      <c r="J765" s="5" t="s">
        <v>15</v>
      </c>
      <c r="K765" s="6">
        <v>7.5</v>
      </c>
      <c r="L765" s="6">
        <v>18281.25</v>
      </c>
      <c r="M765" s="5" t="s">
        <v>1560</v>
      </c>
      <c r="N765" s="5" t="s">
        <v>1558</v>
      </c>
      <c r="O765" s="13">
        <v>43739</v>
      </c>
      <c r="P765" t="s">
        <v>8732</v>
      </c>
    </row>
    <row r="766" spans="1:16" x14ac:dyDescent="0.15">
      <c r="A766" s="5" t="s">
        <v>154</v>
      </c>
      <c r="B766" s="5" t="s">
        <v>1563</v>
      </c>
      <c r="C766" s="5" t="s">
        <v>1574</v>
      </c>
      <c r="D766" s="5" t="s">
        <v>1693</v>
      </c>
      <c r="E766" s="5" t="s">
        <v>37</v>
      </c>
      <c r="F766" s="12">
        <v>43740.860046296293</v>
      </c>
      <c r="G766" t="s">
        <v>8732</v>
      </c>
      <c r="H766" s="5" t="s">
        <v>925</v>
      </c>
      <c r="I766" s="6">
        <v>1365</v>
      </c>
      <c r="J766" s="5" t="s">
        <v>15</v>
      </c>
      <c r="K766" s="6">
        <v>7</v>
      </c>
      <c r="L766" s="6">
        <v>9555</v>
      </c>
      <c r="M766" s="5" t="s">
        <v>1560</v>
      </c>
      <c r="N766" s="5" t="s">
        <v>1558</v>
      </c>
      <c r="O766" s="13">
        <v>43739</v>
      </c>
      <c r="P766" t="s">
        <v>8732</v>
      </c>
    </row>
    <row r="767" spans="1:16" x14ac:dyDescent="0.15">
      <c r="A767" s="5" t="s">
        <v>155</v>
      </c>
      <c r="B767" s="5" t="s">
        <v>1563</v>
      </c>
      <c r="C767" s="5" t="s">
        <v>1680</v>
      </c>
      <c r="D767" s="5" t="s">
        <v>1693</v>
      </c>
      <c r="E767" s="5" t="s">
        <v>37</v>
      </c>
      <c r="F767" s="12">
        <v>43740.861851851849</v>
      </c>
      <c r="G767" t="s">
        <v>8732</v>
      </c>
      <c r="H767" s="5" t="s">
        <v>926</v>
      </c>
      <c r="I767" s="6">
        <v>10237.5</v>
      </c>
      <c r="J767" s="5" t="s">
        <v>15</v>
      </c>
      <c r="K767" s="6">
        <v>7</v>
      </c>
      <c r="L767" s="6">
        <v>71662.5</v>
      </c>
      <c r="M767" s="5" t="s">
        <v>1560</v>
      </c>
      <c r="N767" s="5" t="s">
        <v>1558</v>
      </c>
      <c r="O767" s="13">
        <v>43739</v>
      </c>
      <c r="P767" t="s">
        <v>8732</v>
      </c>
    </row>
    <row r="768" spans="1:16" x14ac:dyDescent="0.15">
      <c r="A768" s="5" t="s">
        <v>157</v>
      </c>
      <c r="B768" s="5" t="s">
        <v>1563</v>
      </c>
      <c r="C768" s="5" t="s">
        <v>1571</v>
      </c>
      <c r="D768" s="5" t="s">
        <v>1693</v>
      </c>
      <c r="E768" s="5" t="s">
        <v>37</v>
      </c>
      <c r="F768" s="12">
        <v>43740.871157407404</v>
      </c>
      <c r="G768" t="s">
        <v>8732</v>
      </c>
      <c r="H768" s="5" t="s">
        <v>930</v>
      </c>
      <c r="I768" s="6">
        <v>2145</v>
      </c>
      <c r="J768" s="5" t="s">
        <v>15</v>
      </c>
      <c r="K768" s="6">
        <v>7</v>
      </c>
      <c r="L768" s="6">
        <v>15015</v>
      </c>
      <c r="M768" s="5" t="s">
        <v>1560</v>
      </c>
      <c r="N768" s="5" t="s">
        <v>1558</v>
      </c>
      <c r="O768" s="13">
        <v>43739</v>
      </c>
      <c r="P768" t="s">
        <v>8732</v>
      </c>
    </row>
    <row r="769" spans="1:16" x14ac:dyDescent="0.15">
      <c r="A769" s="5" t="s">
        <v>162</v>
      </c>
      <c r="B769" s="5" t="s">
        <v>1563</v>
      </c>
      <c r="C769" s="5" t="s">
        <v>1610</v>
      </c>
      <c r="D769" s="5" t="s">
        <v>1693</v>
      </c>
      <c r="E769" s="5" t="s">
        <v>37</v>
      </c>
      <c r="F769" s="12">
        <v>43741.575486111113</v>
      </c>
      <c r="G769" t="s">
        <v>8732</v>
      </c>
      <c r="H769" s="5" t="s">
        <v>934</v>
      </c>
      <c r="I769" s="6">
        <v>2925</v>
      </c>
      <c r="J769" s="5" t="s">
        <v>15</v>
      </c>
      <c r="K769" s="6">
        <v>7.5</v>
      </c>
      <c r="L769" s="6">
        <v>21937.5</v>
      </c>
      <c r="M769" s="5" t="s">
        <v>1560</v>
      </c>
      <c r="N769" s="5" t="s">
        <v>1558</v>
      </c>
      <c r="O769" s="13">
        <v>43739</v>
      </c>
      <c r="P769" t="s">
        <v>8732</v>
      </c>
    </row>
    <row r="770" spans="1:16" x14ac:dyDescent="0.15">
      <c r="A770" s="5" t="s">
        <v>163</v>
      </c>
      <c r="B770" s="5" t="s">
        <v>1563</v>
      </c>
      <c r="C770" s="5" t="s">
        <v>1670</v>
      </c>
      <c r="D770" s="5" t="s">
        <v>1693</v>
      </c>
      <c r="E770" s="5" t="s">
        <v>37</v>
      </c>
      <c r="F770" s="12">
        <v>43741.593692129631</v>
      </c>
      <c r="G770" t="s">
        <v>8732</v>
      </c>
      <c r="H770" s="5" t="s">
        <v>935</v>
      </c>
      <c r="I770" s="6">
        <v>2145</v>
      </c>
      <c r="J770" s="5" t="s">
        <v>15</v>
      </c>
      <c r="K770" s="6">
        <v>7</v>
      </c>
      <c r="L770" s="6">
        <v>15015</v>
      </c>
      <c r="M770" s="5" t="s">
        <v>1560</v>
      </c>
      <c r="N770" s="5" t="s">
        <v>1558</v>
      </c>
      <c r="O770" s="13">
        <v>43740</v>
      </c>
      <c r="P770" t="s">
        <v>8732</v>
      </c>
    </row>
    <row r="771" spans="1:16" x14ac:dyDescent="0.15">
      <c r="A771" s="5" t="s">
        <v>937</v>
      </c>
      <c r="B771" s="5" t="s">
        <v>1563</v>
      </c>
      <c r="C771" s="5" t="s">
        <v>1649</v>
      </c>
      <c r="D771" s="5" t="s">
        <v>1693</v>
      </c>
      <c r="E771" s="5" t="s">
        <v>37</v>
      </c>
      <c r="F771" s="12">
        <v>43741.605821759258</v>
      </c>
      <c r="G771" t="s">
        <v>8732</v>
      </c>
      <c r="H771" s="5" t="s">
        <v>938</v>
      </c>
      <c r="I771" s="6">
        <v>195</v>
      </c>
      <c r="J771" s="5" t="s">
        <v>15</v>
      </c>
      <c r="K771" s="6">
        <v>8.83</v>
      </c>
      <c r="L771" s="6">
        <v>1721.85</v>
      </c>
      <c r="M771" s="5" t="s">
        <v>1560</v>
      </c>
      <c r="N771" s="5" t="s">
        <v>1558</v>
      </c>
      <c r="O771" s="13">
        <v>43740</v>
      </c>
      <c r="P771" t="s">
        <v>8732</v>
      </c>
    </row>
    <row r="772" spans="1:16" x14ac:dyDescent="0.15">
      <c r="A772" s="5" t="s">
        <v>165</v>
      </c>
      <c r="B772" s="5" t="s">
        <v>1563</v>
      </c>
      <c r="C772" s="5" t="s">
        <v>1571</v>
      </c>
      <c r="D772" s="5" t="s">
        <v>1693</v>
      </c>
      <c r="E772" s="5" t="s">
        <v>37</v>
      </c>
      <c r="F772" s="12">
        <v>43741.665590277778</v>
      </c>
      <c r="G772" t="s">
        <v>8732</v>
      </c>
      <c r="H772" s="5" t="s">
        <v>940</v>
      </c>
      <c r="I772" s="6">
        <v>5070</v>
      </c>
      <c r="J772" s="5" t="s">
        <v>15</v>
      </c>
      <c r="K772" s="6">
        <v>7.5</v>
      </c>
      <c r="L772" s="6">
        <v>38025</v>
      </c>
      <c r="M772" s="5" t="s">
        <v>1560</v>
      </c>
      <c r="N772" s="5" t="s">
        <v>1558</v>
      </c>
      <c r="O772" s="13">
        <v>43741</v>
      </c>
      <c r="P772" t="s">
        <v>8732</v>
      </c>
    </row>
    <row r="773" spans="1:16" x14ac:dyDescent="0.15">
      <c r="A773" s="5" t="s">
        <v>943</v>
      </c>
      <c r="B773" s="5" t="s">
        <v>1563</v>
      </c>
      <c r="C773" s="5" t="s">
        <v>1662</v>
      </c>
      <c r="D773" s="5" t="s">
        <v>1693</v>
      </c>
      <c r="E773" s="5" t="s">
        <v>37</v>
      </c>
      <c r="F773" s="12">
        <v>43741.755219907405</v>
      </c>
      <c r="G773" t="s">
        <v>8732</v>
      </c>
      <c r="H773" s="5" t="s">
        <v>944</v>
      </c>
      <c r="I773" s="6">
        <v>2535</v>
      </c>
      <c r="J773" s="5" t="s">
        <v>15</v>
      </c>
      <c r="K773" s="6">
        <v>7.5</v>
      </c>
      <c r="L773" s="6">
        <v>19012.5</v>
      </c>
      <c r="M773" s="5" t="s">
        <v>1560</v>
      </c>
      <c r="N773" s="5" t="s">
        <v>1558</v>
      </c>
      <c r="O773" s="13">
        <v>43741</v>
      </c>
      <c r="P773" t="s">
        <v>8732</v>
      </c>
    </row>
    <row r="774" spans="1:16" x14ac:dyDescent="0.15">
      <c r="A774" s="5" t="s">
        <v>166</v>
      </c>
      <c r="B774" s="5" t="s">
        <v>1563</v>
      </c>
      <c r="C774" s="5" t="s">
        <v>1662</v>
      </c>
      <c r="D774" s="5" t="s">
        <v>1693</v>
      </c>
      <c r="E774" s="5" t="s">
        <v>37</v>
      </c>
      <c r="F774" s="12">
        <v>43742.633125</v>
      </c>
      <c r="G774" t="s">
        <v>8732</v>
      </c>
      <c r="H774" s="5" t="s">
        <v>945</v>
      </c>
      <c r="I774" s="6">
        <v>-2535</v>
      </c>
      <c r="J774" s="5" t="s">
        <v>15</v>
      </c>
      <c r="K774" s="6">
        <v>7.5</v>
      </c>
      <c r="L774" s="6">
        <v>-19012.5</v>
      </c>
      <c r="M774" s="5" t="s">
        <v>1560</v>
      </c>
      <c r="N774" s="5" t="s">
        <v>1558</v>
      </c>
      <c r="O774" s="13">
        <v>43742</v>
      </c>
      <c r="P774" t="s">
        <v>8732</v>
      </c>
    </row>
    <row r="775" spans="1:16" x14ac:dyDescent="0.15">
      <c r="A775" s="5" t="s">
        <v>166</v>
      </c>
      <c r="B775" s="5" t="s">
        <v>1563</v>
      </c>
      <c r="C775" s="5" t="s">
        <v>1662</v>
      </c>
      <c r="D775" s="5" t="s">
        <v>1693</v>
      </c>
      <c r="E775" s="5" t="s">
        <v>37</v>
      </c>
      <c r="F775" s="12">
        <v>43742.633125</v>
      </c>
      <c r="G775" t="s">
        <v>8732</v>
      </c>
      <c r="H775" s="5" t="s">
        <v>946</v>
      </c>
      <c r="I775" s="6">
        <v>2437.5</v>
      </c>
      <c r="J775" s="5" t="s">
        <v>15</v>
      </c>
      <c r="K775" s="6">
        <v>7.5</v>
      </c>
      <c r="L775" s="6">
        <v>18281.25</v>
      </c>
      <c r="M775" s="5" t="s">
        <v>1560</v>
      </c>
      <c r="N775" s="5" t="s">
        <v>1558</v>
      </c>
      <c r="O775" s="13">
        <v>43742</v>
      </c>
      <c r="P775" t="s">
        <v>8732</v>
      </c>
    </row>
    <row r="776" spans="1:16" x14ac:dyDescent="0.15">
      <c r="A776" s="5" t="s">
        <v>168</v>
      </c>
      <c r="B776" s="5" t="s">
        <v>1563</v>
      </c>
      <c r="C776" s="5" t="s">
        <v>1681</v>
      </c>
      <c r="D776" s="5" t="s">
        <v>1693</v>
      </c>
      <c r="E776" s="5" t="s">
        <v>37</v>
      </c>
      <c r="F776" s="12">
        <v>43745.630567129629</v>
      </c>
      <c r="G776" t="s">
        <v>8732</v>
      </c>
      <c r="H776" s="5" t="s">
        <v>948</v>
      </c>
      <c r="I776" s="6">
        <v>4875</v>
      </c>
      <c r="J776" s="5" t="s">
        <v>15</v>
      </c>
      <c r="K776" s="6">
        <v>7.5</v>
      </c>
      <c r="L776" s="6">
        <v>36562.5</v>
      </c>
      <c r="M776" s="5" t="s">
        <v>1560</v>
      </c>
      <c r="N776" s="5" t="s">
        <v>1558</v>
      </c>
      <c r="O776" s="13">
        <v>43745</v>
      </c>
      <c r="P776" t="s">
        <v>8732</v>
      </c>
    </row>
    <row r="777" spans="1:16" x14ac:dyDescent="0.15">
      <c r="A777" s="5" t="s">
        <v>171</v>
      </c>
      <c r="B777" s="5" t="s">
        <v>1563</v>
      </c>
      <c r="C777" s="5" t="s">
        <v>1658</v>
      </c>
      <c r="D777" s="5" t="s">
        <v>1693</v>
      </c>
      <c r="E777" s="5" t="s">
        <v>37</v>
      </c>
      <c r="F777" s="12">
        <v>43746.631851851853</v>
      </c>
      <c r="G777" t="s">
        <v>8732</v>
      </c>
      <c r="H777" s="5" t="s">
        <v>952</v>
      </c>
      <c r="I777" s="6">
        <v>1950</v>
      </c>
      <c r="J777" s="5" t="s">
        <v>15</v>
      </c>
      <c r="K777" s="6">
        <v>7.2</v>
      </c>
      <c r="L777" s="6">
        <v>14040</v>
      </c>
      <c r="M777" s="5" t="s">
        <v>1560</v>
      </c>
      <c r="N777" s="5" t="s">
        <v>1558</v>
      </c>
      <c r="O777" s="13">
        <v>43746</v>
      </c>
      <c r="P777" t="s">
        <v>8732</v>
      </c>
    </row>
    <row r="778" spans="1:16" x14ac:dyDescent="0.15">
      <c r="A778" s="5" t="s">
        <v>172</v>
      </c>
      <c r="B778" s="5" t="s">
        <v>1563</v>
      </c>
      <c r="C778" s="5" t="s">
        <v>1648</v>
      </c>
      <c r="D778" s="5" t="s">
        <v>1693</v>
      </c>
      <c r="E778" s="5" t="s">
        <v>37</v>
      </c>
      <c r="F778" s="12">
        <v>43746.638715277775</v>
      </c>
      <c r="G778" t="s">
        <v>8732</v>
      </c>
      <c r="H778" s="5" t="s">
        <v>953</v>
      </c>
      <c r="I778" s="6">
        <v>6337.5</v>
      </c>
      <c r="J778" s="5" t="s">
        <v>15</v>
      </c>
      <c r="K778" s="6">
        <v>7.2</v>
      </c>
      <c r="L778" s="6">
        <v>45630</v>
      </c>
      <c r="M778" s="5" t="s">
        <v>1560</v>
      </c>
      <c r="N778" s="5" t="s">
        <v>1558</v>
      </c>
      <c r="O778" s="13">
        <v>43746</v>
      </c>
      <c r="P778" t="s">
        <v>8732</v>
      </c>
    </row>
    <row r="779" spans="1:16" x14ac:dyDescent="0.15">
      <c r="A779" s="5" t="s">
        <v>955</v>
      </c>
      <c r="B779" s="5" t="s">
        <v>1563</v>
      </c>
      <c r="C779" s="5" t="s">
        <v>1659</v>
      </c>
      <c r="D779" s="5" t="s">
        <v>1693</v>
      </c>
      <c r="E779" s="5" t="s">
        <v>37</v>
      </c>
      <c r="F779" s="12">
        <v>43746.644305555557</v>
      </c>
      <c r="G779" t="s">
        <v>8732</v>
      </c>
      <c r="H779" s="5" t="s">
        <v>957</v>
      </c>
      <c r="I779" s="6">
        <v>7897.5</v>
      </c>
      <c r="J779" s="5" t="s">
        <v>15</v>
      </c>
      <c r="K779" s="6">
        <v>7</v>
      </c>
      <c r="L779" s="6">
        <v>55282.5</v>
      </c>
      <c r="M779" s="5" t="s">
        <v>1560</v>
      </c>
      <c r="N779" s="5" t="s">
        <v>1558</v>
      </c>
      <c r="O779" s="13">
        <v>43746</v>
      </c>
      <c r="P779" t="s">
        <v>8732</v>
      </c>
    </row>
    <row r="780" spans="1:16" x14ac:dyDescent="0.15">
      <c r="A780" s="5" t="s">
        <v>959</v>
      </c>
      <c r="B780" s="5" t="s">
        <v>1563</v>
      </c>
      <c r="C780" s="5" t="s">
        <v>1682</v>
      </c>
      <c r="D780" s="5" t="s">
        <v>1693</v>
      </c>
      <c r="E780" s="5" t="s">
        <v>37</v>
      </c>
      <c r="F780" s="12">
        <v>43747.629976851851</v>
      </c>
      <c r="G780" t="s">
        <v>8732</v>
      </c>
      <c r="H780" s="5" t="s">
        <v>960</v>
      </c>
      <c r="I780" s="6">
        <v>3997.5</v>
      </c>
      <c r="J780" s="5" t="s">
        <v>15</v>
      </c>
      <c r="K780" s="6">
        <v>6</v>
      </c>
      <c r="L780" s="6">
        <v>23985</v>
      </c>
      <c r="M780" s="5" t="s">
        <v>1560</v>
      </c>
      <c r="N780" s="5" t="s">
        <v>1558</v>
      </c>
      <c r="O780" s="13">
        <v>43747</v>
      </c>
      <c r="P780" t="s">
        <v>8732</v>
      </c>
    </row>
    <row r="781" spans="1:16" x14ac:dyDescent="0.15">
      <c r="A781" s="5" t="s">
        <v>961</v>
      </c>
      <c r="B781" s="5" t="s">
        <v>1563</v>
      </c>
      <c r="C781" s="5" t="s">
        <v>1650</v>
      </c>
      <c r="D781" s="5" t="s">
        <v>1693</v>
      </c>
      <c r="E781" s="5" t="s">
        <v>37</v>
      </c>
      <c r="F781" s="12">
        <v>43747.777962962966</v>
      </c>
      <c r="G781" t="s">
        <v>8732</v>
      </c>
      <c r="H781" s="5" t="s">
        <v>963</v>
      </c>
      <c r="I781" s="6">
        <v>4875</v>
      </c>
      <c r="J781" s="5" t="s">
        <v>15</v>
      </c>
      <c r="K781" s="6">
        <v>7.5</v>
      </c>
      <c r="L781" s="6">
        <v>36562.5</v>
      </c>
      <c r="M781" s="5" t="s">
        <v>1560</v>
      </c>
      <c r="N781" s="5" t="s">
        <v>1558</v>
      </c>
      <c r="O781" s="13">
        <v>43747</v>
      </c>
      <c r="P781" t="s">
        <v>8732</v>
      </c>
    </row>
    <row r="782" spans="1:16" x14ac:dyDescent="0.15">
      <c r="A782" s="5" t="s">
        <v>175</v>
      </c>
      <c r="B782" s="5" t="s">
        <v>1563</v>
      </c>
      <c r="C782" s="5" t="s">
        <v>1586</v>
      </c>
      <c r="D782" s="5" t="s">
        <v>1693</v>
      </c>
      <c r="E782" s="5" t="s">
        <v>37</v>
      </c>
      <c r="F782" s="12">
        <v>43753.57917824074</v>
      </c>
      <c r="G782" t="s">
        <v>8732</v>
      </c>
      <c r="H782" s="5" t="s">
        <v>970</v>
      </c>
      <c r="I782" s="6">
        <v>2145</v>
      </c>
      <c r="J782" s="5" t="s">
        <v>15</v>
      </c>
      <c r="K782" s="6">
        <v>7.5</v>
      </c>
      <c r="L782" s="6">
        <v>16087.5</v>
      </c>
      <c r="M782" s="5" t="s">
        <v>1560</v>
      </c>
      <c r="N782" s="5" t="s">
        <v>1558</v>
      </c>
      <c r="O782" s="13">
        <v>43753</v>
      </c>
      <c r="P782" t="s">
        <v>8732</v>
      </c>
    </row>
    <row r="783" spans="1:16" x14ac:dyDescent="0.15">
      <c r="A783" s="5" t="s">
        <v>175</v>
      </c>
      <c r="B783" s="5" t="s">
        <v>1563</v>
      </c>
      <c r="C783" s="5" t="s">
        <v>1586</v>
      </c>
      <c r="D783" s="5" t="s">
        <v>1693</v>
      </c>
      <c r="E783" s="5" t="s">
        <v>37</v>
      </c>
      <c r="F783" s="12">
        <v>43753.593148148146</v>
      </c>
      <c r="G783" t="s">
        <v>8732</v>
      </c>
      <c r="H783" s="5" t="s">
        <v>971</v>
      </c>
      <c r="I783" s="6">
        <v>-2145</v>
      </c>
      <c r="J783" s="5" t="s">
        <v>15</v>
      </c>
      <c r="K783" s="6">
        <v>7.5</v>
      </c>
      <c r="L783" s="6">
        <v>-16087.5</v>
      </c>
      <c r="M783" s="5" t="s">
        <v>1560</v>
      </c>
      <c r="N783" s="5" t="s">
        <v>1558</v>
      </c>
      <c r="O783" s="13">
        <v>43753</v>
      </c>
      <c r="P783" t="s">
        <v>8732</v>
      </c>
    </row>
    <row r="784" spans="1:16" x14ac:dyDescent="0.15">
      <c r="A784" s="5" t="s">
        <v>176</v>
      </c>
      <c r="B784" s="5" t="s">
        <v>1563</v>
      </c>
      <c r="C784" s="5" t="s">
        <v>1600</v>
      </c>
      <c r="D784" s="5" t="s">
        <v>1693</v>
      </c>
      <c r="E784" s="5" t="s">
        <v>37</v>
      </c>
      <c r="F784" s="12">
        <v>43753.631226851852</v>
      </c>
      <c r="G784" t="s">
        <v>8732</v>
      </c>
      <c r="H784" s="5" t="s">
        <v>973</v>
      </c>
      <c r="I784" s="6">
        <v>7800</v>
      </c>
      <c r="J784" s="5" t="s">
        <v>15</v>
      </c>
      <c r="K784" s="6">
        <v>6</v>
      </c>
      <c r="L784" s="6">
        <v>46800</v>
      </c>
      <c r="M784" s="5" t="s">
        <v>1560</v>
      </c>
      <c r="N784" s="5" t="s">
        <v>1558</v>
      </c>
      <c r="O784" s="13">
        <v>43753</v>
      </c>
      <c r="P784" t="s">
        <v>8732</v>
      </c>
    </row>
    <row r="785" spans="1:16" x14ac:dyDescent="0.15">
      <c r="A785" s="5" t="s">
        <v>177</v>
      </c>
      <c r="B785" s="5" t="s">
        <v>1563</v>
      </c>
      <c r="C785" s="5" t="s">
        <v>1594</v>
      </c>
      <c r="D785" s="5" t="s">
        <v>1693</v>
      </c>
      <c r="E785" s="5" t="s">
        <v>37</v>
      </c>
      <c r="F785" s="12">
        <v>43753.633657407408</v>
      </c>
      <c r="G785" t="s">
        <v>8732</v>
      </c>
      <c r="H785" s="5" t="s">
        <v>976</v>
      </c>
      <c r="I785" s="6">
        <v>2437.5</v>
      </c>
      <c r="J785" s="5" t="s">
        <v>15</v>
      </c>
      <c r="K785" s="6">
        <v>7</v>
      </c>
      <c r="L785" s="6">
        <v>17062.5</v>
      </c>
      <c r="M785" s="5" t="s">
        <v>1560</v>
      </c>
      <c r="N785" s="5" t="s">
        <v>1558</v>
      </c>
      <c r="O785" s="13">
        <v>43753</v>
      </c>
      <c r="P785" t="s">
        <v>8732</v>
      </c>
    </row>
    <row r="786" spans="1:16" x14ac:dyDescent="0.15">
      <c r="A786" s="5" t="s">
        <v>977</v>
      </c>
      <c r="B786" s="5" t="s">
        <v>1563</v>
      </c>
      <c r="C786" s="5" t="s">
        <v>1648</v>
      </c>
      <c r="D786" s="5" t="s">
        <v>1693</v>
      </c>
      <c r="E786" s="5" t="s">
        <v>37</v>
      </c>
      <c r="F786" s="12">
        <v>43753.635347222225</v>
      </c>
      <c r="G786" t="s">
        <v>8732</v>
      </c>
      <c r="H786" s="5" t="s">
        <v>978</v>
      </c>
      <c r="I786" s="6">
        <v>8190</v>
      </c>
      <c r="J786" s="5" t="s">
        <v>15</v>
      </c>
      <c r="K786" s="6">
        <v>7.2</v>
      </c>
      <c r="L786" s="6">
        <v>58968</v>
      </c>
      <c r="M786" s="5" t="s">
        <v>1560</v>
      </c>
      <c r="N786" s="5" t="s">
        <v>1558</v>
      </c>
      <c r="O786" s="13">
        <v>43753</v>
      </c>
      <c r="P786" t="s">
        <v>8732</v>
      </c>
    </row>
    <row r="787" spans="1:16" x14ac:dyDescent="0.15">
      <c r="A787" s="5" t="s">
        <v>180</v>
      </c>
      <c r="B787" s="5" t="s">
        <v>1563</v>
      </c>
      <c r="C787" s="5" t="s">
        <v>1651</v>
      </c>
      <c r="D787" s="5" t="s">
        <v>1693</v>
      </c>
      <c r="E787" s="5" t="s">
        <v>37</v>
      </c>
      <c r="F787" s="12">
        <v>43759.762106481481</v>
      </c>
      <c r="G787" t="s">
        <v>8732</v>
      </c>
      <c r="H787" s="5" t="s">
        <v>982</v>
      </c>
      <c r="I787" s="6">
        <v>975</v>
      </c>
      <c r="J787" s="5" t="s">
        <v>15</v>
      </c>
      <c r="K787" s="6">
        <v>7.5</v>
      </c>
      <c r="L787" s="6">
        <v>7312.5</v>
      </c>
      <c r="M787" s="5" t="s">
        <v>1560</v>
      </c>
      <c r="N787" s="5" t="s">
        <v>1558</v>
      </c>
      <c r="O787" s="13">
        <v>43754</v>
      </c>
      <c r="P787" t="s">
        <v>8732</v>
      </c>
    </row>
    <row r="788" spans="1:16" x14ac:dyDescent="0.15">
      <c r="A788" s="5" t="s">
        <v>983</v>
      </c>
      <c r="B788" s="5" t="s">
        <v>1563</v>
      </c>
      <c r="C788" s="5" t="s">
        <v>1649</v>
      </c>
      <c r="D788" s="5" t="s">
        <v>1693</v>
      </c>
      <c r="E788" s="5" t="s">
        <v>37</v>
      </c>
      <c r="F788" s="12">
        <v>43759.770104166666</v>
      </c>
      <c r="G788" t="s">
        <v>8732</v>
      </c>
      <c r="H788" s="5" t="s">
        <v>985</v>
      </c>
      <c r="I788" s="6">
        <v>487.5</v>
      </c>
      <c r="J788" s="5" t="s">
        <v>15</v>
      </c>
      <c r="K788" s="6">
        <v>8.17</v>
      </c>
      <c r="L788" s="6">
        <v>3982.88</v>
      </c>
      <c r="M788" s="5" t="s">
        <v>1560</v>
      </c>
      <c r="N788" s="5" t="s">
        <v>1558</v>
      </c>
      <c r="O788" s="13">
        <v>43755</v>
      </c>
      <c r="P788" t="s">
        <v>8732</v>
      </c>
    </row>
    <row r="789" spans="1:16" x14ac:dyDescent="0.15">
      <c r="A789" s="5" t="s">
        <v>182</v>
      </c>
      <c r="B789" s="5" t="s">
        <v>1563</v>
      </c>
      <c r="C789" s="5" t="s">
        <v>1648</v>
      </c>
      <c r="D789" s="5" t="s">
        <v>1693</v>
      </c>
      <c r="E789" s="5" t="s">
        <v>37</v>
      </c>
      <c r="F789" s="12">
        <v>43759.829918981479</v>
      </c>
      <c r="G789" t="s">
        <v>8732</v>
      </c>
      <c r="H789" s="5" t="s">
        <v>991</v>
      </c>
      <c r="I789" s="6">
        <v>487.5</v>
      </c>
      <c r="J789" s="5" t="s">
        <v>15</v>
      </c>
      <c r="K789" s="6">
        <v>8</v>
      </c>
      <c r="L789" s="6">
        <v>3900</v>
      </c>
      <c r="M789" s="5" t="s">
        <v>1560</v>
      </c>
      <c r="N789" s="5" t="s">
        <v>1558</v>
      </c>
      <c r="O789" s="13">
        <v>43759</v>
      </c>
      <c r="P789" t="s">
        <v>8732</v>
      </c>
    </row>
    <row r="790" spans="1:16" x14ac:dyDescent="0.15">
      <c r="A790" s="5" t="s">
        <v>185</v>
      </c>
      <c r="B790" s="5" t="s">
        <v>1563</v>
      </c>
      <c r="C790" s="5" t="s">
        <v>1577</v>
      </c>
      <c r="D790" s="5" t="s">
        <v>1693</v>
      </c>
      <c r="E790" s="5" t="s">
        <v>37</v>
      </c>
      <c r="F790" s="12">
        <v>43759.839375000003</v>
      </c>
      <c r="G790" t="s">
        <v>8732</v>
      </c>
      <c r="H790" s="5" t="s">
        <v>994</v>
      </c>
      <c r="I790" s="6">
        <v>6045</v>
      </c>
      <c r="J790" s="5" t="s">
        <v>15</v>
      </c>
      <c r="K790" s="6">
        <v>7.5</v>
      </c>
      <c r="L790" s="6">
        <v>45337.5</v>
      </c>
      <c r="M790" s="5" t="s">
        <v>1560</v>
      </c>
      <c r="N790" s="5" t="s">
        <v>1558</v>
      </c>
      <c r="O790" s="13">
        <v>43759</v>
      </c>
      <c r="P790" t="s">
        <v>8732</v>
      </c>
    </row>
    <row r="791" spans="1:16" x14ac:dyDescent="0.15">
      <c r="A791" s="5" t="s">
        <v>186</v>
      </c>
      <c r="B791" s="5" t="s">
        <v>1563</v>
      </c>
      <c r="C791" s="5" t="s">
        <v>1594</v>
      </c>
      <c r="D791" s="5" t="s">
        <v>1693</v>
      </c>
      <c r="E791" s="5" t="s">
        <v>37</v>
      </c>
      <c r="F791" s="12">
        <v>43759.842094907406</v>
      </c>
      <c r="G791" t="s">
        <v>8732</v>
      </c>
      <c r="H791" s="5" t="s">
        <v>995</v>
      </c>
      <c r="I791" s="6">
        <v>15307.5</v>
      </c>
      <c r="J791" s="5" t="s">
        <v>15</v>
      </c>
      <c r="K791" s="6">
        <v>7</v>
      </c>
      <c r="L791" s="6">
        <v>107152.5</v>
      </c>
      <c r="M791" s="5" t="s">
        <v>1560</v>
      </c>
      <c r="N791" s="5" t="s">
        <v>1558</v>
      </c>
      <c r="O791" s="13">
        <v>43759</v>
      </c>
      <c r="P791" t="s">
        <v>8732</v>
      </c>
    </row>
    <row r="792" spans="1:16" x14ac:dyDescent="0.15">
      <c r="A792" s="5" t="s">
        <v>996</v>
      </c>
      <c r="B792" s="5" t="s">
        <v>1563</v>
      </c>
      <c r="C792" s="5" t="s">
        <v>1604</v>
      </c>
      <c r="D792" s="5" t="s">
        <v>1693</v>
      </c>
      <c r="E792" s="5" t="s">
        <v>37</v>
      </c>
      <c r="F792" s="12">
        <v>43759.843263888892</v>
      </c>
      <c r="G792" t="s">
        <v>8732</v>
      </c>
      <c r="H792" s="5" t="s">
        <v>997</v>
      </c>
      <c r="I792" s="6">
        <v>7020</v>
      </c>
      <c r="J792" s="5" t="s">
        <v>15</v>
      </c>
      <c r="K792" s="6">
        <v>7.5</v>
      </c>
      <c r="L792" s="6">
        <v>52650</v>
      </c>
      <c r="M792" s="5" t="s">
        <v>1560</v>
      </c>
      <c r="N792" s="5" t="s">
        <v>1558</v>
      </c>
      <c r="O792" s="13">
        <v>43759</v>
      </c>
      <c r="P792" t="s">
        <v>8732</v>
      </c>
    </row>
    <row r="793" spans="1:16" x14ac:dyDescent="0.15">
      <c r="A793" s="5" t="s">
        <v>187</v>
      </c>
      <c r="B793" s="5" t="s">
        <v>1563</v>
      </c>
      <c r="C793" s="5" t="s">
        <v>1647</v>
      </c>
      <c r="D793" s="5" t="s">
        <v>1693</v>
      </c>
      <c r="E793" s="5" t="s">
        <v>37</v>
      </c>
      <c r="F793" s="12">
        <v>43759.846261574072</v>
      </c>
      <c r="G793" t="s">
        <v>8732</v>
      </c>
      <c r="H793" s="5" t="s">
        <v>998</v>
      </c>
      <c r="I793" s="6">
        <v>17647.5</v>
      </c>
      <c r="J793" s="5" t="s">
        <v>15</v>
      </c>
      <c r="K793" s="6">
        <v>7.5</v>
      </c>
      <c r="L793" s="6">
        <v>132356.25</v>
      </c>
      <c r="M793" s="5" t="s">
        <v>1560</v>
      </c>
      <c r="N793" s="5" t="s">
        <v>1558</v>
      </c>
      <c r="O793" s="13">
        <v>43759</v>
      </c>
      <c r="P793" t="s">
        <v>8732</v>
      </c>
    </row>
    <row r="794" spans="1:16" x14ac:dyDescent="0.15">
      <c r="A794" s="5" t="s">
        <v>1003</v>
      </c>
      <c r="B794" s="5" t="s">
        <v>1563</v>
      </c>
      <c r="C794" s="5" t="s">
        <v>1616</v>
      </c>
      <c r="D794" s="5" t="s">
        <v>1693</v>
      </c>
      <c r="E794" s="5" t="s">
        <v>37</v>
      </c>
      <c r="F794" s="12">
        <v>43760.69866898148</v>
      </c>
      <c r="G794" t="s">
        <v>8732</v>
      </c>
      <c r="H794" s="5" t="s">
        <v>1005</v>
      </c>
      <c r="I794" s="6">
        <v>390</v>
      </c>
      <c r="J794" s="5" t="s">
        <v>15</v>
      </c>
      <c r="K794" s="6">
        <v>7.94</v>
      </c>
      <c r="L794" s="6">
        <v>3096.6</v>
      </c>
      <c r="M794" s="5" t="s">
        <v>1560</v>
      </c>
      <c r="N794" s="5" t="s">
        <v>1558</v>
      </c>
      <c r="O794" s="13">
        <v>43760</v>
      </c>
      <c r="P794" t="s">
        <v>8732</v>
      </c>
    </row>
    <row r="795" spans="1:16" x14ac:dyDescent="0.15">
      <c r="A795" s="5" t="s">
        <v>190</v>
      </c>
      <c r="B795" s="5" t="s">
        <v>1563</v>
      </c>
      <c r="C795" s="5" t="s">
        <v>1662</v>
      </c>
      <c r="D795" s="5" t="s">
        <v>1693</v>
      </c>
      <c r="E795" s="5" t="s">
        <v>37</v>
      </c>
      <c r="F795" s="12">
        <v>43762.683518518519</v>
      </c>
      <c r="G795" t="s">
        <v>8732</v>
      </c>
      <c r="H795" s="5" t="s">
        <v>1010</v>
      </c>
      <c r="I795" s="6">
        <v>9067.5</v>
      </c>
      <c r="J795" s="5" t="s">
        <v>15</v>
      </c>
      <c r="K795" s="6">
        <v>7.5</v>
      </c>
      <c r="L795" s="6">
        <v>68006.25</v>
      </c>
      <c r="M795" s="5" t="s">
        <v>1560</v>
      </c>
      <c r="N795" s="5" t="s">
        <v>1558</v>
      </c>
      <c r="O795" s="13">
        <v>43761</v>
      </c>
      <c r="P795" t="s">
        <v>8732</v>
      </c>
    </row>
    <row r="796" spans="1:16" x14ac:dyDescent="0.15">
      <c r="A796" s="5" t="s">
        <v>191</v>
      </c>
      <c r="B796" s="5" t="s">
        <v>1563</v>
      </c>
      <c r="C796" s="5" t="s">
        <v>1612</v>
      </c>
      <c r="D796" s="5" t="s">
        <v>1693</v>
      </c>
      <c r="E796" s="5" t="s">
        <v>37</v>
      </c>
      <c r="F796" s="12">
        <v>43762.703020833331</v>
      </c>
      <c r="G796" t="s">
        <v>8732</v>
      </c>
      <c r="H796" s="5" t="s">
        <v>1011</v>
      </c>
      <c r="I796" s="6">
        <v>1950</v>
      </c>
      <c r="J796" s="5" t="s">
        <v>15</v>
      </c>
      <c r="K796" s="6">
        <v>7</v>
      </c>
      <c r="L796" s="6">
        <v>13650</v>
      </c>
      <c r="M796" s="5" t="s">
        <v>1560</v>
      </c>
      <c r="N796" s="5" t="s">
        <v>1558</v>
      </c>
      <c r="O796" s="13">
        <v>43762</v>
      </c>
      <c r="P796" t="s">
        <v>8732</v>
      </c>
    </row>
    <row r="797" spans="1:16" x14ac:dyDescent="0.15">
      <c r="A797" s="5" t="s">
        <v>1018</v>
      </c>
      <c r="B797" s="5" t="s">
        <v>1563</v>
      </c>
      <c r="C797" s="5" t="s">
        <v>1613</v>
      </c>
      <c r="D797" s="5" t="s">
        <v>1693</v>
      </c>
      <c r="E797" s="5" t="s">
        <v>37</v>
      </c>
      <c r="F797" s="12">
        <v>43766.839189814818</v>
      </c>
      <c r="G797" t="s">
        <v>8732</v>
      </c>
      <c r="H797" s="5" t="s">
        <v>1019</v>
      </c>
      <c r="I797" s="6">
        <v>6045</v>
      </c>
      <c r="J797" s="5" t="s">
        <v>15</v>
      </c>
      <c r="K797" s="6">
        <v>7</v>
      </c>
      <c r="L797" s="6">
        <v>42315</v>
      </c>
      <c r="M797" s="5" t="s">
        <v>1560</v>
      </c>
      <c r="N797" s="5" t="s">
        <v>1558</v>
      </c>
      <c r="O797" s="13">
        <v>43766</v>
      </c>
      <c r="P797" t="s">
        <v>8732</v>
      </c>
    </row>
    <row r="798" spans="1:16" x14ac:dyDescent="0.15">
      <c r="A798" s="5" t="s">
        <v>195</v>
      </c>
      <c r="B798" s="5" t="s">
        <v>1563</v>
      </c>
      <c r="C798" s="5" t="s">
        <v>1577</v>
      </c>
      <c r="D798" s="5" t="s">
        <v>1693</v>
      </c>
      <c r="E798" s="5" t="s">
        <v>37</v>
      </c>
      <c r="F798" s="12">
        <v>43766.841157407405</v>
      </c>
      <c r="G798" t="s">
        <v>8732</v>
      </c>
      <c r="H798" s="5" t="s">
        <v>1020</v>
      </c>
      <c r="I798" s="6">
        <v>7215</v>
      </c>
      <c r="J798" s="5" t="s">
        <v>15</v>
      </c>
      <c r="K798" s="6">
        <v>7.5</v>
      </c>
      <c r="L798" s="6">
        <v>54112.5</v>
      </c>
      <c r="M798" s="5" t="s">
        <v>1560</v>
      </c>
      <c r="N798" s="5" t="s">
        <v>1558</v>
      </c>
      <c r="O798" s="13">
        <v>43766</v>
      </c>
      <c r="P798" t="s">
        <v>8732</v>
      </c>
    </row>
    <row r="799" spans="1:16" x14ac:dyDescent="0.15">
      <c r="A799" s="5" t="s">
        <v>196</v>
      </c>
      <c r="B799" s="5" t="s">
        <v>1563</v>
      </c>
      <c r="C799" s="5" t="s">
        <v>1643</v>
      </c>
      <c r="D799" s="5" t="s">
        <v>1693</v>
      </c>
      <c r="E799" s="5" t="s">
        <v>37</v>
      </c>
      <c r="F799" s="12">
        <v>43766.846643518518</v>
      </c>
      <c r="G799" t="s">
        <v>8732</v>
      </c>
      <c r="H799" s="5" t="s">
        <v>1022</v>
      </c>
      <c r="I799" s="6">
        <v>9457.5</v>
      </c>
      <c r="J799" s="5" t="s">
        <v>15</v>
      </c>
      <c r="K799" s="6">
        <v>7.5</v>
      </c>
      <c r="L799" s="6">
        <v>70931.25</v>
      </c>
      <c r="M799" s="5" t="s">
        <v>1560</v>
      </c>
      <c r="N799" s="5" t="s">
        <v>1558</v>
      </c>
      <c r="O799" s="13">
        <v>43766</v>
      </c>
      <c r="P799" t="s">
        <v>8732</v>
      </c>
    </row>
    <row r="800" spans="1:16" x14ac:dyDescent="0.15">
      <c r="A800" s="5" t="s">
        <v>1026</v>
      </c>
      <c r="B800" s="5" t="s">
        <v>1563</v>
      </c>
      <c r="C800" s="5" t="s">
        <v>1612</v>
      </c>
      <c r="D800" s="5" t="s">
        <v>1693</v>
      </c>
      <c r="E800" s="5" t="s">
        <v>37</v>
      </c>
      <c r="F800" s="12">
        <v>43766.853344907409</v>
      </c>
      <c r="G800" t="s">
        <v>8732</v>
      </c>
      <c r="H800" s="5" t="s">
        <v>1027</v>
      </c>
      <c r="I800" s="6">
        <v>1560</v>
      </c>
      <c r="J800" s="5" t="s">
        <v>15</v>
      </c>
      <c r="K800" s="6">
        <v>7.25</v>
      </c>
      <c r="L800" s="6">
        <v>11310</v>
      </c>
      <c r="M800" s="5" t="s">
        <v>1560</v>
      </c>
      <c r="N800" s="5" t="s">
        <v>1558</v>
      </c>
      <c r="O800" s="13">
        <v>43766</v>
      </c>
      <c r="P800" t="s">
        <v>8732</v>
      </c>
    </row>
    <row r="801" spans="1:16" x14ac:dyDescent="0.15">
      <c r="A801" s="5" t="s">
        <v>198</v>
      </c>
      <c r="B801" s="5" t="s">
        <v>1563</v>
      </c>
      <c r="C801" s="5" t="s">
        <v>1595</v>
      </c>
      <c r="D801" s="5" t="s">
        <v>1693</v>
      </c>
      <c r="E801" s="5" t="s">
        <v>37</v>
      </c>
      <c r="F801" s="12">
        <v>43767.676192129627</v>
      </c>
      <c r="G801" t="s">
        <v>8732</v>
      </c>
      <c r="H801" s="5" t="s">
        <v>1028</v>
      </c>
      <c r="I801" s="6">
        <v>1365</v>
      </c>
      <c r="J801" s="5" t="s">
        <v>15</v>
      </c>
      <c r="K801" s="6">
        <v>7.7799999999999994</v>
      </c>
      <c r="L801" s="6">
        <v>10619.7</v>
      </c>
      <c r="M801" s="5" t="s">
        <v>1560</v>
      </c>
      <c r="N801" s="5" t="s">
        <v>1558</v>
      </c>
      <c r="O801" s="13">
        <v>43767</v>
      </c>
      <c r="P801" t="s">
        <v>8732</v>
      </c>
    </row>
    <row r="802" spans="1:16" x14ac:dyDescent="0.15">
      <c r="A802" s="5" t="s">
        <v>199</v>
      </c>
      <c r="B802" s="5" t="s">
        <v>1563</v>
      </c>
      <c r="C802" s="5" t="s">
        <v>1575</v>
      </c>
      <c r="D802" s="5" t="s">
        <v>1693</v>
      </c>
      <c r="E802" s="5" t="s">
        <v>37</v>
      </c>
      <c r="F802" s="12">
        <v>43767.677499999998</v>
      </c>
      <c r="G802" t="s">
        <v>8732</v>
      </c>
      <c r="H802" s="5" t="s">
        <v>1029</v>
      </c>
      <c r="I802" s="6">
        <v>1950</v>
      </c>
      <c r="J802" s="5" t="s">
        <v>15</v>
      </c>
      <c r="K802" s="6">
        <v>7.5</v>
      </c>
      <c r="L802" s="6">
        <v>14625</v>
      </c>
      <c r="M802" s="5" t="s">
        <v>1560</v>
      </c>
      <c r="N802" s="5" t="s">
        <v>1558</v>
      </c>
      <c r="O802" s="13">
        <v>43767</v>
      </c>
      <c r="P802" t="s">
        <v>8732</v>
      </c>
    </row>
    <row r="803" spans="1:16" x14ac:dyDescent="0.15">
      <c r="A803" s="5" t="s">
        <v>1030</v>
      </c>
      <c r="B803" s="5" t="s">
        <v>1563</v>
      </c>
      <c r="C803" s="5" t="s">
        <v>1683</v>
      </c>
      <c r="D803" s="5" t="s">
        <v>1693</v>
      </c>
      <c r="E803" s="5" t="s">
        <v>37</v>
      </c>
      <c r="F803" s="12">
        <v>43767.765856481485</v>
      </c>
      <c r="G803" t="s">
        <v>8732</v>
      </c>
      <c r="H803" s="5" t="s">
        <v>1031</v>
      </c>
      <c r="I803" s="6">
        <v>682.5</v>
      </c>
      <c r="J803" s="5" t="s">
        <v>15</v>
      </c>
      <c r="K803" s="6">
        <v>7.07</v>
      </c>
      <c r="L803" s="6">
        <v>4825.28</v>
      </c>
      <c r="M803" s="5" t="s">
        <v>1560</v>
      </c>
      <c r="N803" s="5" t="s">
        <v>1558</v>
      </c>
      <c r="O803" s="13">
        <v>43767</v>
      </c>
      <c r="P803" t="s">
        <v>8732</v>
      </c>
    </row>
    <row r="804" spans="1:16" x14ac:dyDescent="0.15">
      <c r="A804" s="5" t="s">
        <v>1032</v>
      </c>
      <c r="B804" s="5" t="s">
        <v>1563</v>
      </c>
      <c r="C804" s="5" t="s">
        <v>1571</v>
      </c>
      <c r="D804" s="5" t="s">
        <v>1693</v>
      </c>
      <c r="E804" s="5" t="s">
        <v>37</v>
      </c>
      <c r="F804" s="12">
        <v>43773.751840277779</v>
      </c>
      <c r="G804" t="s">
        <v>8734</v>
      </c>
      <c r="H804" s="5" t="s">
        <v>1034</v>
      </c>
      <c r="I804" s="6">
        <v>1755</v>
      </c>
      <c r="J804" s="5" t="s">
        <v>15</v>
      </c>
      <c r="K804" s="6">
        <v>7.5</v>
      </c>
      <c r="L804" s="6">
        <v>13162.5</v>
      </c>
      <c r="M804" s="5" t="s">
        <v>1560</v>
      </c>
      <c r="N804" s="5" t="s">
        <v>1558</v>
      </c>
      <c r="O804" s="13">
        <v>43769</v>
      </c>
      <c r="P804" t="s">
        <v>8732</v>
      </c>
    </row>
    <row r="805" spans="1:16" x14ac:dyDescent="0.15">
      <c r="A805" s="5" t="s">
        <v>1035</v>
      </c>
      <c r="B805" s="5" t="s">
        <v>1563</v>
      </c>
      <c r="C805" s="5" t="s">
        <v>1597</v>
      </c>
      <c r="D805" s="5" t="s">
        <v>1693</v>
      </c>
      <c r="E805" s="5" t="s">
        <v>37</v>
      </c>
      <c r="F805" s="12">
        <v>43773.774224537039</v>
      </c>
      <c r="G805" t="s">
        <v>8734</v>
      </c>
      <c r="H805" s="5" t="s">
        <v>1036</v>
      </c>
      <c r="I805" s="6">
        <v>585</v>
      </c>
      <c r="J805" s="5" t="s">
        <v>15</v>
      </c>
      <c r="K805" s="6">
        <v>8.17</v>
      </c>
      <c r="L805" s="6">
        <v>4779.45</v>
      </c>
      <c r="M805" s="5" t="s">
        <v>1560</v>
      </c>
      <c r="N805" s="5" t="s">
        <v>1558</v>
      </c>
      <c r="O805" s="13">
        <v>43773</v>
      </c>
      <c r="P805" t="s">
        <v>8734</v>
      </c>
    </row>
    <row r="806" spans="1:16" x14ac:dyDescent="0.15">
      <c r="A806" s="5" t="s">
        <v>203</v>
      </c>
      <c r="B806" s="5" t="s">
        <v>1563</v>
      </c>
      <c r="C806" s="5" t="s">
        <v>1677</v>
      </c>
      <c r="D806" s="5" t="s">
        <v>1693</v>
      </c>
      <c r="E806" s="5" t="s">
        <v>37</v>
      </c>
      <c r="F806" s="12">
        <v>43773.814259259256</v>
      </c>
      <c r="G806" t="s">
        <v>8734</v>
      </c>
      <c r="H806" s="5" t="s">
        <v>1049</v>
      </c>
      <c r="I806" s="6">
        <v>8190</v>
      </c>
      <c r="J806" s="5" t="s">
        <v>15</v>
      </c>
      <c r="K806" s="6">
        <v>7.5</v>
      </c>
      <c r="L806" s="6">
        <v>61425</v>
      </c>
      <c r="M806" s="5" t="s">
        <v>1560</v>
      </c>
      <c r="N806" s="5" t="s">
        <v>1558</v>
      </c>
      <c r="O806" s="13">
        <v>43773</v>
      </c>
      <c r="P806" t="s">
        <v>8734</v>
      </c>
    </row>
    <row r="807" spans="1:16" x14ac:dyDescent="0.15">
      <c r="A807" s="5" t="s">
        <v>204</v>
      </c>
      <c r="B807" s="5" t="s">
        <v>1563</v>
      </c>
      <c r="C807" s="5" t="s">
        <v>1622</v>
      </c>
      <c r="D807" s="5" t="s">
        <v>1693</v>
      </c>
      <c r="E807" s="5" t="s">
        <v>37</v>
      </c>
      <c r="F807" s="12">
        <v>43773.822939814818</v>
      </c>
      <c r="G807" t="s">
        <v>8734</v>
      </c>
      <c r="H807" s="5" t="s">
        <v>1050</v>
      </c>
      <c r="I807" s="6">
        <v>1950</v>
      </c>
      <c r="J807" s="5" t="s">
        <v>15</v>
      </c>
      <c r="K807" s="6">
        <v>7.5</v>
      </c>
      <c r="L807" s="6">
        <v>14625</v>
      </c>
      <c r="M807" s="5" t="s">
        <v>1560</v>
      </c>
      <c r="N807" s="5" t="s">
        <v>1558</v>
      </c>
      <c r="O807" s="13">
        <v>43773</v>
      </c>
      <c r="P807" t="s">
        <v>8734</v>
      </c>
    </row>
    <row r="808" spans="1:16" x14ac:dyDescent="0.15">
      <c r="A808" s="5" t="s">
        <v>205</v>
      </c>
      <c r="B808" s="5" t="s">
        <v>1563</v>
      </c>
      <c r="C808" s="5" t="s">
        <v>1595</v>
      </c>
      <c r="D808" s="5" t="s">
        <v>1693</v>
      </c>
      <c r="E808" s="5" t="s">
        <v>37</v>
      </c>
      <c r="F808" s="12">
        <v>43774.727418981478</v>
      </c>
      <c r="G808" t="s">
        <v>8734</v>
      </c>
      <c r="H808" s="5" t="s">
        <v>1051</v>
      </c>
      <c r="I808" s="6">
        <v>1950</v>
      </c>
      <c r="J808" s="5" t="s">
        <v>15</v>
      </c>
      <c r="K808" s="6">
        <v>7.5</v>
      </c>
      <c r="L808" s="6">
        <v>14625</v>
      </c>
      <c r="M808" s="5" t="s">
        <v>1560</v>
      </c>
      <c r="N808" s="5" t="s">
        <v>1558</v>
      </c>
      <c r="O808" s="13">
        <v>43774</v>
      </c>
      <c r="P808" t="s">
        <v>8734</v>
      </c>
    </row>
    <row r="809" spans="1:16" x14ac:dyDescent="0.15">
      <c r="A809" s="5" t="s">
        <v>207</v>
      </c>
      <c r="B809" s="5" t="s">
        <v>1563</v>
      </c>
      <c r="C809" s="5" t="s">
        <v>1660</v>
      </c>
      <c r="D809" s="5" t="s">
        <v>1693</v>
      </c>
      <c r="E809" s="5" t="s">
        <v>37</v>
      </c>
      <c r="F809" s="12">
        <v>43775.690972222219</v>
      </c>
      <c r="G809" t="s">
        <v>8734</v>
      </c>
      <c r="H809" s="5" t="s">
        <v>1055</v>
      </c>
      <c r="I809" s="6">
        <v>487.5</v>
      </c>
      <c r="J809" s="5" t="s">
        <v>15</v>
      </c>
      <c r="K809" s="6">
        <v>7</v>
      </c>
      <c r="L809" s="6">
        <v>3412.5</v>
      </c>
      <c r="M809" s="5" t="s">
        <v>1560</v>
      </c>
      <c r="N809" s="5" t="s">
        <v>1558</v>
      </c>
      <c r="O809" s="13">
        <v>43774</v>
      </c>
      <c r="P809" t="s">
        <v>8734</v>
      </c>
    </row>
    <row r="810" spans="1:16" x14ac:dyDescent="0.15">
      <c r="A810" s="5" t="s">
        <v>208</v>
      </c>
      <c r="B810" s="5" t="s">
        <v>1563</v>
      </c>
      <c r="C810" s="5" t="s">
        <v>1684</v>
      </c>
      <c r="D810" s="5" t="s">
        <v>1693</v>
      </c>
      <c r="E810" s="5" t="s">
        <v>37</v>
      </c>
      <c r="F810" s="12">
        <v>43775.69840277778</v>
      </c>
      <c r="G810" t="s">
        <v>8734</v>
      </c>
      <c r="H810" s="5" t="s">
        <v>1056</v>
      </c>
      <c r="I810" s="6">
        <v>6045</v>
      </c>
      <c r="J810" s="5" t="s">
        <v>15</v>
      </c>
      <c r="K810" s="6">
        <v>7.5</v>
      </c>
      <c r="L810" s="6">
        <v>45337.5</v>
      </c>
      <c r="M810" s="5" t="s">
        <v>1560</v>
      </c>
      <c r="N810" s="5" t="s">
        <v>1558</v>
      </c>
      <c r="O810" s="13">
        <v>43774</v>
      </c>
      <c r="P810" t="s">
        <v>8734</v>
      </c>
    </row>
    <row r="811" spans="1:16" x14ac:dyDescent="0.15">
      <c r="A811" s="5" t="s">
        <v>209</v>
      </c>
      <c r="B811" s="5" t="s">
        <v>1563</v>
      </c>
      <c r="C811" s="5" t="s">
        <v>1571</v>
      </c>
      <c r="D811" s="5" t="s">
        <v>1693</v>
      </c>
      <c r="E811" s="5" t="s">
        <v>37</v>
      </c>
      <c r="F811" s="12">
        <v>43775.705358796295</v>
      </c>
      <c r="G811" t="s">
        <v>8734</v>
      </c>
      <c r="H811" s="5" t="s">
        <v>1057</v>
      </c>
      <c r="I811" s="6">
        <v>2145</v>
      </c>
      <c r="J811" s="5" t="s">
        <v>15</v>
      </c>
      <c r="K811" s="6">
        <v>7</v>
      </c>
      <c r="L811" s="6">
        <v>15015</v>
      </c>
      <c r="M811" s="5" t="s">
        <v>1560</v>
      </c>
      <c r="N811" s="5" t="s">
        <v>1558</v>
      </c>
      <c r="O811" s="13">
        <v>43774</v>
      </c>
      <c r="P811" t="s">
        <v>8734</v>
      </c>
    </row>
    <row r="812" spans="1:16" x14ac:dyDescent="0.15">
      <c r="A812" s="5" t="s">
        <v>210</v>
      </c>
      <c r="B812" s="5" t="s">
        <v>1563</v>
      </c>
      <c r="C812" s="5" t="s">
        <v>1574</v>
      </c>
      <c r="D812" s="5" t="s">
        <v>1693</v>
      </c>
      <c r="E812" s="5" t="s">
        <v>37</v>
      </c>
      <c r="F812" s="12">
        <v>43775.710601851853</v>
      </c>
      <c r="G812" t="s">
        <v>8734</v>
      </c>
      <c r="H812" s="5" t="s">
        <v>1058</v>
      </c>
      <c r="I812" s="6">
        <v>5070</v>
      </c>
      <c r="J812" s="5" t="s">
        <v>15</v>
      </c>
      <c r="K812" s="6">
        <v>7.5</v>
      </c>
      <c r="L812" s="6">
        <v>38025</v>
      </c>
      <c r="M812" s="5" t="s">
        <v>1560</v>
      </c>
      <c r="N812" s="5" t="s">
        <v>1558</v>
      </c>
      <c r="O812" s="13">
        <v>43775</v>
      </c>
      <c r="P812" t="s">
        <v>8734</v>
      </c>
    </row>
    <row r="813" spans="1:16" x14ac:dyDescent="0.15">
      <c r="A813" s="5" t="s">
        <v>1059</v>
      </c>
      <c r="B813" s="5" t="s">
        <v>1563</v>
      </c>
      <c r="C813" s="5" t="s">
        <v>1639</v>
      </c>
      <c r="D813" s="5" t="s">
        <v>1693</v>
      </c>
      <c r="E813" s="5" t="s">
        <v>37</v>
      </c>
      <c r="F813" s="12">
        <v>43775.71665509259</v>
      </c>
      <c r="G813" t="s">
        <v>8734</v>
      </c>
      <c r="H813" s="5" t="s">
        <v>1060</v>
      </c>
      <c r="I813" s="6">
        <v>2535</v>
      </c>
      <c r="J813" s="5" t="s">
        <v>15</v>
      </c>
      <c r="K813" s="6">
        <v>7</v>
      </c>
      <c r="L813" s="6">
        <v>17745</v>
      </c>
      <c r="M813" s="5" t="s">
        <v>1560</v>
      </c>
      <c r="N813" s="5" t="s">
        <v>1558</v>
      </c>
      <c r="O813" s="13">
        <v>43775</v>
      </c>
      <c r="P813" t="s">
        <v>8734</v>
      </c>
    </row>
    <row r="814" spans="1:16" x14ac:dyDescent="0.15">
      <c r="A814" s="5" t="s">
        <v>211</v>
      </c>
      <c r="B814" s="5" t="s">
        <v>1563</v>
      </c>
      <c r="C814" s="5" t="s">
        <v>1612</v>
      </c>
      <c r="D814" s="5" t="s">
        <v>1693</v>
      </c>
      <c r="E814" s="5" t="s">
        <v>37</v>
      </c>
      <c r="F814" s="12">
        <v>43775.735138888886</v>
      </c>
      <c r="G814" t="s">
        <v>8734</v>
      </c>
      <c r="H814" s="5" t="s">
        <v>1062</v>
      </c>
      <c r="I814" s="6">
        <v>15015</v>
      </c>
      <c r="J814" s="5" t="s">
        <v>15</v>
      </c>
      <c r="K814" s="6">
        <v>7</v>
      </c>
      <c r="L814" s="6">
        <v>105105</v>
      </c>
      <c r="M814" s="5" t="s">
        <v>1560</v>
      </c>
      <c r="N814" s="5" t="s">
        <v>1558</v>
      </c>
      <c r="O814" s="13">
        <v>43775</v>
      </c>
      <c r="P814" t="s">
        <v>8734</v>
      </c>
    </row>
    <row r="815" spans="1:16" x14ac:dyDescent="0.15">
      <c r="A815" s="5" t="s">
        <v>1063</v>
      </c>
      <c r="B815" s="5" t="s">
        <v>1563</v>
      </c>
      <c r="C815" s="5" t="s">
        <v>1651</v>
      </c>
      <c r="D815" s="5" t="s">
        <v>1693</v>
      </c>
      <c r="E815" s="5" t="s">
        <v>37</v>
      </c>
      <c r="F815" s="12">
        <v>43775.910833333335</v>
      </c>
      <c r="G815" t="s">
        <v>8734</v>
      </c>
      <c r="H815" s="5" t="s">
        <v>1065</v>
      </c>
      <c r="I815" s="6">
        <v>292.5</v>
      </c>
      <c r="J815" s="5" t="s">
        <v>15</v>
      </c>
      <c r="K815" s="6">
        <v>7.5</v>
      </c>
      <c r="L815" s="6">
        <v>2193.75</v>
      </c>
      <c r="M815" s="5" t="s">
        <v>1560</v>
      </c>
      <c r="N815" s="5" t="s">
        <v>1558</v>
      </c>
      <c r="O815" s="13">
        <v>43775</v>
      </c>
      <c r="P815" t="s">
        <v>8734</v>
      </c>
    </row>
    <row r="816" spans="1:16" x14ac:dyDescent="0.15">
      <c r="A816" s="5" t="s">
        <v>213</v>
      </c>
      <c r="B816" s="5" t="s">
        <v>1563</v>
      </c>
      <c r="C816" s="5" t="s">
        <v>1588</v>
      </c>
      <c r="D816" s="5" t="s">
        <v>1693</v>
      </c>
      <c r="E816" s="5" t="s">
        <v>37</v>
      </c>
      <c r="F816" s="12">
        <v>43781.672048611108</v>
      </c>
      <c r="G816" t="s">
        <v>8734</v>
      </c>
      <c r="H816" s="5" t="s">
        <v>1068</v>
      </c>
      <c r="I816" s="6">
        <v>23010</v>
      </c>
      <c r="J816" s="5" t="s">
        <v>15</v>
      </c>
      <c r="K816" s="6">
        <v>7.5</v>
      </c>
      <c r="L816" s="6">
        <v>172575</v>
      </c>
      <c r="M816" s="5" t="s">
        <v>1560</v>
      </c>
      <c r="N816" s="5" t="s">
        <v>1558</v>
      </c>
      <c r="O816" s="13">
        <v>43777</v>
      </c>
      <c r="P816" t="s">
        <v>8734</v>
      </c>
    </row>
    <row r="817" spans="1:16" x14ac:dyDescent="0.15">
      <c r="A817" s="5" t="s">
        <v>214</v>
      </c>
      <c r="B817" s="5" t="s">
        <v>1563</v>
      </c>
      <c r="C817" s="5" t="s">
        <v>1648</v>
      </c>
      <c r="D817" s="5" t="s">
        <v>1693</v>
      </c>
      <c r="E817" s="5" t="s">
        <v>37</v>
      </c>
      <c r="F817" s="12">
        <v>43776.81009259259</v>
      </c>
      <c r="G817" t="s">
        <v>8734</v>
      </c>
      <c r="H817" s="5" t="s">
        <v>1070</v>
      </c>
      <c r="I817" s="6">
        <v>20865</v>
      </c>
      <c r="J817" s="5" t="s">
        <v>15</v>
      </c>
      <c r="K817" s="6">
        <v>7</v>
      </c>
      <c r="L817" s="6">
        <v>146055</v>
      </c>
      <c r="M817" s="5" t="s">
        <v>1560</v>
      </c>
      <c r="N817" s="5" t="s">
        <v>1558</v>
      </c>
      <c r="O817" s="13">
        <v>43776</v>
      </c>
      <c r="P817" t="s">
        <v>8734</v>
      </c>
    </row>
    <row r="818" spans="1:16" x14ac:dyDescent="0.15">
      <c r="A818" s="5" t="s">
        <v>218</v>
      </c>
      <c r="B818" s="5" t="s">
        <v>1563</v>
      </c>
      <c r="C818" s="5" t="s">
        <v>1577</v>
      </c>
      <c r="D818" s="5" t="s">
        <v>1693</v>
      </c>
      <c r="E818" s="5" t="s">
        <v>37</v>
      </c>
      <c r="F818" s="12">
        <v>43781.702037037037</v>
      </c>
      <c r="G818" t="s">
        <v>8734</v>
      </c>
      <c r="H818" s="5" t="s">
        <v>1075</v>
      </c>
      <c r="I818" s="6">
        <v>10920</v>
      </c>
      <c r="J818" s="5" t="s">
        <v>15</v>
      </c>
      <c r="K818" s="6">
        <v>7.5</v>
      </c>
      <c r="L818" s="6">
        <v>81900</v>
      </c>
      <c r="M818" s="5" t="s">
        <v>1560</v>
      </c>
      <c r="N818" s="5" t="s">
        <v>1558</v>
      </c>
      <c r="O818" s="13">
        <v>43776</v>
      </c>
      <c r="P818" t="s">
        <v>8734</v>
      </c>
    </row>
    <row r="819" spans="1:16" x14ac:dyDescent="0.15">
      <c r="A819" s="5" t="s">
        <v>220</v>
      </c>
      <c r="B819" s="5" t="s">
        <v>1563</v>
      </c>
      <c r="C819" s="5" t="s">
        <v>1571</v>
      </c>
      <c r="D819" s="5" t="s">
        <v>1693</v>
      </c>
      <c r="E819" s="5" t="s">
        <v>37</v>
      </c>
      <c r="F819" s="12">
        <v>43782.709537037037</v>
      </c>
      <c r="G819" t="s">
        <v>8734</v>
      </c>
      <c r="H819" s="5" t="s">
        <v>1077</v>
      </c>
      <c r="I819" s="6">
        <v>2340</v>
      </c>
      <c r="J819" s="5" t="s">
        <v>15</v>
      </c>
      <c r="K819" s="6">
        <v>7</v>
      </c>
      <c r="L819" s="6">
        <v>16380</v>
      </c>
      <c r="M819" s="5" t="s">
        <v>1560</v>
      </c>
      <c r="N819" s="5" t="s">
        <v>1558</v>
      </c>
      <c r="O819" s="13">
        <v>43782</v>
      </c>
      <c r="P819" t="s">
        <v>8734</v>
      </c>
    </row>
    <row r="820" spans="1:16" x14ac:dyDescent="0.15">
      <c r="A820" s="5" t="s">
        <v>1079</v>
      </c>
      <c r="B820" s="5" t="s">
        <v>1563</v>
      </c>
      <c r="C820" s="5" t="s">
        <v>1662</v>
      </c>
      <c r="D820" s="5" t="s">
        <v>1693</v>
      </c>
      <c r="E820" s="5" t="s">
        <v>37</v>
      </c>
      <c r="F820" s="12">
        <v>43783.659803240742</v>
      </c>
      <c r="G820" t="s">
        <v>8734</v>
      </c>
      <c r="H820" s="5" t="s">
        <v>1080</v>
      </c>
      <c r="I820" s="6">
        <v>3900</v>
      </c>
      <c r="J820" s="5" t="s">
        <v>15</v>
      </c>
      <c r="K820" s="6">
        <v>7.5</v>
      </c>
      <c r="L820" s="6">
        <v>29250</v>
      </c>
      <c r="M820" s="5" t="s">
        <v>1560</v>
      </c>
      <c r="N820" s="5" t="s">
        <v>1558</v>
      </c>
      <c r="O820" s="13">
        <v>43783</v>
      </c>
      <c r="P820" t="s">
        <v>8734</v>
      </c>
    </row>
    <row r="821" spans="1:16" x14ac:dyDescent="0.15">
      <c r="A821" s="5" t="s">
        <v>225</v>
      </c>
      <c r="B821" s="5" t="s">
        <v>1563</v>
      </c>
      <c r="C821" s="5" t="s">
        <v>1577</v>
      </c>
      <c r="D821" s="5" t="s">
        <v>1693</v>
      </c>
      <c r="E821" s="5" t="s">
        <v>37</v>
      </c>
      <c r="F821" s="12">
        <v>43783.74590277778</v>
      </c>
      <c r="G821" t="s">
        <v>8734</v>
      </c>
      <c r="H821" s="5" t="s">
        <v>1084</v>
      </c>
      <c r="I821" s="6">
        <v>1950</v>
      </c>
      <c r="J821" s="5" t="s">
        <v>15</v>
      </c>
      <c r="K821" s="6">
        <v>7.5</v>
      </c>
      <c r="L821" s="6">
        <v>14625</v>
      </c>
      <c r="M821" s="5" t="s">
        <v>1560</v>
      </c>
      <c r="N821" s="5" t="s">
        <v>1558</v>
      </c>
      <c r="O821" s="13">
        <v>43783</v>
      </c>
      <c r="P821" t="s">
        <v>8734</v>
      </c>
    </row>
    <row r="822" spans="1:16" x14ac:dyDescent="0.15">
      <c r="A822" s="5" t="s">
        <v>227</v>
      </c>
      <c r="B822" s="5" t="s">
        <v>1563</v>
      </c>
      <c r="C822" s="5" t="s">
        <v>1594</v>
      </c>
      <c r="D822" s="5" t="s">
        <v>1693</v>
      </c>
      <c r="E822" s="5" t="s">
        <v>37</v>
      </c>
      <c r="F822" s="12">
        <v>43787.662303240744</v>
      </c>
      <c r="G822" t="s">
        <v>8734</v>
      </c>
      <c r="H822" s="5" t="s">
        <v>1086</v>
      </c>
      <c r="I822" s="6">
        <v>2535</v>
      </c>
      <c r="J822" s="5" t="s">
        <v>15</v>
      </c>
      <c r="K822" s="6">
        <v>7</v>
      </c>
      <c r="L822" s="6">
        <v>17745</v>
      </c>
      <c r="M822" s="5" t="s">
        <v>1560</v>
      </c>
      <c r="N822" s="5" t="s">
        <v>1558</v>
      </c>
      <c r="O822" s="13">
        <v>43787</v>
      </c>
      <c r="P822" t="s">
        <v>8734</v>
      </c>
    </row>
    <row r="823" spans="1:16" x14ac:dyDescent="0.15">
      <c r="A823" s="5" t="s">
        <v>228</v>
      </c>
      <c r="B823" s="5" t="s">
        <v>1563</v>
      </c>
      <c r="C823" s="5" t="s">
        <v>1685</v>
      </c>
      <c r="D823" s="5" t="s">
        <v>1693</v>
      </c>
      <c r="E823" s="5" t="s">
        <v>37</v>
      </c>
      <c r="F823" s="12">
        <v>43787.814108796294</v>
      </c>
      <c r="G823" t="s">
        <v>8734</v>
      </c>
      <c r="H823" s="5" t="s">
        <v>1090</v>
      </c>
      <c r="I823" s="6">
        <v>975</v>
      </c>
      <c r="J823" s="5" t="s">
        <v>15</v>
      </c>
      <c r="K823" s="6">
        <v>7.5</v>
      </c>
      <c r="L823" s="6">
        <v>7312.5</v>
      </c>
      <c r="M823" s="5" t="s">
        <v>1560</v>
      </c>
      <c r="N823" s="5" t="s">
        <v>1558</v>
      </c>
      <c r="O823" s="13">
        <v>43787</v>
      </c>
      <c r="P823" t="s">
        <v>8734</v>
      </c>
    </row>
    <row r="824" spans="1:16" x14ac:dyDescent="0.15">
      <c r="A824" s="5" t="s">
        <v>229</v>
      </c>
      <c r="B824" s="5" t="s">
        <v>1563</v>
      </c>
      <c r="C824" s="5" t="s">
        <v>1600</v>
      </c>
      <c r="D824" s="5" t="s">
        <v>1693</v>
      </c>
      <c r="E824" s="5" t="s">
        <v>37</v>
      </c>
      <c r="F824" s="12">
        <v>43787.846562500003</v>
      </c>
      <c r="G824" t="s">
        <v>8734</v>
      </c>
      <c r="H824" s="5" t="s">
        <v>1091</v>
      </c>
      <c r="I824" s="6">
        <v>3900</v>
      </c>
      <c r="J824" s="5" t="s">
        <v>15</v>
      </c>
      <c r="K824" s="6">
        <v>6</v>
      </c>
      <c r="L824" s="6">
        <v>23400</v>
      </c>
      <c r="M824" s="5" t="s">
        <v>1560</v>
      </c>
      <c r="N824" s="5" t="s">
        <v>1558</v>
      </c>
      <c r="O824" s="13">
        <v>43790</v>
      </c>
      <c r="P824" t="s">
        <v>8734</v>
      </c>
    </row>
    <row r="825" spans="1:16" x14ac:dyDescent="0.15">
      <c r="A825" s="5" t="s">
        <v>1095</v>
      </c>
      <c r="B825" s="5" t="s">
        <v>1563</v>
      </c>
      <c r="C825" s="5" t="s">
        <v>1571</v>
      </c>
      <c r="D825" s="5" t="s">
        <v>1693</v>
      </c>
      <c r="E825" s="5" t="s">
        <v>37</v>
      </c>
      <c r="F825" s="12">
        <v>43790.615729166668</v>
      </c>
      <c r="G825" t="s">
        <v>8734</v>
      </c>
      <c r="H825" s="5" t="s">
        <v>1097</v>
      </c>
      <c r="I825" s="6">
        <v>292.5</v>
      </c>
      <c r="J825" s="5" t="s">
        <v>15</v>
      </c>
      <c r="K825" s="6">
        <v>7.8900000000000006</v>
      </c>
      <c r="L825" s="6">
        <v>2307.83</v>
      </c>
      <c r="M825" s="5" t="s">
        <v>1560</v>
      </c>
      <c r="N825" s="5" t="s">
        <v>1558</v>
      </c>
      <c r="O825" s="13">
        <v>43788</v>
      </c>
      <c r="P825" t="s">
        <v>8734</v>
      </c>
    </row>
    <row r="826" spans="1:16" x14ac:dyDescent="0.15">
      <c r="A826" s="5" t="s">
        <v>232</v>
      </c>
      <c r="B826" s="5" t="s">
        <v>1563</v>
      </c>
      <c r="C826" s="5" t="s">
        <v>1594</v>
      </c>
      <c r="D826" s="5" t="s">
        <v>1693</v>
      </c>
      <c r="E826" s="5" t="s">
        <v>37</v>
      </c>
      <c r="F826" s="12">
        <v>43790.620347222219</v>
      </c>
      <c r="G826" t="s">
        <v>8734</v>
      </c>
      <c r="H826" s="5" t="s">
        <v>1098</v>
      </c>
      <c r="I826" s="6">
        <v>2340</v>
      </c>
      <c r="J826" s="5" t="s">
        <v>15</v>
      </c>
      <c r="K826" s="6">
        <v>7</v>
      </c>
      <c r="L826" s="6">
        <v>16380</v>
      </c>
      <c r="M826" s="5" t="s">
        <v>1560</v>
      </c>
      <c r="N826" s="5" t="s">
        <v>1558</v>
      </c>
      <c r="O826" s="13">
        <v>43788</v>
      </c>
      <c r="P826" t="s">
        <v>8734</v>
      </c>
    </row>
    <row r="827" spans="1:16" x14ac:dyDescent="0.15">
      <c r="A827" s="5" t="s">
        <v>235</v>
      </c>
      <c r="B827" s="5" t="s">
        <v>1563</v>
      </c>
      <c r="C827" s="5" t="s">
        <v>1577</v>
      </c>
      <c r="D827" s="5" t="s">
        <v>1693</v>
      </c>
      <c r="E827" s="5" t="s">
        <v>37</v>
      </c>
      <c r="F827" s="12">
        <v>43790.666203703702</v>
      </c>
      <c r="G827" t="s">
        <v>8734</v>
      </c>
      <c r="H827" s="5" t="s">
        <v>1108</v>
      </c>
      <c r="I827" s="6">
        <v>2437.5</v>
      </c>
      <c r="J827" s="5" t="s">
        <v>15</v>
      </c>
      <c r="K827" s="6">
        <v>7.5</v>
      </c>
      <c r="L827" s="6">
        <v>18281.25</v>
      </c>
      <c r="M827" s="5" t="s">
        <v>1560</v>
      </c>
      <c r="N827" s="5" t="s">
        <v>1558</v>
      </c>
      <c r="O827" s="13">
        <v>43790</v>
      </c>
      <c r="P827" t="s">
        <v>8734</v>
      </c>
    </row>
    <row r="828" spans="1:16" x14ac:dyDescent="0.15">
      <c r="A828" s="5" t="s">
        <v>236</v>
      </c>
      <c r="B828" s="5" t="s">
        <v>1563</v>
      </c>
      <c r="C828" s="5" t="s">
        <v>1649</v>
      </c>
      <c r="D828" s="5" t="s">
        <v>1693</v>
      </c>
      <c r="E828" s="5" t="s">
        <v>37</v>
      </c>
      <c r="F828" s="12">
        <v>43796.61378472222</v>
      </c>
      <c r="G828" t="s">
        <v>8734</v>
      </c>
      <c r="H828" s="5" t="s">
        <v>1115</v>
      </c>
      <c r="I828" s="6">
        <v>195</v>
      </c>
      <c r="J828" s="5" t="s">
        <v>15</v>
      </c>
      <c r="K828" s="6">
        <v>8.5</v>
      </c>
      <c r="L828" s="6">
        <v>1657.5</v>
      </c>
      <c r="M828" s="5" t="s">
        <v>1560</v>
      </c>
      <c r="N828" s="5" t="s">
        <v>1558</v>
      </c>
      <c r="O828" s="13">
        <v>43795</v>
      </c>
      <c r="P828" t="s">
        <v>8734</v>
      </c>
    </row>
    <row r="829" spans="1:16" x14ac:dyDescent="0.15">
      <c r="A829" s="5" t="s">
        <v>237</v>
      </c>
      <c r="B829" s="5" t="s">
        <v>1563</v>
      </c>
      <c r="C829" s="5" t="s">
        <v>1604</v>
      </c>
      <c r="D829" s="5" t="s">
        <v>1693</v>
      </c>
      <c r="E829" s="5" t="s">
        <v>37</v>
      </c>
      <c r="F829" s="12">
        <v>43796.615925925929</v>
      </c>
      <c r="G829" t="s">
        <v>8734</v>
      </c>
      <c r="H829" s="5" t="s">
        <v>1116</v>
      </c>
      <c r="I829" s="6">
        <v>7995</v>
      </c>
      <c r="J829" s="5" t="s">
        <v>15</v>
      </c>
      <c r="K829" s="6">
        <v>7.5</v>
      </c>
      <c r="L829" s="6">
        <v>59962.5</v>
      </c>
      <c r="M829" s="5" t="s">
        <v>1560</v>
      </c>
      <c r="N829" s="5" t="s">
        <v>1558</v>
      </c>
      <c r="O829" s="13">
        <v>43795</v>
      </c>
      <c r="P829" t="s">
        <v>8734</v>
      </c>
    </row>
    <row r="830" spans="1:16" x14ac:dyDescent="0.15">
      <c r="A830" s="5" t="s">
        <v>1120</v>
      </c>
      <c r="B830" s="5" t="s">
        <v>1563</v>
      </c>
      <c r="C830" s="5" t="s">
        <v>1662</v>
      </c>
      <c r="D830" s="5" t="s">
        <v>1693</v>
      </c>
      <c r="E830" s="5" t="s">
        <v>37</v>
      </c>
      <c r="F830" s="12">
        <v>43796.808946759258</v>
      </c>
      <c r="G830" t="s">
        <v>8734</v>
      </c>
      <c r="H830" s="5" t="s">
        <v>1121</v>
      </c>
      <c r="I830" s="6">
        <v>9750</v>
      </c>
      <c r="J830" s="5" t="s">
        <v>15</v>
      </c>
      <c r="K830" s="6">
        <v>7.5</v>
      </c>
      <c r="L830" s="6">
        <v>73125</v>
      </c>
      <c r="M830" s="5" t="s">
        <v>1560</v>
      </c>
      <c r="N830" s="5" t="s">
        <v>1558</v>
      </c>
      <c r="O830" s="13">
        <v>43796</v>
      </c>
      <c r="P830" t="s">
        <v>8734</v>
      </c>
    </row>
    <row r="831" spans="1:16" x14ac:dyDescent="0.15">
      <c r="A831" s="5" t="s">
        <v>1122</v>
      </c>
      <c r="B831" s="5" t="s">
        <v>1563</v>
      </c>
      <c r="C831" s="5" t="s">
        <v>1600</v>
      </c>
      <c r="D831" s="5" t="s">
        <v>1693</v>
      </c>
      <c r="E831" s="5" t="s">
        <v>37</v>
      </c>
      <c r="F831" s="12">
        <v>43796.812013888892</v>
      </c>
      <c r="G831" t="s">
        <v>8734</v>
      </c>
      <c r="H831" s="5" t="s">
        <v>1123</v>
      </c>
      <c r="I831" s="6">
        <v>9750</v>
      </c>
      <c r="J831" s="5" t="s">
        <v>15</v>
      </c>
      <c r="K831" s="6">
        <v>6</v>
      </c>
      <c r="L831" s="6">
        <v>58500</v>
      </c>
      <c r="M831" s="5" t="s">
        <v>1560</v>
      </c>
      <c r="N831" s="5" t="s">
        <v>1558</v>
      </c>
      <c r="O831" s="13">
        <v>43796</v>
      </c>
      <c r="P831" t="s">
        <v>8734</v>
      </c>
    </row>
    <row r="832" spans="1:16" x14ac:dyDescent="0.15">
      <c r="A832" s="5" t="s">
        <v>241</v>
      </c>
      <c r="B832" s="5" t="s">
        <v>1563</v>
      </c>
      <c r="C832" s="5" t="s">
        <v>1588</v>
      </c>
      <c r="D832" s="5" t="s">
        <v>1693</v>
      </c>
      <c r="E832" s="5" t="s">
        <v>37</v>
      </c>
      <c r="F832" s="12">
        <v>43796.814085648148</v>
      </c>
      <c r="G832" t="s">
        <v>8734</v>
      </c>
      <c r="H832" s="5" t="s">
        <v>1125</v>
      </c>
      <c r="I832" s="6">
        <v>7800</v>
      </c>
      <c r="J832" s="5" t="s">
        <v>15</v>
      </c>
      <c r="K832" s="6">
        <v>7.5</v>
      </c>
      <c r="L832" s="6">
        <v>58500</v>
      </c>
      <c r="M832" s="5" t="s">
        <v>1560</v>
      </c>
      <c r="N832" s="5" t="s">
        <v>1558</v>
      </c>
      <c r="O832" s="13">
        <v>43796</v>
      </c>
      <c r="P832" t="s">
        <v>8734</v>
      </c>
    </row>
    <row r="833" spans="1:16" x14ac:dyDescent="0.15">
      <c r="A833" s="5" t="s">
        <v>243</v>
      </c>
      <c r="B833" s="5" t="s">
        <v>1563</v>
      </c>
      <c r="C833" s="5" t="s">
        <v>1595</v>
      </c>
      <c r="D833" s="5" t="s">
        <v>1693</v>
      </c>
      <c r="E833" s="5" t="s">
        <v>37</v>
      </c>
      <c r="F833" s="12">
        <v>43796.835370370369</v>
      </c>
      <c r="G833" t="s">
        <v>8734</v>
      </c>
      <c r="H833" s="5" t="s">
        <v>1127</v>
      </c>
      <c r="I833" s="6">
        <v>1950</v>
      </c>
      <c r="J833" s="5" t="s">
        <v>15</v>
      </c>
      <c r="K833" s="6">
        <v>7.5</v>
      </c>
      <c r="L833" s="6">
        <v>14625</v>
      </c>
      <c r="M833" s="5" t="s">
        <v>1560</v>
      </c>
      <c r="N833" s="5" t="s">
        <v>1558</v>
      </c>
      <c r="O833" s="13">
        <v>43796</v>
      </c>
      <c r="P833" t="s">
        <v>8734</v>
      </c>
    </row>
    <row r="834" spans="1:16" x14ac:dyDescent="0.15">
      <c r="A834" s="5" t="s">
        <v>244</v>
      </c>
      <c r="B834" s="5" t="s">
        <v>1563</v>
      </c>
      <c r="C834" s="5" t="s">
        <v>1571</v>
      </c>
      <c r="D834" s="5" t="s">
        <v>1693</v>
      </c>
      <c r="E834" s="5" t="s">
        <v>37</v>
      </c>
      <c r="F834" s="12">
        <v>43796.837442129632</v>
      </c>
      <c r="G834" t="s">
        <v>8734</v>
      </c>
      <c r="H834" s="5" t="s">
        <v>1128</v>
      </c>
      <c r="I834" s="6">
        <v>1170</v>
      </c>
      <c r="J834" s="5" t="s">
        <v>15</v>
      </c>
      <c r="K834" s="6">
        <v>6.83</v>
      </c>
      <c r="L834" s="6">
        <v>7991.1</v>
      </c>
      <c r="M834" s="5" t="s">
        <v>1560</v>
      </c>
      <c r="N834" s="5" t="s">
        <v>1558</v>
      </c>
      <c r="O834" s="13">
        <v>43796</v>
      </c>
      <c r="P834" t="s">
        <v>8734</v>
      </c>
    </row>
    <row r="835" spans="1:16" x14ac:dyDescent="0.15">
      <c r="A835" s="5" t="s">
        <v>245</v>
      </c>
      <c r="B835" s="5" t="s">
        <v>1563</v>
      </c>
      <c r="C835" s="5" t="s">
        <v>1600</v>
      </c>
      <c r="D835" s="5" t="s">
        <v>1693</v>
      </c>
      <c r="E835" s="5" t="s">
        <v>37</v>
      </c>
      <c r="F835" s="12">
        <v>43798.657997685186</v>
      </c>
      <c r="G835" t="s">
        <v>8734</v>
      </c>
      <c r="H835" s="5" t="s">
        <v>1131</v>
      </c>
      <c r="I835" s="6">
        <v>-9750</v>
      </c>
      <c r="J835" s="5" t="s">
        <v>15</v>
      </c>
      <c r="K835" s="6">
        <v>6</v>
      </c>
      <c r="L835" s="6">
        <v>-58500</v>
      </c>
      <c r="M835" s="5" t="s">
        <v>1560</v>
      </c>
      <c r="N835" s="5" t="s">
        <v>1558</v>
      </c>
      <c r="O835" s="13">
        <v>43798</v>
      </c>
      <c r="P835" t="s">
        <v>8734</v>
      </c>
    </row>
    <row r="836" spans="1:16" x14ac:dyDescent="0.15">
      <c r="A836" s="5" t="s">
        <v>247</v>
      </c>
      <c r="B836" s="5" t="s">
        <v>1563</v>
      </c>
      <c r="C836" s="5" t="s">
        <v>1648</v>
      </c>
      <c r="D836" s="5" t="s">
        <v>1693</v>
      </c>
      <c r="E836" s="5" t="s">
        <v>37</v>
      </c>
      <c r="F836" s="12">
        <v>43801.627928240741</v>
      </c>
      <c r="G836" t="s">
        <v>8735</v>
      </c>
      <c r="H836" s="5" t="s">
        <v>1134</v>
      </c>
      <c r="I836" s="6">
        <v>13650</v>
      </c>
      <c r="J836" s="5" t="s">
        <v>15</v>
      </c>
      <c r="K836" s="6">
        <v>7</v>
      </c>
      <c r="L836" s="6">
        <v>95550</v>
      </c>
      <c r="M836" s="5" t="s">
        <v>1560</v>
      </c>
      <c r="N836" s="5" t="s">
        <v>1558</v>
      </c>
      <c r="O836" s="13">
        <v>43801</v>
      </c>
      <c r="P836" t="s">
        <v>8735</v>
      </c>
    </row>
    <row r="837" spans="1:16" x14ac:dyDescent="0.15">
      <c r="A837" s="5" t="s">
        <v>248</v>
      </c>
      <c r="B837" s="5" t="s">
        <v>1563</v>
      </c>
      <c r="C837" s="5" t="s">
        <v>1572</v>
      </c>
      <c r="D837" s="5" t="s">
        <v>1693</v>
      </c>
      <c r="E837" s="5" t="s">
        <v>37</v>
      </c>
      <c r="F837" s="12">
        <v>43801.63208333333</v>
      </c>
      <c r="G837" t="s">
        <v>8735</v>
      </c>
      <c r="H837" s="5" t="s">
        <v>1136</v>
      </c>
      <c r="I837" s="6">
        <v>2827.5</v>
      </c>
      <c r="J837" s="5" t="s">
        <v>15</v>
      </c>
      <c r="K837" s="6">
        <v>7.5</v>
      </c>
      <c r="L837" s="6">
        <v>21206.25</v>
      </c>
      <c r="M837" s="5" t="s">
        <v>1560</v>
      </c>
      <c r="N837" s="5" t="s">
        <v>1558</v>
      </c>
      <c r="O837" s="13">
        <v>43801</v>
      </c>
      <c r="P837" t="s">
        <v>8735</v>
      </c>
    </row>
    <row r="838" spans="1:16" x14ac:dyDescent="0.15">
      <c r="A838" s="5" t="s">
        <v>249</v>
      </c>
      <c r="B838" s="5" t="s">
        <v>1563</v>
      </c>
      <c r="C838" s="5" t="s">
        <v>1675</v>
      </c>
      <c r="D838" s="5" t="s">
        <v>1693</v>
      </c>
      <c r="E838" s="5" t="s">
        <v>37</v>
      </c>
      <c r="F838" s="12">
        <v>43801.636261574073</v>
      </c>
      <c r="G838" t="s">
        <v>8735</v>
      </c>
      <c r="H838" s="5" t="s">
        <v>1137</v>
      </c>
      <c r="I838" s="6">
        <v>1950</v>
      </c>
      <c r="J838" s="5" t="s">
        <v>15</v>
      </c>
      <c r="K838" s="6">
        <v>7.5</v>
      </c>
      <c r="L838" s="6">
        <v>14625</v>
      </c>
      <c r="M838" s="5" t="s">
        <v>1560</v>
      </c>
      <c r="N838" s="5" t="s">
        <v>1558</v>
      </c>
      <c r="O838" s="13">
        <v>43801</v>
      </c>
      <c r="P838" t="s">
        <v>8735</v>
      </c>
    </row>
    <row r="839" spans="1:16" x14ac:dyDescent="0.15">
      <c r="A839" s="5" t="s">
        <v>250</v>
      </c>
      <c r="B839" s="5" t="s">
        <v>1563</v>
      </c>
      <c r="C839" s="5" t="s">
        <v>1651</v>
      </c>
      <c r="D839" s="5" t="s">
        <v>1693</v>
      </c>
      <c r="E839" s="5" t="s">
        <v>37</v>
      </c>
      <c r="F839" s="12">
        <v>43801.657453703701</v>
      </c>
      <c r="G839" t="s">
        <v>8735</v>
      </c>
      <c r="H839" s="5" t="s">
        <v>1138</v>
      </c>
      <c r="I839" s="6">
        <v>780</v>
      </c>
      <c r="J839" s="5" t="s">
        <v>15</v>
      </c>
      <c r="K839" s="6">
        <v>7.5</v>
      </c>
      <c r="L839" s="6">
        <v>5850</v>
      </c>
      <c r="M839" s="5" t="s">
        <v>1560</v>
      </c>
      <c r="N839" s="5" t="s">
        <v>1558</v>
      </c>
      <c r="O839" s="13">
        <v>43801</v>
      </c>
      <c r="P839" t="s">
        <v>8735</v>
      </c>
    </row>
    <row r="840" spans="1:16" x14ac:dyDescent="0.15">
      <c r="A840" s="5" t="s">
        <v>252</v>
      </c>
      <c r="B840" s="5" t="s">
        <v>1563</v>
      </c>
      <c r="C840" s="5" t="s">
        <v>1600</v>
      </c>
      <c r="D840" s="5" t="s">
        <v>1693</v>
      </c>
      <c r="E840" s="5" t="s">
        <v>37</v>
      </c>
      <c r="F840" s="12">
        <v>43802.672650462962</v>
      </c>
      <c r="G840" t="s">
        <v>8735</v>
      </c>
      <c r="H840" s="5" t="s">
        <v>1142</v>
      </c>
      <c r="I840" s="6">
        <v>9750</v>
      </c>
      <c r="J840" s="5" t="s">
        <v>15</v>
      </c>
      <c r="K840" s="6">
        <v>6</v>
      </c>
      <c r="L840" s="6">
        <v>58500</v>
      </c>
      <c r="M840" s="5" t="s">
        <v>1560</v>
      </c>
      <c r="N840" s="5" t="s">
        <v>1558</v>
      </c>
      <c r="O840" s="13">
        <v>43801</v>
      </c>
      <c r="P840" t="s">
        <v>8735</v>
      </c>
    </row>
    <row r="841" spans="1:16" x14ac:dyDescent="0.15">
      <c r="A841" s="5" t="s">
        <v>253</v>
      </c>
      <c r="B841" s="5" t="s">
        <v>1563</v>
      </c>
      <c r="C841" s="5" t="s">
        <v>1638</v>
      </c>
      <c r="D841" s="5" t="s">
        <v>1693</v>
      </c>
      <c r="E841" s="5" t="s">
        <v>37</v>
      </c>
      <c r="F841" s="12">
        <v>43802.676469907405</v>
      </c>
      <c r="G841" t="s">
        <v>8735</v>
      </c>
      <c r="H841" s="5" t="s">
        <v>1144</v>
      </c>
      <c r="I841" s="6">
        <v>1462.5</v>
      </c>
      <c r="J841" s="5" t="s">
        <v>15</v>
      </c>
      <c r="K841" s="6">
        <v>7.7700000000000005</v>
      </c>
      <c r="L841" s="6">
        <v>11363.630000000001</v>
      </c>
      <c r="M841" s="5" t="s">
        <v>1560</v>
      </c>
      <c r="N841" s="5" t="s">
        <v>1558</v>
      </c>
      <c r="O841" s="13">
        <v>43802</v>
      </c>
      <c r="P841" t="s">
        <v>8735</v>
      </c>
    </row>
    <row r="842" spans="1:16" x14ac:dyDescent="0.15">
      <c r="A842" s="5" t="s">
        <v>255</v>
      </c>
      <c r="B842" s="5" t="s">
        <v>1563</v>
      </c>
      <c r="C842" s="5" t="s">
        <v>1572</v>
      </c>
      <c r="D842" s="5" t="s">
        <v>1693</v>
      </c>
      <c r="E842" s="5" t="s">
        <v>37</v>
      </c>
      <c r="F842" s="12">
        <v>43802.685868055552</v>
      </c>
      <c r="G842" t="s">
        <v>8735</v>
      </c>
      <c r="H842" s="5" t="s">
        <v>1146</v>
      </c>
      <c r="I842" s="6">
        <v>4777.5</v>
      </c>
      <c r="J842" s="5" t="s">
        <v>15</v>
      </c>
      <c r="K842" s="6">
        <v>7.5</v>
      </c>
      <c r="L842" s="6">
        <v>35831.25</v>
      </c>
      <c r="M842" s="5" t="s">
        <v>1560</v>
      </c>
      <c r="N842" s="5" t="s">
        <v>1558</v>
      </c>
      <c r="O842" s="13">
        <v>43802</v>
      </c>
      <c r="P842" t="s">
        <v>8735</v>
      </c>
    </row>
    <row r="843" spans="1:16" x14ac:dyDescent="0.15">
      <c r="A843" s="5" t="s">
        <v>256</v>
      </c>
      <c r="B843" s="5" t="s">
        <v>1563</v>
      </c>
      <c r="C843" s="5" t="s">
        <v>1588</v>
      </c>
      <c r="D843" s="5" t="s">
        <v>1693</v>
      </c>
      <c r="E843" s="5" t="s">
        <v>37</v>
      </c>
      <c r="F843" s="12">
        <v>43804.694247685184</v>
      </c>
      <c r="G843" t="s">
        <v>8735</v>
      </c>
      <c r="H843" s="5" t="s">
        <v>1150</v>
      </c>
      <c r="I843" s="6">
        <v>585</v>
      </c>
      <c r="J843" s="5" t="s">
        <v>15</v>
      </c>
      <c r="K843" s="6">
        <v>7.76</v>
      </c>
      <c r="L843" s="6">
        <v>4539.6000000000004</v>
      </c>
      <c r="M843" s="5" t="s">
        <v>1560</v>
      </c>
      <c r="N843" s="5" t="s">
        <v>1558</v>
      </c>
      <c r="O843" s="13">
        <v>43803</v>
      </c>
      <c r="P843" t="s">
        <v>8735</v>
      </c>
    </row>
    <row r="844" spans="1:16" x14ac:dyDescent="0.15">
      <c r="A844" s="5" t="s">
        <v>257</v>
      </c>
      <c r="B844" s="5" t="s">
        <v>1563</v>
      </c>
      <c r="C844" s="5" t="s">
        <v>1662</v>
      </c>
      <c r="D844" s="5" t="s">
        <v>1693</v>
      </c>
      <c r="E844" s="5" t="s">
        <v>37</v>
      </c>
      <c r="F844" s="12">
        <v>43804.700729166667</v>
      </c>
      <c r="G844" t="s">
        <v>8735</v>
      </c>
      <c r="H844" s="5" t="s">
        <v>1151</v>
      </c>
      <c r="I844" s="6">
        <v>10042.5</v>
      </c>
      <c r="J844" s="5" t="s">
        <v>15</v>
      </c>
      <c r="K844" s="6">
        <v>7.5</v>
      </c>
      <c r="L844" s="6">
        <v>75318.75</v>
      </c>
      <c r="M844" s="5" t="s">
        <v>1560</v>
      </c>
      <c r="N844" s="5" t="s">
        <v>1558</v>
      </c>
      <c r="O844" s="13">
        <v>43803</v>
      </c>
      <c r="P844" t="s">
        <v>8735</v>
      </c>
    </row>
    <row r="845" spans="1:16" x14ac:dyDescent="0.15">
      <c r="A845" s="5" t="s">
        <v>258</v>
      </c>
      <c r="B845" s="5" t="s">
        <v>1563</v>
      </c>
      <c r="C845" s="5" t="s">
        <v>1676</v>
      </c>
      <c r="D845" s="5" t="s">
        <v>1693</v>
      </c>
      <c r="E845" s="5" t="s">
        <v>37</v>
      </c>
      <c r="F845" s="12">
        <v>43804.724398148152</v>
      </c>
      <c r="G845" t="s">
        <v>8735</v>
      </c>
      <c r="H845" s="5" t="s">
        <v>1152</v>
      </c>
      <c r="I845" s="6">
        <v>2047.5</v>
      </c>
      <c r="J845" s="5" t="s">
        <v>15</v>
      </c>
      <c r="K845" s="6">
        <v>7.5</v>
      </c>
      <c r="L845" s="6">
        <v>15356.25</v>
      </c>
      <c r="M845" s="5" t="s">
        <v>1560</v>
      </c>
      <c r="N845" s="5" t="s">
        <v>1558</v>
      </c>
      <c r="O845" s="13">
        <v>43804</v>
      </c>
      <c r="P845" t="s">
        <v>8735</v>
      </c>
    </row>
    <row r="846" spans="1:16" x14ac:dyDescent="0.15">
      <c r="A846" s="5" t="s">
        <v>258</v>
      </c>
      <c r="B846" s="5" t="s">
        <v>1563</v>
      </c>
      <c r="C846" s="5" t="s">
        <v>1676</v>
      </c>
      <c r="D846" s="5" t="s">
        <v>1693</v>
      </c>
      <c r="E846" s="5" t="s">
        <v>37</v>
      </c>
      <c r="F846" s="12">
        <v>43804.732719907406</v>
      </c>
      <c r="G846" t="s">
        <v>8735</v>
      </c>
      <c r="H846" s="5" t="s">
        <v>1153</v>
      </c>
      <c r="I846" s="6">
        <v>-97.5</v>
      </c>
      <c r="J846" s="5" t="s">
        <v>15</v>
      </c>
      <c r="K846" s="6">
        <v>7.5</v>
      </c>
      <c r="L846" s="6">
        <v>-731.25</v>
      </c>
      <c r="M846" s="5" t="s">
        <v>1560</v>
      </c>
      <c r="N846" s="5" t="s">
        <v>1558</v>
      </c>
      <c r="O846" s="13">
        <v>43804</v>
      </c>
      <c r="P846" t="s">
        <v>8735</v>
      </c>
    </row>
    <row r="847" spans="1:16" x14ac:dyDescent="0.15">
      <c r="A847" s="5" t="s">
        <v>259</v>
      </c>
      <c r="B847" s="5" t="s">
        <v>1563</v>
      </c>
      <c r="C847" s="5" t="s">
        <v>1651</v>
      </c>
      <c r="D847" s="5" t="s">
        <v>1693</v>
      </c>
      <c r="E847" s="5" t="s">
        <v>37</v>
      </c>
      <c r="F847" s="12">
        <v>43808.626504629632</v>
      </c>
      <c r="G847" t="s">
        <v>8735</v>
      </c>
      <c r="H847" s="5" t="s">
        <v>1154</v>
      </c>
      <c r="I847" s="6">
        <v>195</v>
      </c>
      <c r="J847" s="5" t="s">
        <v>15</v>
      </c>
      <c r="K847" s="6">
        <v>7.5</v>
      </c>
      <c r="L847" s="6">
        <v>1462.5</v>
      </c>
      <c r="M847" s="5" t="s">
        <v>1560</v>
      </c>
      <c r="N847" s="5" t="s">
        <v>1558</v>
      </c>
      <c r="O847" s="13">
        <v>43805</v>
      </c>
      <c r="P847" t="s">
        <v>8735</v>
      </c>
    </row>
    <row r="848" spans="1:16" x14ac:dyDescent="0.15">
      <c r="A848" s="5" t="s">
        <v>1155</v>
      </c>
      <c r="B848" s="5" t="s">
        <v>1563</v>
      </c>
      <c r="C848" s="5" t="s">
        <v>1662</v>
      </c>
      <c r="D848" s="5" t="s">
        <v>1693</v>
      </c>
      <c r="E848" s="5" t="s">
        <v>37</v>
      </c>
      <c r="F848" s="12">
        <v>43808.636192129627</v>
      </c>
      <c r="G848" t="s">
        <v>8735</v>
      </c>
      <c r="H848" s="5" t="s">
        <v>1156</v>
      </c>
      <c r="I848" s="6">
        <v>10042.5</v>
      </c>
      <c r="J848" s="5" t="s">
        <v>15</v>
      </c>
      <c r="K848" s="6">
        <v>7.5</v>
      </c>
      <c r="L848" s="6">
        <v>75318.75</v>
      </c>
      <c r="M848" s="5" t="s">
        <v>1560</v>
      </c>
      <c r="N848" s="5" t="s">
        <v>1558</v>
      </c>
      <c r="O848" s="13">
        <v>43808</v>
      </c>
      <c r="P848" t="s">
        <v>8735</v>
      </c>
    </row>
    <row r="849" spans="1:16" x14ac:dyDescent="0.15">
      <c r="A849" s="5" t="s">
        <v>260</v>
      </c>
      <c r="B849" s="5" t="s">
        <v>1563</v>
      </c>
      <c r="C849" s="5" t="s">
        <v>1580</v>
      </c>
      <c r="D849" s="5" t="s">
        <v>1693</v>
      </c>
      <c r="E849" s="5" t="s">
        <v>37</v>
      </c>
      <c r="F849" s="12">
        <v>43810.662499999999</v>
      </c>
      <c r="G849" t="s">
        <v>8735</v>
      </c>
      <c r="H849" s="5" t="s">
        <v>1157</v>
      </c>
      <c r="I849" s="6">
        <v>975</v>
      </c>
      <c r="J849" s="5" t="s">
        <v>15</v>
      </c>
      <c r="K849" s="6">
        <v>7.5</v>
      </c>
      <c r="L849" s="6">
        <v>7312.5</v>
      </c>
      <c r="M849" s="5" t="s">
        <v>1560</v>
      </c>
      <c r="N849" s="5" t="s">
        <v>1558</v>
      </c>
      <c r="O849" s="13">
        <v>43810</v>
      </c>
      <c r="P849" t="s">
        <v>8735</v>
      </c>
    </row>
    <row r="850" spans="1:16" x14ac:dyDescent="0.15">
      <c r="A850" s="5" t="s">
        <v>262</v>
      </c>
      <c r="B850" s="5" t="s">
        <v>1563</v>
      </c>
      <c r="C850" s="5" t="s">
        <v>1686</v>
      </c>
      <c r="D850" s="5" t="s">
        <v>1693</v>
      </c>
      <c r="E850" s="5" t="s">
        <v>37</v>
      </c>
      <c r="F850" s="12">
        <v>43810.857106481482</v>
      </c>
      <c r="G850" t="s">
        <v>8735</v>
      </c>
      <c r="H850" s="5" t="s">
        <v>1161</v>
      </c>
      <c r="I850" s="6">
        <v>780</v>
      </c>
      <c r="J850" s="5" t="s">
        <v>15</v>
      </c>
      <c r="K850" s="6">
        <v>8.5</v>
      </c>
      <c r="L850" s="6">
        <v>6630</v>
      </c>
      <c r="M850" s="5" t="s">
        <v>1560</v>
      </c>
      <c r="N850" s="5" t="s">
        <v>1558</v>
      </c>
      <c r="O850" s="13">
        <v>43810</v>
      </c>
      <c r="P850" t="s">
        <v>8735</v>
      </c>
    </row>
    <row r="851" spans="1:16" x14ac:dyDescent="0.15">
      <c r="A851" s="5" t="s">
        <v>263</v>
      </c>
      <c r="B851" s="5" t="s">
        <v>1563</v>
      </c>
      <c r="C851" s="5" t="s">
        <v>1686</v>
      </c>
      <c r="D851" s="5" t="s">
        <v>1693</v>
      </c>
      <c r="E851" s="5" t="s">
        <v>37</v>
      </c>
      <c r="F851" s="12">
        <v>43810.859594907408</v>
      </c>
      <c r="G851" t="s">
        <v>8735</v>
      </c>
      <c r="H851" s="5" t="s">
        <v>1162</v>
      </c>
      <c r="I851" s="6">
        <v>-780</v>
      </c>
      <c r="J851" s="5" t="s">
        <v>15</v>
      </c>
      <c r="K851" s="6">
        <v>8.5</v>
      </c>
      <c r="L851" s="6">
        <v>-6630</v>
      </c>
      <c r="M851" s="5" t="s">
        <v>1560</v>
      </c>
      <c r="N851" s="5" t="s">
        <v>1558</v>
      </c>
      <c r="O851" s="13">
        <v>43810</v>
      </c>
      <c r="P851" t="s">
        <v>8735</v>
      </c>
    </row>
    <row r="852" spans="1:16" x14ac:dyDescent="0.15">
      <c r="A852" s="5" t="s">
        <v>264</v>
      </c>
      <c r="B852" s="5" t="s">
        <v>1563</v>
      </c>
      <c r="C852" s="5" t="s">
        <v>1686</v>
      </c>
      <c r="D852" s="5" t="s">
        <v>1693</v>
      </c>
      <c r="E852" s="5" t="s">
        <v>37</v>
      </c>
      <c r="F852" s="12">
        <v>43810.861250000002</v>
      </c>
      <c r="G852" t="s">
        <v>8735</v>
      </c>
      <c r="H852" s="5" t="s">
        <v>1163</v>
      </c>
      <c r="I852" s="6">
        <v>780</v>
      </c>
      <c r="J852" s="5" t="s">
        <v>15</v>
      </c>
      <c r="K852" s="6">
        <v>8</v>
      </c>
      <c r="L852" s="6">
        <v>6240</v>
      </c>
      <c r="M852" s="5" t="s">
        <v>1560</v>
      </c>
      <c r="N852" s="5" t="s">
        <v>1558</v>
      </c>
      <c r="O852" s="13">
        <v>43810</v>
      </c>
      <c r="P852" t="s">
        <v>8735</v>
      </c>
    </row>
    <row r="853" spans="1:16" x14ac:dyDescent="0.15">
      <c r="A853" s="5" t="s">
        <v>268</v>
      </c>
      <c r="B853" s="5" t="s">
        <v>1563</v>
      </c>
      <c r="C853" s="5" t="s">
        <v>1649</v>
      </c>
      <c r="D853" s="5" t="s">
        <v>1693</v>
      </c>
      <c r="E853" s="5" t="s">
        <v>37</v>
      </c>
      <c r="F853" s="12">
        <v>43811.734456018516</v>
      </c>
      <c r="G853" t="s">
        <v>8735</v>
      </c>
      <c r="H853" s="5" t="s">
        <v>1167</v>
      </c>
      <c r="I853" s="6">
        <v>1072.5</v>
      </c>
      <c r="J853" s="5" t="s">
        <v>15</v>
      </c>
      <c r="K853" s="6">
        <v>7.8599999999999994</v>
      </c>
      <c r="L853" s="6">
        <v>8429.85</v>
      </c>
      <c r="M853" s="5" t="s">
        <v>1560</v>
      </c>
      <c r="N853" s="5" t="s">
        <v>1558</v>
      </c>
      <c r="O853" s="13">
        <v>43811</v>
      </c>
      <c r="P853" t="s">
        <v>8735</v>
      </c>
    </row>
    <row r="854" spans="1:16" x14ac:dyDescent="0.15">
      <c r="A854" s="5" t="s">
        <v>1171</v>
      </c>
      <c r="B854" s="5" t="s">
        <v>1563</v>
      </c>
      <c r="C854" s="5" t="s">
        <v>1600</v>
      </c>
      <c r="D854" s="5" t="s">
        <v>1693</v>
      </c>
      <c r="E854" s="5" t="s">
        <v>37</v>
      </c>
      <c r="F854" s="12">
        <v>43815.662719907406</v>
      </c>
      <c r="G854" t="s">
        <v>8735</v>
      </c>
      <c r="H854" s="5" t="s">
        <v>1173</v>
      </c>
      <c r="I854" s="6">
        <v>12675</v>
      </c>
      <c r="J854" s="5" t="s">
        <v>15</v>
      </c>
      <c r="K854" s="6">
        <v>6</v>
      </c>
      <c r="L854" s="6">
        <v>76050</v>
      </c>
      <c r="M854" s="5" t="s">
        <v>1560</v>
      </c>
      <c r="N854" s="5" t="s">
        <v>1558</v>
      </c>
      <c r="O854" s="13">
        <v>43816</v>
      </c>
      <c r="P854" t="s">
        <v>8735</v>
      </c>
    </row>
    <row r="855" spans="1:16" x14ac:dyDescent="0.15">
      <c r="A855" s="5" t="s">
        <v>271</v>
      </c>
      <c r="B855" s="5" t="s">
        <v>1563</v>
      </c>
      <c r="C855" s="5" t="s">
        <v>1686</v>
      </c>
      <c r="D855" s="5" t="s">
        <v>1693</v>
      </c>
      <c r="E855" s="5" t="s">
        <v>37</v>
      </c>
      <c r="F855" s="12">
        <v>43819.811203703706</v>
      </c>
      <c r="G855" t="s">
        <v>8735</v>
      </c>
      <c r="H855" s="5" t="s">
        <v>1174</v>
      </c>
      <c r="I855" s="6">
        <v>-780</v>
      </c>
      <c r="J855" s="5" t="s">
        <v>15</v>
      </c>
      <c r="K855" s="6">
        <v>8</v>
      </c>
      <c r="L855" s="6">
        <v>-6240</v>
      </c>
      <c r="M855" s="5" t="s">
        <v>1560</v>
      </c>
      <c r="N855" s="5" t="s">
        <v>1558</v>
      </c>
      <c r="O855" s="13">
        <v>43819</v>
      </c>
      <c r="P855" t="s">
        <v>8735</v>
      </c>
    </row>
    <row r="856" spans="1:16" x14ac:dyDescent="0.15">
      <c r="A856" s="5" t="s">
        <v>1195</v>
      </c>
      <c r="B856" s="5" t="s">
        <v>1562</v>
      </c>
      <c r="C856" s="5" t="s">
        <v>1566</v>
      </c>
      <c r="D856" s="5" t="s">
        <v>1692</v>
      </c>
      <c r="E856" s="5" t="s">
        <v>53</v>
      </c>
      <c r="F856" s="12">
        <v>43493.728888888887</v>
      </c>
      <c r="G856" t="s">
        <v>8733</v>
      </c>
      <c r="H856" s="5" t="s">
        <v>1197</v>
      </c>
      <c r="I856" s="6">
        <v>11700</v>
      </c>
      <c r="J856" s="5" t="s">
        <v>15</v>
      </c>
      <c r="K856" s="6">
        <v>0.63</v>
      </c>
      <c r="L856" s="6">
        <v>7371</v>
      </c>
      <c r="M856" s="5" t="s">
        <v>1557</v>
      </c>
      <c r="N856" s="5" t="s">
        <v>1558</v>
      </c>
      <c r="O856" s="13">
        <v>43493</v>
      </c>
      <c r="P856" t="s">
        <v>8733</v>
      </c>
    </row>
    <row r="857" spans="1:16" x14ac:dyDescent="0.15">
      <c r="A857" s="5" t="s">
        <v>1302</v>
      </c>
      <c r="B857" s="5" t="s">
        <v>1562</v>
      </c>
      <c r="C857" s="5" t="s">
        <v>1566</v>
      </c>
      <c r="D857" s="5" t="s">
        <v>1694</v>
      </c>
      <c r="E857" s="5" t="s">
        <v>53</v>
      </c>
      <c r="F857" s="12">
        <v>43508.957615740743</v>
      </c>
      <c r="G857" t="s">
        <v>8724</v>
      </c>
      <c r="H857" s="5" t="s">
        <v>1303</v>
      </c>
      <c r="I857" s="6">
        <v>4095</v>
      </c>
      <c r="J857" s="5" t="s">
        <v>15</v>
      </c>
      <c r="K857" s="6">
        <v>0.63</v>
      </c>
      <c r="L857" s="6">
        <v>2579.85</v>
      </c>
      <c r="M857" s="5" t="s">
        <v>1557</v>
      </c>
      <c r="N857" s="5" t="s">
        <v>1558</v>
      </c>
      <c r="O857" s="13">
        <v>43511</v>
      </c>
      <c r="P857" t="s">
        <v>8724</v>
      </c>
    </row>
    <row r="858" spans="1:16" x14ac:dyDescent="0.15">
      <c r="A858" s="5" t="s">
        <v>1305</v>
      </c>
      <c r="B858" s="5" t="s">
        <v>1562</v>
      </c>
      <c r="C858" s="5" t="s">
        <v>1566</v>
      </c>
      <c r="D858" s="5" t="s">
        <v>1694</v>
      </c>
      <c r="E858" s="5" t="s">
        <v>53</v>
      </c>
      <c r="F858" s="12">
        <v>43510.973923611113</v>
      </c>
      <c r="G858" t="s">
        <v>8724</v>
      </c>
      <c r="H858" s="5" t="s">
        <v>1306</v>
      </c>
      <c r="I858" s="6">
        <v>6435</v>
      </c>
      <c r="J858" s="5" t="s">
        <v>15</v>
      </c>
      <c r="K858" s="6">
        <v>0.63</v>
      </c>
      <c r="L858" s="6">
        <v>4054.05</v>
      </c>
      <c r="M858" s="5" t="s">
        <v>1557</v>
      </c>
      <c r="N858" s="5" t="s">
        <v>1558</v>
      </c>
      <c r="O858" s="13">
        <v>43515</v>
      </c>
      <c r="P858" t="s">
        <v>8724</v>
      </c>
    </row>
    <row r="859" spans="1:16" x14ac:dyDescent="0.15">
      <c r="A859" s="5" t="s">
        <v>1308</v>
      </c>
      <c r="B859" s="5" t="s">
        <v>1562</v>
      </c>
      <c r="C859" s="5" t="s">
        <v>1566</v>
      </c>
      <c r="D859" s="5" t="s">
        <v>1694</v>
      </c>
      <c r="E859" s="5" t="s">
        <v>53</v>
      </c>
      <c r="F859" s="12">
        <v>43557.719548611109</v>
      </c>
      <c r="G859" t="s">
        <v>8726</v>
      </c>
      <c r="H859" s="5" t="s">
        <v>1309</v>
      </c>
      <c r="I859" s="6">
        <v>25350</v>
      </c>
      <c r="J859" s="5" t="s">
        <v>15</v>
      </c>
      <c r="K859" s="6">
        <v>0.67</v>
      </c>
      <c r="L859" s="6">
        <v>16984.5</v>
      </c>
      <c r="M859" s="5" t="s">
        <v>1557</v>
      </c>
      <c r="N859" s="5" t="s">
        <v>1558</v>
      </c>
      <c r="O859" s="13">
        <v>43558</v>
      </c>
      <c r="P859" t="s">
        <v>8726</v>
      </c>
    </row>
    <row r="860" spans="1:16" x14ac:dyDescent="0.15">
      <c r="A860" s="5" t="s">
        <v>1310</v>
      </c>
      <c r="B860" s="5" t="s">
        <v>1562</v>
      </c>
      <c r="C860" s="5" t="s">
        <v>1566</v>
      </c>
      <c r="D860" s="5" t="s">
        <v>1694</v>
      </c>
      <c r="E860" s="5" t="s">
        <v>53</v>
      </c>
      <c r="F860" s="12">
        <v>43573.897835648146</v>
      </c>
      <c r="G860" t="s">
        <v>8726</v>
      </c>
      <c r="H860" s="5" t="s">
        <v>1311</v>
      </c>
      <c r="I860" s="6">
        <v>27885</v>
      </c>
      <c r="J860" s="5" t="s">
        <v>15</v>
      </c>
      <c r="K860" s="6">
        <v>0.64</v>
      </c>
      <c r="L860" s="6">
        <v>17846.400000000001</v>
      </c>
      <c r="M860" s="5" t="s">
        <v>1557</v>
      </c>
      <c r="N860" s="5" t="s">
        <v>1558</v>
      </c>
      <c r="O860" s="13">
        <v>43573</v>
      </c>
      <c r="P860" t="s">
        <v>8726</v>
      </c>
    </row>
    <row r="861" spans="1:16" x14ac:dyDescent="0.15">
      <c r="A861" s="5" t="s">
        <v>1330</v>
      </c>
      <c r="B861" s="5" t="s">
        <v>1562</v>
      </c>
      <c r="C861" s="5" t="s">
        <v>1566</v>
      </c>
      <c r="D861" s="5" t="s">
        <v>1694</v>
      </c>
      <c r="E861" s="5" t="s">
        <v>53</v>
      </c>
      <c r="F861" s="12">
        <v>43712.61010416667</v>
      </c>
      <c r="G861" t="s">
        <v>8731</v>
      </c>
      <c r="H861" s="5" t="s">
        <v>1331</v>
      </c>
      <c r="I861" s="6">
        <v>27885</v>
      </c>
      <c r="J861" s="5" t="s">
        <v>15</v>
      </c>
      <c r="K861" s="6">
        <v>0.64</v>
      </c>
      <c r="L861" s="6">
        <v>17846.400000000001</v>
      </c>
      <c r="M861" s="5" t="s">
        <v>1557</v>
      </c>
      <c r="N861" s="5" t="s">
        <v>1558</v>
      </c>
      <c r="O861" s="13">
        <v>43724</v>
      </c>
      <c r="P861" t="s">
        <v>8731</v>
      </c>
    </row>
    <row r="862" spans="1:16" x14ac:dyDescent="0.15">
      <c r="A862" s="5" t="s">
        <v>1332</v>
      </c>
      <c r="B862" s="5" t="s">
        <v>1562</v>
      </c>
      <c r="C862" s="5" t="s">
        <v>1566</v>
      </c>
      <c r="D862" s="5" t="s">
        <v>1694</v>
      </c>
      <c r="E862" s="5" t="s">
        <v>53</v>
      </c>
      <c r="F862" s="12">
        <v>43760.729942129627</v>
      </c>
      <c r="G862" t="s">
        <v>8732</v>
      </c>
      <c r="H862" s="5" t="s">
        <v>1333</v>
      </c>
      <c r="I862" s="6">
        <v>27885</v>
      </c>
      <c r="J862" s="5" t="s">
        <v>15</v>
      </c>
      <c r="K862" s="6">
        <v>0.65</v>
      </c>
      <c r="L862" s="6">
        <v>18125.25</v>
      </c>
      <c r="M862" s="5" t="s">
        <v>1557</v>
      </c>
      <c r="N862" s="5" t="s">
        <v>1558</v>
      </c>
      <c r="O862" s="13">
        <v>43766</v>
      </c>
      <c r="P862" t="s">
        <v>8732</v>
      </c>
    </row>
    <row r="863" spans="1:16" x14ac:dyDescent="0.15">
      <c r="A863" s="5" t="s">
        <v>1334</v>
      </c>
      <c r="B863" s="5" t="s">
        <v>1562</v>
      </c>
      <c r="C863" s="5" t="s">
        <v>1566</v>
      </c>
      <c r="D863" s="5" t="s">
        <v>1694</v>
      </c>
      <c r="E863" s="5" t="s">
        <v>53</v>
      </c>
      <c r="F863" s="12">
        <v>43804.828912037039</v>
      </c>
      <c r="G863" t="s">
        <v>8735</v>
      </c>
      <c r="H863" s="5" t="s">
        <v>1335</v>
      </c>
      <c r="I863" s="6">
        <v>11700</v>
      </c>
      <c r="J863" s="5" t="s">
        <v>15</v>
      </c>
      <c r="K863" s="6">
        <v>0.65</v>
      </c>
      <c r="L863" s="6">
        <v>7605</v>
      </c>
      <c r="M863" s="5" t="s">
        <v>1557</v>
      </c>
      <c r="N863" s="5" t="s">
        <v>1558</v>
      </c>
      <c r="O863" s="13">
        <v>43805</v>
      </c>
      <c r="P863" t="s">
        <v>8735</v>
      </c>
    </row>
    <row r="864" spans="1:16" x14ac:dyDescent="0.15">
      <c r="A864" s="5" t="s">
        <v>1444</v>
      </c>
      <c r="B864" s="5" t="s">
        <v>1562</v>
      </c>
      <c r="C864" s="5" t="s">
        <v>1566</v>
      </c>
      <c r="D864" s="5" t="s">
        <v>1701</v>
      </c>
      <c r="E864" s="5" t="s">
        <v>53</v>
      </c>
      <c r="F864" s="12">
        <v>43654.650312500002</v>
      </c>
      <c r="G864" t="s">
        <v>8729</v>
      </c>
      <c r="H864" s="5" t="s">
        <v>1445</v>
      </c>
      <c r="I864" s="6">
        <v>9750</v>
      </c>
      <c r="J864" s="5" t="s">
        <v>15</v>
      </c>
      <c r="K864" s="6">
        <v>0.64</v>
      </c>
      <c r="L864" s="6">
        <v>6240</v>
      </c>
      <c r="M864" s="5" t="s">
        <v>1557</v>
      </c>
      <c r="N864" s="5" t="s">
        <v>1558</v>
      </c>
      <c r="O864" s="13">
        <v>43677</v>
      </c>
      <c r="P864" t="s">
        <v>8729</v>
      </c>
    </row>
    <row r="865" spans="1:16" x14ac:dyDescent="0.15">
      <c r="A865" s="5" t="s">
        <v>364</v>
      </c>
      <c r="B865" s="5" t="s">
        <v>1563</v>
      </c>
      <c r="C865" s="5" t="s">
        <v>1620</v>
      </c>
      <c r="D865" s="5" t="s">
        <v>1693</v>
      </c>
      <c r="E865" s="5" t="s">
        <v>53</v>
      </c>
      <c r="F865" s="12">
        <v>43571.587210648147</v>
      </c>
      <c r="G865" t="s">
        <v>8726</v>
      </c>
      <c r="H865" s="5" t="s">
        <v>366</v>
      </c>
      <c r="I865" s="6">
        <v>390</v>
      </c>
      <c r="J865" s="5" t="s">
        <v>15</v>
      </c>
      <c r="K865" s="6">
        <v>6.7</v>
      </c>
      <c r="L865" s="6">
        <v>2613</v>
      </c>
      <c r="M865" s="5" t="s">
        <v>1560</v>
      </c>
      <c r="N865" s="5" t="s">
        <v>1558</v>
      </c>
      <c r="O865" s="13">
        <v>43571</v>
      </c>
      <c r="P865" t="s">
        <v>8726</v>
      </c>
    </row>
    <row r="866" spans="1:16" x14ac:dyDescent="0.15">
      <c r="A866" s="5" t="s">
        <v>437</v>
      </c>
      <c r="B866" s="5" t="s">
        <v>1564</v>
      </c>
      <c r="C866" s="5" t="s">
        <v>1634</v>
      </c>
      <c r="D866" s="5" t="s">
        <v>1705</v>
      </c>
      <c r="E866" s="5" t="s">
        <v>53</v>
      </c>
      <c r="F866" s="12">
        <v>43605.621053240742</v>
      </c>
      <c r="G866" t="s">
        <v>8727</v>
      </c>
      <c r="H866" s="5" t="s">
        <v>438</v>
      </c>
      <c r="I866" s="6">
        <v>15600</v>
      </c>
      <c r="J866" s="5" t="s">
        <v>15</v>
      </c>
      <c r="K866" s="6">
        <v>1.25</v>
      </c>
      <c r="L866" s="6">
        <v>19500</v>
      </c>
      <c r="M866" s="5" t="s">
        <v>1557</v>
      </c>
      <c r="N866" s="5" t="s">
        <v>1558</v>
      </c>
      <c r="O866" s="13">
        <v>43605</v>
      </c>
      <c r="P866" t="s">
        <v>8727</v>
      </c>
    </row>
    <row r="867" spans="1:16" x14ac:dyDescent="0.15">
      <c r="A867" s="5" t="s">
        <v>531</v>
      </c>
      <c r="B867" s="5" t="s">
        <v>1564</v>
      </c>
      <c r="C867" s="5" t="s">
        <v>1634</v>
      </c>
      <c r="D867" s="5" t="s">
        <v>1705</v>
      </c>
      <c r="E867" s="5" t="s">
        <v>53</v>
      </c>
      <c r="F867" s="12">
        <v>43643.668136574073</v>
      </c>
      <c r="G867" t="s">
        <v>8728</v>
      </c>
      <c r="H867" s="5" t="s">
        <v>533</v>
      </c>
      <c r="I867" s="6">
        <v>3900</v>
      </c>
      <c r="J867" s="5" t="s">
        <v>15</v>
      </c>
      <c r="K867" s="6">
        <v>1.25</v>
      </c>
      <c r="L867" s="6">
        <v>4875</v>
      </c>
      <c r="M867" s="5" t="s">
        <v>1557</v>
      </c>
      <c r="N867" s="5" t="s">
        <v>1558</v>
      </c>
      <c r="O867" s="13">
        <v>43643</v>
      </c>
      <c r="P867" t="s">
        <v>8728</v>
      </c>
    </row>
    <row r="868" spans="1:16" x14ac:dyDescent="0.15">
      <c r="A868" s="5" t="s">
        <v>553</v>
      </c>
      <c r="B868" s="5" t="s">
        <v>1563</v>
      </c>
      <c r="C868" s="5" t="s">
        <v>1678</v>
      </c>
      <c r="D868" s="5" t="s">
        <v>1693</v>
      </c>
      <c r="E868" s="5" t="s">
        <v>53</v>
      </c>
      <c r="F868" s="12">
        <v>43651.633275462962</v>
      </c>
      <c r="G868" t="s">
        <v>8729</v>
      </c>
      <c r="H868" s="5" t="s">
        <v>554</v>
      </c>
      <c r="I868" s="6">
        <v>97.5</v>
      </c>
      <c r="J868" s="5" t="s">
        <v>15</v>
      </c>
      <c r="K868" s="6">
        <v>11.5</v>
      </c>
      <c r="L868" s="6">
        <v>1121.25</v>
      </c>
      <c r="M868" s="5" t="s">
        <v>1560</v>
      </c>
      <c r="N868" s="5" t="s">
        <v>1558</v>
      </c>
      <c r="O868" s="13">
        <v>43650</v>
      </c>
      <c r="P868" t="s">
        <v>8729</v>
      </c>
    </row>
    <row r="869" spans="1:16" x14ac:dyDescent="0.15">
      <c r="A869" s="5" t="s">
        <v>581</v>
      </c>
      <c r="B869" s="5" t="s">
        <v>1563</v>
      </c>
      <c r="C869" s="5" t="s">
        <v>1572</v>
      </c>
      <c r="D869" s="5" t="s">
        <v>1693</v>
      </c>
      <c r="E869" s="5" t="s">
        <v>53</v>
      </c>
      <c r="F869" s="12">
        <v>43658.827557870369</v>
      </c>
      <c r="G869" t="s">
        <v>8729</v>
      </c>
      <c r="H869" s="5" t="s">
        <v>582</v>
      </c>
      <c r="I869" s="6">
        <v>5947.5</v>
      </c>
      <c r="J869" s="5" t="s">
        <v>15</v>
      </c>
      <c r="K869" s="6">
        <v>7</v>
      </c>
      <c r="L869" s="6">
        <v>41632.5</v>
      </c>
      <c r="M869" s="5" t="s">
        <v>1560</v>
      </c>
      <c r="N869" s="5" t="s">
        <v>1558</v>
      </c>
      <c r="O869" s="13">
        <v>43658</v>
      </c>
      <c r="P869" t="s">
        <v>8729</v>
      </c>
    </row>
    <row r="870" spans="1:16" x14ac:dyDescent="0.15">
      <c r="A870" s="5" t="s">
        <v>114</v>
      </c>
      <c r="B870" s="5" t="s">
        <v>1563</v>
      </c>
      <c r="C870" s="5" t="s">
        <v>1578</v>
      </c>
      <c r="D870" s="5" t="s">
        <v>1693</v>
      </c>
      <c r="E870" s="5" t="s">
        <v>53</v>
      </c>
      <c r="F870" s="12">
        <v>43699.777048611111</v>
      </c>
      <c r="G870" t="s">
        <v>8730</v>
      </c>
      <c r="H870" s="5" t="s">
        <v>764</v>
      </c>
      <c r="I870" s="6">
        <v>292.5</v>
      </c>
      <c r="J870" s="5" t="s">
        <v>15</v>
      </c>
      <c r="K870" s="6">
        <v>8.83</v>
      </c>
      <c r="L870" s="6">
        <v>2582.7800000000002</v>
      </c>
      <c r="M870" s="5" t="s">
        <v>1560</v>
      </c>
      <c r="N870" s="5" t="s">
        <v>1558</v>
      </c>
      <c r="O870" s="13">
        <v>43699</v>
      </c>
      <c r="P870" t="s">
        <v>8730</v>
      </c>
    </row>
    <row r="871" spans="1:16" x14ac:dyDescent="0.15">
      <c r="A871" s="5" t="s">
        <v>114</v>
      </c>
      <c r="B871" s="5" t="s">
        <v>1563</v>
      </c>
      <c r="C871" s="5" t="s">
        <v>1578</v>
      </c>
      <c r="D871" s="5" t="s">
        <v>1693</v>
      </c>
      <c r="E871" s="5" t="s">
        <v>53</v>
      </c>
      <c r="F871" s="12">
        <v>43700.571701388886</v>
      </c>
      <c r="G871" t="s">
        <v>8730</v>
      </c>
      <c r="H871" s="5" t="s">
        <v>765</v>
      </c>
      <c r="I871" s="6">
        <v>-292.5</v>
      </c>
      <c r="J871" s="5" t="s">
        <v>15</v>
      </c>
      <c r="K871" s="6">
        <v>8.83</v>
      </c>
      <c r="L871" s="6">
        <v>-2582.7800000000002</v>
      </c>
      <c r="M871" s="5" t="s">
        <v>1560</v>
      </c>
      <c r="N871" s="5" t="s">
        <v>1558</v>
      </c>
      <c r="O871" s="13">
        <v>43700</v>
      </c>
      <c r="P871" t="s">
        <v>8730</v>
      </c>
    </row>
    <row r="872" spans="1:16" x14ac:dyDescent="0.15">
      <c r="A872" s="5" t="s">
        <v>1015</v>
      </c>
      <c r="B872" s="5" t="s">
        <v>1564</v>
      </c>
      <c r="C872" s="5" t="s">
        <v>1634</v>
      </c>
      <c r="D872" s="5" t="s">
        <v>1705</v>
      </c>
      <c r="E872" s="5" t="s">
        <v>53</v>
      </c>
      <c r="F872" s="12">
        <v>43766.63590277778</v>
      </c>
      <c r="G872" t="s">
        <v>8732</v>
      </c>
      <c r="H872" s="5" t="s">
        <v>1017</v>
      </c>
      <c r="I872" s="6">
        <v>6630</v>
      </c>
      <c r="J872" s="5" t="s">
        <v>15</v>
      </c>
      <c r="K872" s="6">
        <v>1.25</v>
      </c>
      <c r="L872" s="6">
        <v>8287.5</v>
      </c>
      <c r="M872" s="5" t="s">
        <v>1557</v>
      </c>
      <c r="N872" s="5" t="s">
        <v>1558</v>
      </c>
      <c r="O872" s="13">
        <v>43766</v>
      </c>
      <c r="P872" t="s">
        <v>8732</v>
      </c>
    </row>
    <row r="873" spans="1:16" x14ac:dyDescent="0.15">
      <c r="A873" s="5" t="s">
        <v>1208</v>
      </c>
      <c r="B873" s="5" t="s">
        <v>1562</v>
      </c>
      <c r="C873" s="5" t="s">
        <v>1566</v>
      </c>
      <c r="D873" s="5" t="s">
        <v>1692</v>
      </c>
      <c r="E873" s="5" t="s">
        <v>158</v>
      </c>
      <c r="F873" s="12">
        <v>43523.786678240744</v>
      </c>
      <c r="G873" t="s">
        <v>8724</v>
      </c>
      <c r="H873" s="5" t="s">
        <v>1210</v>
      </c>
      <c r="I873" s="6">
        <v>8190</v>
      </c>
      <c r="J873" s="5" t="s">
        <v>15</v>
      </c>
      <c r="K873" s="6">
        <v>0.77</v>
      </c>
      <c r="L873" s="6">
        <v>6306.3</v>
      </c>
      <c r="M873" s="5" t="s">
        <v>1557</v>
      </c>
      <c r="N873" s="5" t="s">
        <v>1558</v>
      </c>
      <c r="O873" s="13">
        <v>43528</v>
      </c>
      <c r="P873" t="s">
        <v>8725</v>
      </c>
    </row>
    <row r="874" spans="1:16" x14ac:dyDescent="0.15">
      <c r="A874" s="5" t="s">
        <v>1213</v>
      </c>
      <c r="B874" s="5" t="s">
        <v>1562</v>
      </c>
      <c r="C874" s="5" t="s">
        <v>1566</v>
      </c>
      <c r="D874" s="5" t="s">
        <v>1707</v>
      </c>
      <c r="E874" s="5" t="s">
        <v>158</v>
      </c>
      <c r="F874" s="12">
        <v>43529.752060185187</v>
      </c>
      <c r="G874" t="s">
        <v>8725</v>
      </c>
      <c r="H874" s="5" t="s">
        <v>1214</v>
      </c>
      <c r="I874" s="6">
        <v>15210</v>
      </c>
      <c r="J874" s="5" t="s">
        <v>15</v>
      </c>
      <c r="K874" s="6">
        <v>0.77</v>
      </c>
      <c r="L874" s="6">
        <v>11711.7</v>
      </c>
      <c r="M874" s="5" t="s">
        <v>1557</v>
      </c>
      <c r="N874" s="5" t="s">
        <v>1558</v>
      </c>
      <c r="O874" s="13">
        <v>43536</v>
      </c>
      <c r="P874" t="s">
        <v>8725</v>
      </c>
    </row>
    <row r="875" spans="1:16" x14ac:dyDescent="0.15">
      <c r="A875" s="5" t="s">
        <v>1215</v>
      </c>
      <c r="B875" s="5" t="s">
        <v>1562</v>
      </c>
      <c r="C875" s="5" t="s">
        <v>1566</v>
      </c>
      <c r="D875" s="5" t="s">
        <v>1707</v>
      </c>
      <c r="E875" s="5" t="s">
        <v>158</v>
      </c>
      <c r="F875" s="12">
        <v>43529.752824074072</v>
      </c>
      <c r="G875" t="s">
        <v>8725</v>
      </c>
      <c r="H875" s="5" t="s">
        <v>1216</v>
      </c>
      <c r="I875" s="6">
        <v>2340</v>
      </c>
      <c r="J875" s="5" t="s">
        <v>15</v>
      </c>
      <c r="K875" s="6">
        <v>0.77</v>
      </c>
      <c r="L875" s="6">
        <v>1801.8</v>
      </c>
      <c r="M875" s="5" t="s">
        <v>1557</v>
      </c>
      <c r="N875" s="5" t="s">
        <v>1558</v>
      </c>
      <c r="O875" s="13">
        <v>43536</v>
      </c>
      <c r="P875" t="s">
        <v>8725</v>
      </c>
    </row>
    <row r="876" spans="1:16" x14ac:dyDescent="0.15">
      <c r="A876" s="5" t="s">
        <v>1262</v>
      </c>
      <c r="B876" s="5" t="s">
        <v>1562</v>
      </c>
      <c r="C876" s="5" t="s">
        <v>1566</v>
      </c>
      <c r="D876" s="5" t="s">
        <v>1692</v>
      </c>
      <c r="E876" s="5" t="s">
        <v>158</v>
      </c>
      <c r="F876" s="12">
        <v>43641.882418981484</v>
      </c>
      <c r="G876" t="s">
        <v>8728</v>
      </c>
      <c r="H876" s="5" t="s">
        <v>1264</v>
      </c>
      <c r="I876" s="6">
        <v>4680</v>
      </c>
      <c r="J876" s="5" t="s">
        <v>15</v>
      </c>
      <c r="K876" s="6">
        <v>0.77</v>
      </c>
      <c r="L876" s="6">
        <v>3603.6</v>
      </c>
      <c r="M876" s="5" t="s">
        <v>1557</v>
      </c>
      <c r="N876" s="5" t="s">
        <v>1558</v>
      </c>
      <c r="O876" s="13">
        <v>43647</v>
      </c>
      <c r="P876" t="s">
        <v>8729</v>
      </c>
    </row>
    <row r="877" spans="1:16" x14ac:dyDescent="0.15">
      <c r="A877" s="5" t="s">
        <v>1269</v>
      </c>
      <c r="B877" s="5" t="s">
        <v>1562</v>
      </c>
      <c r="C877" s="5" t="s">
        <v>1566</v>
      </c>
      <c r="D877" s="5" t="s">
        <v>1692</v>
      </c>
      <c r="E877" s="5" t="s">
        <v>158</v>
      </c>
      <c r="F877" s="12">
        <v>43664.738449074073</v>
      </c>
      <c r="G877" t="s">
        <v>8729</v>
      </c>
      <c r="H877" s="5" t="s">
        <v>1274</v>
      </c>
      <c r="I877" s="6">
        <v>2340</v>
      </c>
      <c r="J877" s="5" t="s">
        <v>15</v>
      </c>
      <c r="K877" s="6">
        <v>0.77</v>
      </c>
      <c r="L877" s="6">
        <v>1801.8</v>
      </c>
      <c r="M877" s="5" t="s">
        <v>1557</v>
      </c>
      <c r="N877" s="5" t="s">
        <v>1558</v>
      </c>
      <c r="O877" s="13">
        <v>43682</v>
      </c>
      <c r="P877" t="s">
        <v>8730</v>
      </c>
    </row>
    <row r="878" spans="1:16" x14ac:dyDescent="0.15">
      <c r="A878" s="5" t="s">
        <v>1285</v>
      </c>
      <c r="B878" s="5" t="s">
        <v>1562</v>
      </c>
      <c r="C878" s="5" t="s">
        <v>1566</v>
      </c>
      <c r="D878" s="5" t="s">
        <v>1692</v>
      </c>
      <c r="E878" s="5" t="s">
        <v>158</v>
      </c>
      <c r="F878" s="12">
        <v>43726.657048611109</v>
      </c>
      <c r="G878" t="s">
        <v>8731</v>
      </c>
      <c r="H878" s="5" t="s">
        <v>1288</v>
      </c>
      <c r="I878" s="6">
        <v>5850</v>
      </c>
      <c r="J878" s="5" t="s">
        <v>15</v>
      </c>
      <c r="K878" s="6">
        <v>0.76</v>
      </c>
      <c r="L878" s="6">
        <v>4446</v>
      </c>
      <c r="M878" s="5" t="s">
        <v>1557</v>
      </c>
      <c r="N878" s="5" t="s">
        <v>1558</v>
      </c>
      <c r="O878" s="13">
        <v>43745</v>
      </c>
      <c r="P878" t="s">
        <v>8732</v>
      </c>
    </row>
    <row r="879" spans="1:16" x14ac:dyDescent="0.15">
      <c r="A879" s="5" t="s">
        <v>424</v>
      </c>
      <c r="B879" s="5" t="s">
        <v>1563</v>
      </c>
      <c r="C879" s="5" t="s">
        <v>1576</v>
      </c>
      <c r="D879" s="5" t="s">
        <v>1693</v>
      </c>
      <c r="E879" s="5" t="s">
        <v>158</v>
      </c>
      <c r="F879" s="12">
        <v>43595.792557870373</v>
      </c>
      <c r="G879" t="s">
        <v>8727</v>
      </c>
      <c r="H879" s="5" t="s">
        <v>425</v>
      </c>
      <c r="I879" s="6">
        <v>780</v>
      </c>
      <c r="J879" s="5" t="s">
        <v>15</v>
      </c>
      <c r="K879" s="6">
        <v>8</v>
      </c>
      <c r="L879" s="6">
        <v>6240</v>
      </c>
      <c r="M879" s="5" t="s">
        <v>1560</v>
      </c>
      <c r="N879" s="5" t="s">
        <v>1558</v>
      </c>
      <c r="O879" s="13">
        <v>43595</v>
      </c>
      <c r="P879" t="s">
        <v>8727</v>
      </c>
    </row>
    <row r="880" spans="1:16" x14ac:dyDescent="0.15">
      <c r="A880" s="5" t="s">
        <v>450</v>
      </c>
      <c r="B880" s="5" t="s">
        <v>1563</v>
      </c>
      <c r="C880" s="5" t="s">
        <v>1687</v>
      </c>
      <c r="D880" s="5" t="s">
        <v>1693</v>
      </c>
      <c r="E880" s="5" t="s">
        <v>158</v>
      </c>
      <c r="F880" s="12">
        <v>43609.821979166663</v>
      </c>
      <c r="G880" t="s">
        <v>8727</v>
      </c>
      <c r="H880" s="5" t="s">
        <v>451</v>
      </c>
      <c r="I880" s="6">
        <v>5070</v>
      </c>
      <c r="J880" s="5" t="s">
        <v>15</v>
      </c>
      <c r="K880" s="6">
        <v>7.5</v>
      </c>
      <c r="L880" s="6">
        <v>38025</v>
      </c>
      <c r="M880" s="5" t="s">
        <v>1560</v>
      </c>
      <c r="N880" s="5" t="s">
        <v>1558</v>
      </c>
      <c r="O880" s="13">
        <v>43609</v>
      </c>
      <c r="P880" t="s">
        <v>8727</v>
      </c>
    </row>
    <row r="881" spans="1:16" x14ac:dyDescent="0.15">
      <c r="A881" s="5" t="s">
        <v>251</v>
      </c>
      <c r="B881" s="5" t="s">
        <v>1563</v>
      </c>
      <c r="C881" s="5" t="s">
        <v>1688</v>
      </c>
      <c r="D881" s="5" t="s">
        <v>1693</v>
      </c>
      <c r="E881" s="5" t="s">
        <v>158</v>
      </c>
      <c r="F881" s="12">
        <v>43801.899398148147</v>
      </c>
      <c r="G881" t="s">
        <v>8735</v>
      </c>
      <c r="H881" s="5" t="s">
        <v>1141</v>
      </c>
      <c r="I881" s="6">
        <v>156</v>
      </c>
      <c r="J881" s="5" t="s">
        <v>15</v>
      </c>
      <c r="K881" s="6">
        <v>7.5</v>
      </c>
      <c r="L881" s="6">
        <v>1170</v>
      </c>
      <c r="M881" s="5" t="s">
        <v>1560</v>
      </c>
      <c r="N881" s="5" t="s">
        <v>1558</v>
      </c>
      <c r="O881" s="13">
        <v>43801</v>
      </c>
      <c r="P881" t="s">
        <v>8735</v>
      </c>
    </row>
    <row r="882" spans="1:16" x14ac:dyDescent="0.15">
      <c r="A882" s="5" t="s">
        <v>266</v>
      </c>
      <c r="B882" s="5" t="s">
        <v>1563</v>
      </c>
      <c r="C882" s="5" t="s">
        <v>1688</v>
      </c>
      <c r="D882" s="5" t="s">
        <v>1693</v>
      </c>
      <c r="E882" s="5" t="s">
        <v>158</v>
      </c>
      <c r="F882" s="12">
        <v>43811.720902777779</v>
      </c>
      <c r="G882" t="s">
        <v>8735</v>
      </c>
      <c r="H882" s="5" t="s">
        <v>1165</v>
      </c>
      <c r="I882" s="6">
        <v>-156</v>
      </c>
      <c r="J882" s="5" t="s">
        <v>15</v>
      </c>
      <c r="K882" s="6">
        <v>7.5</v>
      </c>
      <c r="L882" s="6">
        <v>-1170</v>
      </c>
      <c r="M882" s="5" t="s">
        <v>1560</v>
      </c>
      <c r="N882" s="5" t="s">
        <v>1558</v>
      </c>
      <c r="O882" s="13">
        <v>43811</v>
      </c>
      <c r="P882" t="s">
        <v>8735</v>
      </c>
    </row>
    <row r="883" spans="1:16" x14ac:dyDescent="0.15">
      <c r="A883" s="5" t="s">
        <v>267</v>
      </c>
      <c r="B883" s="5" t="s">
        <v>1563</v>
      </c>
      <c r="C883" s="5" t="s">
        <v>1689</v>
      </c>
      <c r="D883" s="5" t="s">
        <v>1693</v>
      </c>
      <c r="E883" s="5" t="s">
        <v>158</v>
      </c>
      <c r="F883" s="12">
        <v>43811.725775462961</v>
      </c>
      <c r="G883" t="s">
        <v>8735</v>
      </c>
      <c r="H883" s="5" t="s">
        <v>1166</v>
      </c>
      <c r="I883" s="6">
        <v>78</v>
      </c>
      <c r="J883" s="5" t="s">
        <v>15</v>
      </c>
      <c r="K883" s="6">
        <v>7.5</v>
      </c>
      <c r="L883" s="6">
        <v>585</v>
      </c>
      <c r="M883" s="5" t="s">
        <v>1560</v>
      </c>
      <c r="N883" s="5" t="s">
        <v>1558</v>
      </c>
      <c r="O883" s="13">
        <v>43811</v>
      </c>
      <c r="P883" t="s">
        <v>8735</v>
      </c>
    </row>
    <row r="884" spans="1:16" x14ac:dyDescent="0.15">
      <c r="A884" s="5" t="s">
        <v>428</v>
      </c>
      <c r="B884" s="5" t="s">
        <v>1563</v>
      </c>
      <c r="C884" s="5" t="s">
        <v>1589</v>
      </c>
      <c r="D884" s="5" t="s">
        <v>1693</v>
      </c>
      <c r="E884" s="5" t="s">
        <v>49</v>
      </c>
      <c r="F884" s="12">
        <v>43598.743981481479</v>
      </c>
      <c r="G884" t="s">
        <v>8727</v>
      </c>
      <c r="H884" s="5" t="s">
        <v>430</v>
      </c>
      <c r="I884" s="6">
        <v>194</v>
      </c>
      <c r="J884" s="5" t="s">
        <v>15</v>
      </c>
      <c r="K884" s="6">
        <v>3.5</v>
      </c>
      <c r="L884" s="6">
        <v>679</v>
      </c>
      <c r="M884" s="5" t="s">
        <v>1560</v>
      </c>
      <c r="N884" s="5" t="s">
        <v>1558</v>
      </c>
      <c r="O884" s="13">
        <v>43598</v>
      </c>
      <c r="P884" t="s">
        <v>8727</v>
      </c>
    </row>
    <row r="885" spans="1:16" x14ac:dyDescent="0.15">
      <c r="A885" s="5" t="s">
        <v>508</v>
      </c>
      <c r="B885" s="5" t="s">
        <v>1563</v>
      </c>
      <c r="C885" s="5" t="s">
        <v>1574</v>
      </c>
      <c r="D885" s="5" t="s">
        <v>1693</v>
      </c>
      <c r="E885" s="5" t="s">
        <v>49</v>
      </c>
      <c r="F885" s="12">
        <v>43630.750891203701</v>
      </c>
      <c r="G885" t="s">
        <v>8728</v>
      </c>
      <c r="H885" s="5" t="s">
        <v>510</v>
      </c>
      <c r="I885" s="6">
        <v>1500</v>
      </c>
      <c r="J885" s="5" t="s">
        <v>15</v>
      </c>
      <c r="K885" s="6">
        <v>4</v>
      </c>
      <c r="L885" s="6">
        <v>6000</v>
      </c>
      <c r="M885" s="5" t="s">
        <v>1560</v>
      </c>
      <c r="N885" s="5" t="s">
        <v>1558</v>
      </c>
      <c r="O885" s="13">
        <v>43630</v>
      </c>
      <c r="P885" t="s">
        <v>8728</v>
      </c>
    </row>
    <row r="886" spans="1:16" x14ac:dyDescent="0.15">
      <c r="A886" s="5" t="s">
        <v>581</v>
      </c>
      <c r="B886" s="5" t="s">
        <v>1563</v>
      </c>
      <c r="C886" s="5" t="s">
        <v>1572</v>
      </c>
      <c r="D886" s="5" t="s">
        <v>1693</v>
      </c>
      <c r="E886" s="5" t="s">
        <v>49</v>
      </c>
      <c r="F886" s="12">
        <v>43658.82949074074</v>
      </c>
      <c r="G886" t="s">
        <v>8729</v>
      </c>
      <c r="H886" s="5" t="s">
        <v>585</v>
      </c>
      <c r="I886" s="6">
        <v>1500</v>
      </c>
      <c r="J886" s="5" t="s">
        <v>15</v>
      </c>
      <c r="K886" s="6">
        <v>4</v>
      </c>
      <c r="L886" s="6">
        <v>6000</v>
      </c>
      <c r="M886" s="5" t="s">
        <v>1560</v>
      </c>
      <c r="N886" s="5" t="s">
        <v>1558</v>
      </c>
      <c r="O886" s="13">
        <v>43658</v>
      </c>
      <c r="P886" t="s">
        <v>8729</v>
      </c>
    </row>
    <row r="887" spans="1:16" x14ac:dyDescent="0.15">
      <c r="A887" s="5" t="s">
        <v>606</v>
      </c>
      <c r="B887" s="5" t="s">
        <v>1563</v>
      </c>
      <c r="C887" s="5" t="s">
        <v>1571</v>
      </c>
      <c r="D887" s="5" t="s">
        <v>1693</v>
      </c>
      <c r="E887" s="5" t="s">
        <v>49</v>
      </c>
      <c r="F887" s="12">
        <v>43668.64565972222</v>
      </c>
      <c r="G887" t="s">
        <v>8729</v>
      </c>
      <c r="H887" s="5" t="s">
        <v>607</v>
      </c>
      <c r="I887" s="6">
        <v>100</v>
      </c>
      <c r="J887" s="5" t="s">
        <v>15</v>
      </c>
      <c r="K887" s="6">
        <v>6</v>
      </c>
      <c r="L887" s="6">
        <v>600</v>
      </c>
      <c r="M887" s="5" t="s">
        <v>1560</v>
      </c>
      <c r="N887" s="5" t="s">
        <v>1558</v>
      </c>
      <c r="O887" s="13">
        <v>43665</v>
      </c>
      <c r="P887" t="s">
        <v>8729</v>
      </c>
    </row>
    <row r="888" spans="1:16" x14ac:dyDescent="0.15">
      <c r="A888" s="5" t="s">
        <v>654</v>
      </c>
      <c r="B888" s="5" t="s">
        <v>1563</v>
      </c>
      <c r="C888" s="5" t="s">
        <v>1571</v>
      </c>
      <c r="D888" s="5" t="s">
        <v>1693</v>
      </c>
      <c r="E888" s="5" t="s">
        <v>49</v>
      </c>
      <c r="F888" s="12">
        <v>43678.669930555552</v>
      </c>
      <c r="G888" t="s">
        <v>8730</v>
      </c>
      <c r="H888" s="5" t="s">
        <v>655</v>
      </c>
      <c r="I888" s="6">
        <v>40</v>
      </c>
      <c r="J888" s="5" t="s">
        <v>15</v>
      </c>
      <c r="K888" s="6">
        <v>6</v>
      </c>
      <c r="L888" s="6">
        <v>240</v>
      </c>
      <c r="M888" s="5" t="s">
        <v>1560</v>
      </c>
      <c r="N888" s="5" t="s">
        <v>1558</v>
      </c>
      <c r="O888" s="13">
        <v>43678</v>
      </c>
      <c r="P888" t="s">
        <v>8730</v>
      </c>
    </row>
    <row r="889" spans="1:16" x14ac:dyDescent="0.15">
      <c r="A889" s="5" t="s">
        <v>716</v>
      </c>
      <c r="B889" s="5" t="s">
        <v>1563</v>
      </c>
      <c r="C889" s="5" t="s">
        <v>1574</v>
      </c>
      <c r="D889" s="5" t="s">
        <v>1693</v>
      </c>
      <c r="E889" s="5" t="s">
        <v>49</v>
      </c>
      <c r="F889" s="12">
        <v>43696.654409722221</v>
      </c>
      <c r="G889" t="s">
        <v>8730</v>
      </c>
      <c r="H889" s="5" t="s">
        <v>717</v>
      </c>
      <c r="I889" s="6">
        <v>800</v>
      </c>
      <c r="J889" s="5" t="s">
        <v>15</v>
      </c>
      <c r="K889" s="6">
        <v>4</v>
      </c>
      <c r="L889" s="6">
        <v>3200</v>
      </c>
      <c r="M889" s="5" t="s">
        <v>1560</v>
      </c>
      <c r="N889" s="5" t="s">
        <v>1558</v>
      </c>
      <c r="O889" s="13">
        <v>43691</v>
      </c>
      <c r="P889" t="s">
        <v>8730</v>
      </c>
    </row>
    <row r="890" spans="1:16" x14ac:dyDescent="0.15">
      <c r="A890" s="5" t="s">
        <v>716</v>
      </c>
      <c r="B890" s="5" t="s">
        <v>1563</v>
      </c>
      <c r="C890" s="5" t="s">
        <v>1574</v>
      </c>
      <c r="D890" s="5" t="s">
        <v>1693</v>
      </c>
      <c r="E890" s="5" t="s">
        <v>49</v>
      </c>
      <c r="F890" s="12">
        <v>43696.654872685183</v>
      </c>
      <c r="G890" t="s">
        <v>8730</v>
      </c>
      <c r="H890" s="5" t="s">
        <v>718</v>
      </c>
      <c r="I890" s="6">
        <v>2000</v>
      </c>
      <c r="J890" s="5" t="s">
        <v>15</v>
      </c>
      <c r="K890" s="6">
        <v>4</v>
      </c>
      <c r="L890" s="6">
        <v>8000</v>
      </c>
      <c r="M890" s="5" t="s">
        <v>1560</v>
      </c>
      <c r="N890" s="5" t="s">
        <v>1558</v>
      </c>
      <c r="O890" s="13">
        <v>43691</v>
      </c>
      <c r="P890" t="s">
        <v>8730</v>
      </c>
    </row>
    <row r="891" spans="1:16" x14ac:dyDescent="0.15">
      <c r="A891" s="5" t="s">
        <v>107</v>
      </c>
      <c r="B891" s="5" t="s">
        <v>1563</v>
      </c>
      <c r="C891" s="5" t="s">
        <v>1571</v>
      </c>
      <c r="D891" s="5" t="s">
        <v>1693</v>
      </c>
      <c r="E891" s="5" t="s">
        <v>49</v>
      </c>
      <c r="F891" s="12">
        <v>43696.680474537039</v>
      </c>
      <c r="G891" t="s">
        <v>8730</v>
      </c>
      <c r="H891" s="5" t="s">
        <v>732</v>
      </c>
      <c r="I891" s="6">
        <v>30</v>
      </c>
      <c r="J891" s="5" t="s">
        <v>15</v>
      </c>
      <c r="K891" s="6">
        <v>6</v>
      </c>
      <c r="L891" s="6">
        <v>180</v>
      </c>
      <c r="M891" s="5" t="s">
        <v>1560</v>
      </c>
      <c r="N891" s="5" t="s">
        <v>1558</v>
      </c>
      <c r="O891" s="13">
        <v>43690</v>
      </c>
      <c r="P891" t="s">
        <v>8730</v>
      </c>
    </row>
    <row r="892" spans="1:16" x14ac:dyDescent="0.15">
      <c r="A892" s="5" t="s">
        <v>126</v>
      </c>
      <c r="B892" s="5" t="s">
        <v>1563</v>
      </c>
      <c r="C892" s="5" t="s">
        <v>1594</v>
      </c>
      <c r="D892" s="5" t="s">
        <v>1693</v>
      </c>
      <c r="E892" s="5" t="s">
        <v>49</v>
      </c>
      <c r="F892" s="12">
        <v>43710.702453703707</v>
      </c>
      <c r="G892" t="s">
        <v>8731</v>
      </c>
      <c r="H892" s="5" t="s">
        <v>799</v>
      </c>
      <c r="I892" s="6">
        <v>1300</v>
      </c>
      <c r="J892" s="5" t="s">
        <v>15</v>
      </c>
      <c r="K892" s="6">
        <v>5</v>
      </c>
      <c r="L892" s="6">
        <v>6500</v>
      </c>
      <c r="M892" s="5" t="s">
        <v>1560</v>
      </c>
      <c r="N892" s="5" t="s">
        <v>1558</v>
      </c>
      <c r="O892" s="13">
        <v>43710</v>
      </c>
      <c r="P892" t="s">
        <v>8731</v>
      </c>
    </row>
    <row r="893" spans="1:16" x14ac:dyDescent="0.15">
      <c r="A893" s="5" t="s">
        <v>834</v>
      </c>
      <c r="B893" s="5" t="s">
        <v>1563</v>
      </c>
      <c r="C893" s="5" t="s">
        <v>1625</v>
      </c>
      <c r="D893" s="5" t="s">
        <v>1693</v>
      </c>
      <c r="E893" s="5" t="s">
        <v>49</v>
      </c>
      <c r="F893" s="12">
        <v>43719.844548611109</v>
      </c>
      <c r="G893" t="s">
        <v>8731</v>
      </c>
      <c r="H893" s="5" t="s">
        <v>835</v>
      </c>
      <c r="I893" s="6">
        <v>194</v>
      </c>
      <c r="J893" s="5" t="s">
        <v>15</v>
      </c>
      <c r="K893" s="6">
        <v>7.01</v>
      </c>
      <c r="L893" s="6">
        <v>1359.94</v>
      </c>
      <c r="M893" s="5" t="s">
        <v>1560</v>
      </c>
      <c r="N893" s="5" t="s">
        <v>1558</v>
      </c>
      <c r="O893" s="13">
        <v>43718</v>
      </c>
      <c r="P893" t="s">
        <v>8731</v>
      </c>
    </row>
    <row r="894" spans="1:16" x14ac:dyDescent="0.15">
      <c r="A894" s="5" t="s">
        <v>902</v>
      </c>
      <c r="B894" s="5" t="s">
        <v>1563</v>
      </c>
      <c r="C894" s="5" t="s">
        <v>1690</v>
      </c>
      <c r="D894" s="5" t="s">
        <v>1693</v>
      </c>
      <c r="E894" s="5" t="s">
        <v>49</v>
      </c>
      <c r="F894" s="12">
        <v>43733.717013888891</v>
      </c>
      <c r="G894" t="s">
        <v>8731</v>
      </c>
      <c r="H894" s="5" t="s">
        <v>903</v>
      </c>
      <c r="I894" s="6">
        <v>1000</v>
      </c>
      <c r="J894" s="5" t="s">
        <v>15</v>
      </c>
      <c r="K894" s="6">
        <v>3.8899999999999997</v>
      </c>
      <c r="L894" s="6">
        <v>3890</v>
      </c>
      <c r="M894" s="5" t="s">
        <v>1560</v>
      </c>
      <c r="N894" s="5" t="s">
        <v>1558</v>
      </c>
      <c r="O894" s="13">
        <v>43732</v>
      </c>
      <c r="P894" t="s">
        <v>8731</v>
      </c>
    </row>
    <row r="895" spans="1:16" x14ac:dyDescent="0.15">
      <c r="A895" s="5" t="s">
        <v>902</v>
      </c>
      <c r="B895" s="5" t="s">
        <v>1563</v>
      </c>
      <c r="C895" s="5" t="s">
        <v>1690</v>
      </c>
      <c r="D895" s="5" t="s">
        <v>1693</v>
      </c>
      <c r="E895" s="5" t="s">
        <v>49</v>
      </c>
      <c r="F895" s="12">
        <v>43733.717488425929</v>
      </c>
      <c r="G895" t="s">
        <v>8731</v>
      </c>
      <c r="H895" s="5" t="s">
        <v>904</v>
      </c>
      <c r="I895" s="6">
        <v>1000</v>
      </c>
      <c r="J895" s="5" t="s">
        <v>15</v>
      </c>
      <c r="K895" s="6">
        <v>3.8899999999999997</v>
      </c>
      <c r="L895" s="6">
        <v>3890</v>
      </c>
      <c r="M895" s="5" t="s">
        <v>1560</v>
      </c>
      <c r="N895" s="5" t="s">
        <v>1558</v>
      </c>
      <c r="O895" s="13">
        <v>43732</v>
      </c>
      <c r="P895" t="s">
        <v>8731</v>
      </c>
    </row>
    <row r="896" spans="1:16" x14ac:dyDescent="0.15">
      <c r="A896" s="5" t="s">
        <v>167</v>
      </c>
      <c r="B896" s="5" t="s">
        <v>1563</v>
      </c>
      <c r="C896" s="5" t="s">
        <v>1691</v>
      </c>
      <c r="D896" s="5" t="s">
        <v>1693</v>
      </c>
      <c r="E896" s="5" t="s">
        <v>49</v>
      </c>
      <c r="F896" s="12">
        <v>43742.655115740738</v>
      </c>
      <c r="G896" t="s">
        <v>8732</v>
      </c>
      <c r="H896" s="5" t="s">
        <v>947</v>
      </c>
      <c r="I896" s="6">
        <v>1500</v>
      </c>
      <c r="J896" s="5" t="s">
        <v>15</v>
      </c>
      <c r="K896" s="6">
        <v>6</v>
      </c>
      <c r="L896" s="6">
        <v>9000</v>
      </c>
      <c r="M896" s="5" t="s">
        <v>1560</v>
      </c>
      <c r="N896" s="5" t="s">
        <v>1558</v>
      </c>
      <c r="O896" s="13">
        <v>43742</v>
      </c>
      <c r="P896" t="s">
        <v>8732</v>
      </c>
    </row>
    <row r="897" spans="1:16" x14ac:dyDescent="0.15">
      <c r="A897" s="5" t="s">
        <v>178</v>
      </c>
      <c r="B897" s="5" t="s">
        <v>1563</v>
      </c>
      <c r="C897" s="5" t="s">
        <v>1572</v>
      </c>
      <c r="D897" s="5" t="s">
        <v>1693</v>
      </c>
      <c r="E897" s="5" t="s">
        <v>49</v>
      </c>
      <c r="F897" s="12">
        <v>43753.668553240743</v>
      </c>
      <c r="G897" t="s">
        <v>8732</v>
      </c>
      <c r="H897" s="5" t="s">
        <v>979</v>
      </c>
      <c r="I897" s="6">
        <v>80</v>
      </c>
      <c r="J897" s="5" t="s">
        <v>15</v>
      </c>
      <c r="K897" s="6">
        <v>7</v>
      </c>
      <c r="L897" s="6">
        <v>560</v>
      </c>
      <c r="M897" s="5" t="s">
        <v>1560</v>
      </c>
      <c r="N897" s="5" t="s">
        <v>1558</v>
      </c>
      <c r="O897" s="13">
        <v>43753</v>
      </c>
      <c r="P897" t="s">
        <v>8732</v>
      </c>
    </row>
    <row r="898" spans="1:16" x14ac:dyDescent="0.15">
      <c r="A898" s="3" t="s">
        <v>9</v>
      </c>
      <c r="B898" s="4"/>
      <c r="C898" s="4"/>
      <c r="D898" s="4"/>
      <c r="E898" s="4"/>
      <c r="F898" s="11"/>
      <c r="H898" s="4"/>
      <c r="I898" s="3">
        <f>SUBTOTAL(109,AtlasReport_5_Table_1[Order qty])</f>
        <v>4563630</v>
      </c>
      <c r="J898" s="4"/>
      <c r="K898" s="3">
        <f>SUBTOTAL(109,AtlasReport_5_Table_1[Unit price])</f>
        <v>7320.110000000017</v>
      </c>
      <c r="L898" s="3">
        <f>SUBTOTAL(109,AtlasReport_5_Table_1[Net amount])</f>
        <v>27995067.730000023</v>
      </c>
      <c r="M898" s="4"/>
      <c r="N898" s="4"/>
    </row>
    <row r="899" spans="1:16" x14ac:dyDescent="0.15">
      <c r="A899" s="3"/>
      <c r="B899" s="3"/>
      <c r="C899" s="3"/>
      <c r="D899" s="3"/>
      <c r="E899" s="3"/>
      <c r="F899" s="11"/>
      <c r="H899" s="3"/>
      <c r="I899" s="3"/>
      <c r="J899" s="3"/>
      <c r="K899" s="3"/>
      <c r="L899" s="3"/>
      <c r="M899" s="3"/>
      <c r="N899" s="3"/>
    </row>
    <row r="900" spans="1:16" x14ac:dyDescent="0.15">
      <c r="A900" s="3"/>
      <c r="B900" s="3"/>
      <c r="C900" s="3"/>
      <c r="D900" s="3"/>
      <c r="E900" s="3"/>
      <c r="F900" s="11"/>
      <c r="G900" s="3"/>
      <c r="H900" s="3"/>
      <c r="I900" s="3"/>
      <c r="J900" s="3"/>
      <c r="K900" s="3"/>
      <c r="L900" s="3"/>
      <c r="M900" s="3"/>
      <c r="N900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ackingSlip"/>
  <dimension ref="A1:K897"/>
  <sheetViews>
    <sheetView workbookViewId="0">
      <selection activeCell="J6" sqref="J6"/>
    </sheetView>
  </sheetViews>
  <sheetFormatPr defaultRowHeight="13.5" x14ac:dyDescent="0.15"/>
  <cols>
    <col min="1" max="1" width="10" customWidth="1"/>
    <col min="2" max="2" width="15" customWidth="1"/>
    <col min="3" max="3" width="18.125" customWidth="1"/>
    <col min="4" max="4" width="35.875" customWidth="1"/>
    <col min="5" max="5" width="11.625" customWidth="1"/>
    <col min="6" max="6" width="12" customWidth="1"/>
    <col min="7" max="7" width="7.125" customWidth="1"/>
    <col min="8" max="8" width="18.625" customWidth="1"/>
    <col min="9" max="9" width="8.125" customWidth="1"/>
    <col min="10" max="10" width="11.625" bestFit="1" customWidth="1"/>
    <col min="11" max="11" width="10.125" customWidth="1"/>
  </cols>
  <sheetData>
    <row r="1" spans="1:11" ht="22.5" x14ac:dyDescent="0.25">
      <c r="A1" s="1" t="s">
        <v>10</v>
      </c>
      <c r="B1" s="1"/>
      <c r="C1" s="1"/>
      <c r="D1" s="1"/>
      <c r="E1" s="1"/>
      <c r="F1" s="1"/>
      <c r="G1" s="1"/>
      <c r="H1" s="1"/>
      <c r="I1" s="1"/>
      <c r="J1" s="1"/>
      <c r="K1" s="3"/>
    </row>
    <row r="2" spans="1:11" x14ac:dyDescent="0.15">
      <c r="A2" s="3" t="s">
        <v>17</v>
      </c>
      <c r="B2" s="3" t="s">
        <v>16</v>
      </c>
      <c r="C2" s="3" t="s">
        <v>7</v>
      </c>
      <c r="D2" s="3" t="s">
        <v>11</v>
      </c>
      <c r="E2" s="8" t="s">
        <v>12</v>
      </c>
      <c r="F2" s="3" t="s">
        <v>8</v>
      </c>
      <c r="G2" s="3" t="s">
        <v>19</v>
      </c>
      <c r="H2" s="3" t="s">
        <v>21</v>
      </c>
      <c r="I2" s="3" t="s">
        <v>20</v>
      </c>
      <c r="J2" s="3" t="s">
        <v>18</v>
      </c>
    </row>
    <row r="3" spans="1:11" x14ac:dyDescent="0.15">
      <c r="A3" s="5" t="s">
        <v>48</v>
      </c>
      <c r="B3" s="5" t="s">
        <v>1175</v>
      </c>
      <c r="C3" s="5" t="s">
        <v>46</v>
      </c>
      <c r="D3" s="5" t="s">
        <v>45</v>
      </c>
      <c r="E3" s="9">
        <v>43560</v>
      </c>
      <c r="F3" s="6">
        <v>533.5</v>
      </c>
      <c r="G3" s="5" t="s">
        <v>15</v>
      </c>
      <c r="H3" s="6">
        <f>SUMIFS(InventTrans!F:F,InventTrans!B:B,AtlasReport_3_Table_1[[#This Row],[Lot ID]],InventTrans!C:C,AtlasReport_3_Table_1[[#This Row],[Ship date]])</f>
        <v>533.5</v>
      </c>
      <c r="I3" s="5" t="s">
        <v>15</v>
      </c>
      <c r="J3" s="5" t="s">
        <v>1176</v>
      </c>
    </row>
    <row r="4" spans="1:11" x14ac:dyDescent="0.15">
      <c r="A4" s="5" t="s">
        <v>48</v>
      </c>
      <c r="B4" s="5" t="s">
        <v>1177</v>
      </c>
      <c r="C4" s="5" t="s">
        <v>42</v>
      </c>
      <c r="D4" s="5" t="s">
        <v>38</v>
      </c>
      <c r="E4" s="9">
        <v>43573</v>
      </c>
      <c r="F4" s="6">
        <v>300</v>
      </c>
      <c r="G4" s="5" t="s">
        <v>15</v>
      </c>
      <c r="H4" s="6">
        <f>SUMIFS(InventTrans!F:F,InventTrans!B:B,AtlasReport_3_Table_1[[#This Row],[Lot ID]],InventTrans!C:C,AtlasReport_3_Table_1[[#This Row],[Ship date]])</f>
        <v>300</v>
      </c>
      <c r="I4" s="5" t="s">
        <v>15</v>
      </c>
      <c r="J4" s="5" t="s">
        <v>1178</v>
      </c>
    </row>
    <row r="5" spans="1:11" x14ac:dyDescent="0.15">
      <c r="A5" s="5" t="s">
        <v>48</v>
      </c>
      <c r="B5" s="5" t="s">
        <v>1177</v>
      </c>
      <c r="C5" s="5" t="s">
        <v>37</v>
      </c>
      <c r="D5" s="5" t="s">
        <v>38</v>
      </c>
      <c r="E5" s="9">
        <v>43573</v>
      </c>
      <c r="F5" s="6">
        <v>487.5</v>
      </c>
      <c r="G5" s="5" t="s">
        <v>15</v>
      </c>
      <c r="H5" s="6">
        <f>SUMIFS(InventTrans!F:F,InventTrans!B:B,AtlasReport_3_Table_1[[#This Row],[Lot ID]],InventTrans!C:C,AtlasReport_3_Table_1[[#This Row],[Ship date]])</f>
        <v>487.5</v>
      </c>
      <c r="I5" s="5" t="s">
        <v>15</v>
      </c>
      <c r="J5" s="5" t="s">
        <v>1179</v>
      </c>
    </row>
    <row r="6" spans="1:11" x14ac:dyDescent="0.15">
      <c r="A6" s="5" t="s">
        <v>48</v>
      </c>
      <c r="B6" s="5" t="s">
        <v>1177</v>
      </c>
      <c r="C6" s="5" t="s">
        <v>43</v>
      </c>
      <c r="D6" s="5" t="s">
        <v>38</v>
      </c>
      <c r="E6" s="9">
        <v>43573</v>
      </c>
      <c r="F6" s="6">
        <v>242.5</v>
      </c>
      <c r="G6" s="5" t="s">
        <v>15</v>
      </c>
      <c r="H6" s="6">
        <f>SUMIFS(InventTrans!F:F,InventTrans!B:B,AtlasReport_3_Table_1[[#This Row],[Lot ID]],InventTrans!C:C,AtlasReport_3_Table_1[[#This Row],[Ship date]])</f>
        <v>242.5</v>
      </c>
      <c r="I6" s="5" t="s">
        <v>15</v>
      </c>
      <c r="J6" s="5" t="s">
        <v>1180</v>
      </c>
    </row>
    <row r="7" spans="1:11" x14ac:dyDescent="0.15">
      <c r="A7" s="5" t="s">
        <v>48</v>
      </c>
      <c r="B7" s="5" t="s">
        <v>1181</v>
      </c>
      <c r="C7" s="5" t="s">
        <v>43</v>
      </c>
      <c r="D7" s="5" t="s">
        <v>38</v>
      </c>
      <c r="E7" s="9">
        <v>43606</v>
      </c>
      <c r="F7" s="6">
        <v>824.5</v>
      </c>
      <c r="G7" s="5" t="s">
        <v>15</v>
      </c>
      <c r="H7" s="6">
        <f>SUMIFS(InventTrans!F:F,InventTrans!B:B,AtlasReport_3_Table_1[[#This Row],[Lot ID]],InventTrans!C:C,AtlasReport_3_Table_1[[#This Row],[Ship date]])</f>
        <v>824.5</v>
      </c>
      <c r="I7" s="5" t="s">
        <v>15</v>
      </c>
      <c r="J7" s="5" t="s">
        <v>1182</v>
      </c>
    </row>
    <row r="8" spans="1:11" x14ac:dyDescent="0.15">
      <c r="A8" s="5" t="s">
        <v>48</v>
      </c>
      <c r="B8" s="5" t="s">
        <v>1183</v>
      </c>
      <c r="C8" s="5" t="s">
        <v>42</v>
      </c>
      <c r="D8" s="5" t="s">
        <v>38</v>
      </c>
      <c r="E8" s="9">
        <v>43642</v>
      </c>
      <c r="F8" s="6">
        <v>3000</v>
      </c>
      <c r="G8" s="5" t="s">
        <v>15</v>
      </c>
      <c r="H8" s="6">
        <f>SUMIFS(InventTrans!F:F,InventTrans!B:B,AtlasReport_3_Table_1[[#This Row],[Lot ID]],InventTrans!C:C,AtlasReport_3_Table_1[[#This Row],[Ship date]])</f>
        <v>3000</v>
      </c>
      <c r="I8" s="5" t="s">
        <v>15</v>
      </c>
      <c r="J8" s="5" t="s">
        <v>1184</v>
      </c>
    </row>
    <row r="9" spans="1:11" x14ac:dyDescent="0.15">
      <c r="A9" s="5" t="s">
        <v>48</v>
      </c>
      <c r="B9" s="5" t="s">
        <v>1185</v>
      </c>
      <c r="C9" s="5" t="s">
        <v>46</v>
      </c>
      <c r="D9" s="5" t="s">
        <v>45</v>
      </c>
      <c r="E9" s="9">
        <v>43647</v>
      </c>
      <c r="F9" s="6">
        <v>339.5</v>
      </c>
      <c r="G9" s="5" t="s">
        <v>15</v>
      </c>
      <c r="H9" s="6">
        <f>SUMIFS(InventTrans!F:F,InventTrans!B:B,AtlasReport_3_Table_1[[#This Row],[Lot ID]],InventTrans!C:C,AtlasReport_3_Table_1[[#This Row],[Ship date]])</f>
        <v>339.5</v>
      </c>
      <c r="I9" s="5" t="s">
        <v>15</v>
      </c>
      <c r="J9" s="5" t="s">
        <v>1186</v>
      </c>
    </row>
    <row r="10" spans="1:11" x14ac:dyDescent="0.15">
      <c r="A10" s="5" t="s">
        <v>48</v>
      </c>
      <c r="B10" s="5" t="s">
        <v>1187</v>
      </c>
      <c r="C10" s="5" t="s">
        <v>43</v>
      </c>
      <c r="D10" s="5" t="s">
        <v>38</v>
      </c>
      <c r="E10" s="9">
        <v>43664</v>
      </c>
      <c r="F10" s="6">
        <v>388</v>
      </c>
      <c r="G10" s="5" t="s">
        <v>15</v>
      </c>
      <c r="H10" s="6">
        <f>SUMIFS(InventTrans!F:F,InventTrans!B:B,AtlasReport_3_Table_1[[#This Row],[Lot ID]],InventTrans!C:C,AtlasReport_3_Table_1[[#This Row],[Ship date]])</f>
        <v>388</v>
      </c>
      <c r="I10" s="5" t="s">
        <v>15</v>
      </c>
      <c r="J10" s="5" t="s">
        <v>1188</v>
      </c>
    </row>
    <row r="11" spans="1:11" x14ac:dyDescent="0.15">
      <c r="A11" s="5" t="s">
        <v>48</v>
      </c>
      <c r="B11" s="5" t="s">
        <v>1189</v>
      </c>
      <c r="C11" s="5" t="s">
        <v>42</v>
      </c>
      <c r="D11" s="5" t="s">
        <v>38</v>
      </c>
      <c r="E11" s="9">
        <v>43686</v>
      </c>
      <c r="F11" s="6">
        <v>7875</v>
      </c>
      <c r="G11" s="5" t="s">
        <v>15</v>
      </c>
      <c r="H11" s="6">
        <f>SUMIFS(InventTrans!F:F,InventTrans!B:B,AtlasReport_3_Table_1[[#This Row],[Lot ID]],InventTrans!C:C,AtlasReport_3_Table_1[[#This Row],[Ship date]])</f>
        <v>7875</v>
      </c>
      <c r="I11" s="5" t="s">
        <v>15</v>
      </c>
      <c r="J11" s="5" t="s">
        <v>1190</v>
      </c>
    </row>
    <row r="12" spans="1:11" x14ac:dyDescent="0.15">
      <c r="A12" s="5" t="s">
        <v>48</v>
      </c>
      <c r="B12" s="5" t="s">
        <v>1191</v>
      </c>
      <c r="C12" s="5" t="s">
        <v>46</v>
      </c>
      <c r="D12" s="5" t="s">
        <v>45</v>
      </c>
      <c r="E12" s="9">
        <v>43768</v>
      </c>
      <c r="F12" s="6">
        <v>145.5</v>
      </c>
      <c r="G12" s="5" t="s">
        <v>15</v>
      </c>
      <c r="H12" s="6">
        <f>SUMIFS(InventTrans!F:F,InventTrans!B:B,AtlasReport_3_Table_1[[#This Row],[Lot ID]],InventTrans!C:C,AtlasReport_3_Table_1[[#This Row],[Ship date]])</f>
        <v>145.5</v>
      </c>
      <c r="I12" s="5" t="s">
        <v>15</v>
      </c>
      <c r="J12" s="5" t="s">
        <v>1192</v>
      </c>
    </row>
    <row r="13" spans="1:11" x14ac:dyDescent="0.15">
      <c r="A13" s="5" t="s">
        <v>48</v>
      </c>
      <c r="B13" s="5" t="s">
        <v>1193</v>
      </c>
      <c r="C13" s="5" t="s">
        <v>44</v>
      </c>
      <c r="D13" s="5" t="s">
        <v>45</v>
      </c>
      <c r="E13" s="9">
        <v>43767</v>
      </c>
      <c r="F13" s="6">
        <v>682.5</v>
      </c>
      <c r="G13" s="5" t="s">
        <v>15</v>
      </c>
      <c r="H13" s="6">
        <f>SUMIFS(InventTrans!F:F,InventTrans!B:B,AtlasReport_3_Table_1[[#This Row],[Lot ID]],InventTrans!C:C,AtlasReport_3_Table_1[[#This Row],[Ship date]])</f>
        <v>682.5</v>
      </c>
      <c r="I13" s="5" t="s">
        <v>15</v>
      </c>
      <c r="J13" s="5" t="s">
        <v>1194</v>
      </c>
    </row>
    <row r="14" spans="1:11" x14ac:dyDescent="0.15">
      <c r="A14" s="5" t="s">
        <v>48</v>
      </c>
      <c r="B14" s="5" t="s">
        <v>1195</v>
      </c>
      <c r="C14" s="5" t="s">
        <v>35</v>
      </c>
      <c r="D14" s="5" t="s">
        <v>36</v>
      </c>
      <c r="E14" s="9">
        <v>43493</v>
      </c>
      <c r="F14" s="6">
        <v>13650</v>
      </c>
      <c r="G14" s="5" t="s">
        <v>15</v>
      </c>
      <c r="H14" s="6">
        <f>SUMIFS(InventTrans!F:F,InventTrans!B:B,AtlasReport_3_Table_1[[#This Row],[Lot ID]],InventTrans!C:C,AtlasReport_3_Table_1[[#This Row],[Ship date]])</f>
        <v>13650</v>
      </c>
      <c r="I14" s="5" t="s">
        <v>15</v>
      </c>
      <c r="J14" s="5" t="s">
        <v>1196</v>
      </c>
    </row>
    <row r="15" spans="1:11" x14ac:dyDescent="0.15">
      <c r="A15" s="5" t="s">
        <v>48</v>
      </c>
      <c r="B15" s="5" t="s">
        <v>1195</v>
      </c>
      <c r="C15" s="5" t="s">
        <v>53</v>
      </c>
      <c r="D15" s="5" t="s">
        <v>54</v>
      </c>
      <c r="E15" s="9">
        <v>43493</v>
      </c>
      <c r="F15" s="6">
        <v>11700</v>
      </c>
      <c r="G15" s="5" t="s">
        <v>15</v>
      </c>
      <c r="H15" s="6">
        <f>SUMIFS(InventTrans!F:F,InventTrans!B:B,AtlasReport_3_Table_1[[#This Row],[Lot ID]],InventTrans!C:C,AtlasReport_3_Table_1[[#This Row],[Ship date]])</f>
        <v>11700</v>
      </c>
      <c r="I15" s="5" t="s">
        <v>15</v>
      </c>
      <c r="J15" s="5" t="s">
        <v>1197</v>
      </c>
    </row>
    <row r="16" spans="1:11" x14ac:dyDescent="0.15">
      <c r="A16" s="5" t="s">
        <v>48</v>
      </c>
      <c r="B16" s="5" t="s">
        <v>1198</v>
      </c>
      <c r="C16" s="5" t="s">
        <v>64</v>
      </c>
      <c r="D16" s="5" t="s">
        <v>54</v>
      </c>
      <c r="E16" s="9">
        <v>43511</v>
      </c>
      <c r="F16" s="6">
        <v>7500</v>
      </c>
      <c r="G16" s="5" t="s">
        <v>15</v>
      </c>
      <c r="H16" s="6">
        <f>SUMIFS(InventTrans!F:F,InventTrans!B:B,AtlasReport_3_Table_1[[#This Row],[Lot ID]],InventTrans!C:C,AtlasReport_3_Table_1[[#This Row],[Ship date]])</f>
        <v>7500</v>
      </c>
      <c r="I16" s="5" t="s">
        <v>15</v>
      </c>
      <c r="J16" s="5" t="s">
        <v>1199</v>
      </c>
    </row>
    <row r="17" spans="1:10" x14ac:dyDescent="0.15">
      <c r="A17" s="5" t="s">
        <v>48</v>
      </c>
      <c r="B17" s="5" t="s">
        <v>1198</v>
      </c>
      <c r="C17" s="5" t="s">
        <v>46</v>
      </c>
      <c r="D17" s="5" t="s">
        <v>45</v>
      </c>
      <c r="E17" s="9">
        <v>43511</v>
      </c>
      <c r="F17" s="6">
        <v>5820</v>
      </c>
      <c r="G17" s="5" t="s">
        <v>15</v>
      </c>
      <c r="H17" s="6">
        <f>SUMIFS(InventTrans!F:F,InventTrans!B:B,AtlasReport_3_Table_1[[#This Row],[Lot ID]],InventTrans!C:C,AtlasReport_3_Table_1[[#This Row],[Ship date]])</f>
        <v>5820</v>
      </c>
      <c r="I17" s="5" t="s">
        <v>15</v>
      </c>
      <c r="J17" s="5" t="s">
        <v>1200</v>
      </c>
    </row>
    <row r="18" spans="1:10" x14ac:dyDescent="0.15">
      <c r="A18" s="5" t="s">
        <v>48</v>
      </c>
      <c r="B18" s="5" t="s">
        <v>1198</v>
      </c>
      <c r="C18" s="5" t="s">
        <v>44</v>
      </c>
      <c r="D18" s="5" t="s">
        <v>45</v>
      </c>
      <c r="E18" s="9">
        <v>43511</v>
      </c>
      <c r="F18" s="6">
        <v>5850</v>
      </c>
      <c r="G18" s="5" t="s">
        <v>15</v>
      </c>
      <c r="H18" s="6">
        <f>SUMIFS(InventTrans!F:F,InventTrans!B:B,AtlasReport_3_Table_1[[#This Row],[Lot ID]],InventTrans!C:C,AtlasReport_3_Table_1[[#This Row],[Ship date]])</f>
        <v>5850</v>
      </c>
      <c r="I18" s="5" t="s">
        <v>15</v>
      </c>
      <c r="J18" s="5" t="s">
        <v>1201</v>
      </c>
    </row>
    <row r="19" spans="1:10" x14ac:dyDescent="0.15">
      <c r="A19" s="5" t="s">
        <v>48</v>
      </c>
      <c r="B19" s="5" t="s">
        <v>1198</v>
      </c>
      <c r="C19" s="5" t="s">
        <v>51</v>
      </c>
      <c r="D19" s="5" t="s">
        <v>52</v>
      </c>
      <c r="E19" s="9">
        <v>43511</v>
      </c>
      <c r="F19" s="6">
        <v>3900</v>
      </c>
      <c r="G19" s="5" t="s">
        <v>15</v>
      </c>
      <c r="H19" s="6">
        <f>SUMIFS(InventTrans!F:F,InventTrans!B:B,AtlasReport_3_Table_1[[#This Row],[Lot ID]],InventTrans!C:C,AtlasReport_3_Table_1[[#This Row],[Ship date]])</f>
        <v>3900</v>
      </c>
      <c r="I19" s="5" t="s">
        <v>15</v>
      </c>
      <c r="J19" s="5" t="s">
        <v>1202</v>
      </c>
    </row>
    <row r="20" spans="1:10" x14ac:dyDescent="0.15">
      <c r="A20" s="5" t="s">
        <v>48</v>
      </c>
      <c r="B20" s="5" t="s">
        <v>1203</v>
      </c>
      <c r="C20" s="5" t="s">
        <v>41</v>
      </c>
      <c r="D20" s="5" t="s">
        <v>36</v>
      </c>
      <c r="E20" s="9">
        <v>43528</v>
      </c>
      <c r="F20" s="6">
        <v>7760</v>
      </c>
      <c r="G20" s="5" t="s">
        <v>15</v>
      </c>
      <c r="H20" s="6">
        <f>SUMIFS(InventTrans!F:F,InventTrans!B:B,AtlasReport_3_Table_1[[#This Row],[Lot ID]],InventTrans!C:C,AtlasReport_3_Table_1[[#This Row],[Ship date]])</f>
        <v>7760</v>
      </c>
      <c r="I20" s="5" t="s">
        <v>15</v>
      </c>
      <c r="J20" s="5" t="s">
        <v>1204</v>
      </c>
    </row>
    <row r="21" spans="1:10" x14ac:dyDescent="0.15">
      <c r="A21" s="5" t="s">
        <v>48</v>
      </c>
      <c r="B21" s="5" t="s">
        <v>1203</v>
      </c>
      <c r="C21" s="5" t="s">
        <v>40</v>
      </c>
      <c r="D21" s="5" t="s">
        <v>36</v>
      </c>
      <c r="E21" s="9">
        <v>43528</v>
      </c>
      <c r="F21" s="6">
        <v>4500</v>
      </c>
      <c r="G21" s="5" t="s">
        <v>15</v>
      </c>
      <c r="H21" s="6">
        <f>SUMIFS(InventTrans!F:F,InventTrans!B:B,AtlasReport_3_Table_1[[#This Row],[Lot ID]],InventTrans!C:C,AtlasReport_3_Table_1[[#This Row],[Ship date]])</f>
        <v>4500</v>
      </c>
      <c r="I21" s="5" t="s">
        <v>15</v>
      </c>
      <c r="J21" s="5" t="s">
        <v>1205</v>
      </c>
    </row>
    <row r="22" spans="1:10" x14ac:dyDescent="0.15">
      <c r="A22" s="5" t="s">
        <v>48</v>
      </c>
      <c r="B22" s="5" t="s">
        <v>1203</v>
      </c>
      <c r="C22" s="5" t="s">
        <v>43</v>
      </c>
      <c r="D22" s="5" t="s">
        <v>38</v>
      </c>
      <c r="E22" s="9">
        <v>43528</v>
      </c>
      <c r="F22" s="6">
        <v>3880</v>
      </c>
      <c r="G22" s="5" t="s">
        <v>15</v>
      </c>
      <c r="H22" s="6">
        <f>SUMIFS(InventTrans!F:F,InventTrans!B:B,AtlasReport_3_Table_1[[#This Row],[Lot ID]],InventTrans!C:C,AtlasReport_3_Table_1[[#This Row],[Ship date]])</f>
        <v>3880</v>
      </c>
      <c r="I22" s="5" t="s">
        <v>15</v>
      </c>
      <c r="J22" s="5" t="s">
        <v>1206</v>
      </c>
    </row>
    <row r="23" spans="1:10" x14ac:dyDescent="0.15">
      <c r="A23" s="5" t="s">
        <v>48</v>
      </c>
      <c r="B23" s="5" t="s">
        <v>1203</v>
      </c>
      <c r="C23" s="5" t="s">
        <v>57</v>
      </c>
      <c r="D23" s="5" t="s">
        <v>54</v>
      </c>
      <c r="E23" s="9">
        <v>43528</v>
      </c>
      <c r="F23" s="6">
        <v>3880</v>
      </c>
      <c r="G23" s="5" t="s">
        <v>15</v>
      </c>
      <c r="H23" s="6">
        <f>SUMIFS(InventTrans!F:F,InventTrans!B:B,AtlasReport_3_Table_1[[#This Row],[Lot ID]],InventTrans!C:C,AtlasReport_3_Table_1[[#This Row],[Ship date]])</f>
        <v>3880</v>
      </c>
      <c r="I23" s="5" t="s">
        <v>15</v>
      </c>
      <c r="J23" s="5" t="s">
        <v>1207</v>
      </c>
    </row>
    <row r="24" spans="1:10" x14ac:dyDescent="0.15">
      <c r="A24" s="5" t="s">
        <v>48</v>
      </c>
      <c r="B24" s="5" t="s">
        <v>1208</v>
      </c>
      <c r="C24" s="5" t="s">
        <v>37</v>
      </c>
      <c r="D24" s="5" t="s">
        <v>38</v>
      </c>
      <c r="E24" s="9">
        <v>43528</v>
      </c>
      <c r="F24" s="6">
        <v>11700</v>
      </c>
      <c r="G24" s="5" t="s">
        <v>15</v>
      </c>
      <c r="H24" s="6">
        <f>SUMIFS(InventTrans!F:F,InventTrans!B:B,AtlasReport_3_Table_1[[#This Row],[Lot ID]],InventTrans!C:C,AtlasReport_3_Table_1[[#This Row],[Ship date]])</f>
        <v>11700</v>
      </c>
      <c r="I24" s="5" t="s">
        <v>15</v>
      </c>
      <c r="J24" s="5" t="s">
        <v>1209</v>
      </c>
    </row>
    <row r="25" spans="1:10" x14ac:dyDescent="0.15">
      <c r="A25" s="5" t="s">
        <v>48</v>
      </c>
      <c r="B25" s="5" t="s">
        <v>1208</v>
      </c>
      <c r="C25" s="5" t="s">
        <v>158</v>
      </c>
      <c r="D25" s="5" t="s">
        <v>159</v>
      </c>
      <c r="E25" s="9">
        <v>43528</v>
      </c>
      <c r="F25" s="6">
        <v>8190</v>
      </c>
      <c r="G25" s="5" t="s">
        <v>15</v>
      </c>
      <c r="H25" s="6">
        <f>SUMIFS(InventTrans!F:F,InventTrans!B:B,AtlasReport_3_Table_1[[#This Row],[Lot ID]],InventTrans!C:C,AtlasReport_3_Table_1[[#This Row],[Ship date]])</f>
        <v>8190</v>
      </c>
      <c r="I25" s="5" t="s">
        <v>15</v>
      </c>
      <c r="J25" s="5" t="s">
        <v>1210</v>
      </c>
    </row>
    <row r="26" spans="1:10" x14ac:dyDescent="0.15">
      <c r="A26" s="5" t="s">
        <v>48</v>
      </c>
      <c r="B26" s="5" t="s">
        <v>1211</v>
      </c>
      <c r="C26" s="5" t="s">
        <v>65</v>
      </c>
      <c r="D26" s="5" t="s">
        <v>45</v>
      </c>
      <c r="E26" s="9">
        <v>43528</v>
      </c>
      <c r="F26" s="6">
        <v>3000</v>
      </c>
      <c r="G26" s="5" t="s">
        <v>15</v>
      </c>
      <c r="H26" s="6">
        <f>SUMIFS(InventTrans!F:F,InventTrans!B:B,AtlasReport_3_Table_1[[#This Row],[Lot ID]],InventTrans!C:C,AtlasReport_3_Table_1[[#This Row],[Ship date]])</f>
        <v>3000</v>
      </c>
      <c r="I26" s="5" t="s">
        <v>15</v>
      </c>
      <c r="J26" s="5" t="s">
        <v>1212</v>
      </c>
    </row>
    <row r="27" spans="1:10" x14ac:dyDescent="0.15">
      <c r="A27" s="5" t="s">
        <v>48</v>
      </c>
      <c r="B27" s="5" t="s">
        <v>1213</v>
      </c>
      <c r="C27" s="5" t="s">
        <v>158</v>
      </c>
      <c r="D27" s="5" t="s">
        <v>159</v>
      </c>
      <c r="E27" s="9">
        <v>43536</v>
      </c>
      <c r="F27" s="6">
        <v>15210</v>
      </c>
      <c r="G27" s="5" t="s">
        <v>15</v>
      </c>
      <c r="H27" s="6">
        <f>SUMIFS(InventTrans!F:F,InventTrans!B:B,AtlasReport_3_Table_1[[#This Row],[Lot ID]],InventTrans!C:C,AtlasReport_3_Table_1[[#This Row],[Ship date]])</f>
        <v>15210</v>
      </c>
      <c r="I27" s="5" t="s">
        <v>15</v>
      </c>
      <c r="J27" s="5" t="s">
        <v>1214</v>
      </c>
    </row>
    <row r="28" spans="1:10" x14ac:dyDescent="0.15">
      <c r="A28" s="5" t="s">
        <v>48</v>
      </c>
      <c r="B28" s="5" t="s">
        <v>1215</v>
      </c>
      <c r="C28" s="5" t="s">
        <v>158</v>
      </c>
      <c r="D28" s="5" t="s">
        <v>159</v>
      </c>
      <c r="E28" s="9">
        <v>43536</v>
      </c>
      <c r="F28" s="6">
        <v>2340</v>
      </c>
      <c r="G28" s="5" t="s">
        <v>15</v>
      </c>
      <c r="H28" s="6">
        <f>SUMIFS(InventTrans!F:F,InventTrans!B:B,AtlasReport_3_Table_1[[#This Row],[Lot ID]],InventTrans!C:C,AtlasReport_3_Table_1[[#This Row],[Ship date]])</f>
        <v>2340</v>
      </c>
      <c r="I28" s="5" t="s">
        <v>15</v>
      </c>
      <c r="J28" s="5" t="s">
        <v>1216</v>
      </c>
    </row>
    <row r="29" spans="1:10" x14ac:dyDescent="0.15">
      <c r="A29" s="5" t="s">
        <v>48</v>
      </c>
      <c r="B29" s="5" t="s">
        <v>1217</v>
      </c>
      <c r="C29" s="5" t="s">
        <v>58</v>
      </c>
      <c r="D29" s="5" t="s">
        <v>59</v>
      </c>
      <c r="E29" s="9">
        <v>43556</v>
      </c>
      <c r="F29" s="6">
        <v>8250</v>
      </c>
      <c r="G29" s="5" t="s">
        <v>15</v>
      </c>
      <c r="H29" s="6">
        <f>SUMIFS(InventTrans!F:F,InventTrans!B:B,AtlasReport_3_Table_1[[#This Row],[Lot ID]],InventTrans!C:C,AtlasReport_3_Table_1[[#This Row],[Ship date]])</f>
        <v>8250</v>
      </c>
      <c r="I29" s="5" t="s">
        <v>15</v>
      </c>
      <c r="J29" s="5" t="s">
        <v>1218</v>
      </c>
    </row>
    <row r="30" spans="1:10" x14ac:dyDescent="0.15">
      <c r="A30" s="5" t="s">
        <v>48</v>
      </c>
      <c r="B30" s="5" t="s">
        <v>1219</v>
      </c>
      <c r="C30" s="5" t="s">
        <v>148</v>
      </c>
      <c r="D30" s="5" t="s">
        <v>59</v>
      </c>
      <c r="E30" s="9">
        <v>43536</v>
      </c>
      <c r="F30" s="6">
        <v>12610</v>
      </c>
      <c r="G30" s="5" t="s">
        <v>15</v>
      </c>
      <c r="H30" s="6">
        <f>SUMIFS(InventTrans!F:F,InventTrans!B:B,AtlasReport_3_Table_1[[#This Row],[Lot ID]],InventTrans!C:C,AtlasReport_3_Table_1[[#This Row],[Ship date]])</f>
        <v>12610</v>
      </c>
      <c r="I30" s="5" t="s">
        <v>15</v>
      </c>
      <c r="J30" s="5" t="s">
        <v>1220</v>
      </c>
    </row>
    <row r="31" spans="1:10" x14ac:dyDescent="0.15">
      <c r="A31" s="5" t="s">
        <v>48</v>
      </c>
      <c r="B31" s="5" t="s">
        <v>1221</v>
      </c>
      <c r="C31" s="5" t="s">
        <v>44</v>
      </c>
      <c r="D31" s="5" t="s">
        <v>45</v>
      </c>
      <c r="E31" s="9">
        <v>43661</v>
      </c>
      <c r="F31" s="6">
        <v>25350</v>
      </c>
      <c r="G31" s="5" t="s">
        <v>15</v>
      </c>
      <c r="H31" s="6">
        <f>SUMIFS(InventTrans!F:F,InventTrans!B:B,AtlasReport_3_Table_1[[#This Row],[Lot ID]],InventTrans!C:C,AtlasReport_3_Table_1[[#This Row],[Ship date]])</f>
        <v>25350</v>
      </c>
      <c r="I31" s="5" t="s">
        <v>15</v>
      </c>
      <c r="J31" s="5" t="s">
        <v>1222</v>
      </c>
    </row>
    <row r="32" spans="1:10" x14ac:dyDescent="0.15">
      <c r="A32" s="5" t="s">
        <v>48</v>
      </c>
      <c r="B32" s="5" t="s">
        <v>1223</v>
      </c>
      <c r="C32" s="5" t="s">
        <v>148</v>
      </c>
      <c r="D32" s="5" t="s">
        <v>59</v>
      </c>
      <c r="E32" s="9">
        <v>43563</v>
      </c>
      <c r="F32" s="6">
        <v>7275</v>
      </c>
      <c r="G32" s="5" t="s">
        <v>15</v>
      </c>
      <c r="H32" s="6">
        <f>SUMIFS(InventTrans!F:F,InventTrans!B:B,AtlasReport_3_Table_1[[#This Row],[Lot ID]],InventTrans!C:C,AtlasReport_3_Table_1[[#This Row],[Ship date]])</f>
        <v>7275</v>
      </c>
      <c r="I32" s="5" t="s">
        <v>15</v>
      </c>
      <c r="J32" s="5" t="s">
        <v>1224</v>
      </c>
    </row>
    <row r="33" spans="1:10" x14ac:dyDescent="0.15">
      <c r="A33" s="5" t="s">
        <v>48</v>
      </c>
      <c r="B33" s="5" t="s">
        <v>1223</v>
      </c>
      <c r="C33" s="5" t="s">
        <v>37</v>
      </c>
      <c r="D33" s="5" t="s">
        <v>38</v>
      </c>
      <c r="E33" s="9">
        <v>43563</v>
      </c>
      <c r="F33" s="6">
        <v>9750</v>
      </c>
      <c r="G33" s="5" t="s">
        <v>15</v>
      </c>
      <c r="H33" s="6">
        <f>SUMIFS(InventTrans!F:F,InventTrans!B:B,AtlasReport_3_Table_1[[#This Row],[Lot ID]],InventTrans!C:C,AtlasReport_3_Table_1[[#This Row],[Ship date]])</f>
        <v>9750</v>
      </c>
      <c r="I33" s="5" t="s">
        <v>15</v>
      </c>
      <c r="J33" s="5" t="s">
        <v>1225</v>
      </c>
    </row>
    <row r="34" spans="1:10" x14ac:dyDescent="0.15">
      <c r="A34" s="5" t="s">
        <v>48</v>
      </c>
      <c r="B34" s="5" t="s">
        <v>1223</v>
      </c>
      <c r="C34" s="5" t="s">
        <v>44</v>
      </c>
      <c r="D34" s="5" t="s">
        <v>45</v>
      </c>
      <c r="E34" s="9">
        <v>43563</v>
      </c>
      <c r="F34" s="6">
        <v>5850</v>
      </c>
      <c r="G34" s="5" t="s">
        <v>15</v>
      </c>
      <c r="H34" s="6">
        <f>SUMIFS(InventTrans!F:F,InventTrans!B:B,AtlasReport_3_Table_1[[#This Row],[Lot ID]],InventTrans!C:C,AtlasReport_3_Table_1[[#This Row],[Ship date]])</f>
        <v>5850</v>
      </c>
      <c r="I34" s="5" t="s">
        <v>15</v>
      </c>
      <c r="J34" s="5" t="s">
        <v>1226</v>
      </c>
    </row>
    <row r="35" spans="1:10" x14ac:dyDescent="0.15">
      <c r="A35" s="5" t="s">
        <v>48</v>
      </c>
      <c r="B35" s="5" t="s">
        <v>1227</v>
      </c>
      <c r="C35" s="5" t="s">
        <v>57</v>
      </c>
      <c r="D35" s="5" t="s">
        <v>54</v>
      </c>
      <c r="E35" s="9">
        <v>43563</v>
      </c>
      <c r="F35" s="6">
        <v>7760</v>
      </c>
      <c r="G35" s="5" t="s">
        <v>15</v>
      </c>
      <c r="H35" s="6">
        <f>SUMIFS(InventTrans!F:F,InventTrans!B:B,AtlasReport_3_Table_1[[#This Row],[Lot ID]],InventTrans!C:C,AtlasReport_3_Table_1[[#This Row],[Ship date]])</f>
        <v>7760</v>
      </c>
      <c r="I35" s="5" t="s">
        <v>15</v>
      </c>
      <c r="J35" s="5" t="s">
        <v>1228</v>
      </c>
    </row>
    <row r="36" spans="1:10" x14ac:dyDescent="0.15">
      <c r="A36" s="5" t="s">
        <v>48</v>
      </c>
      <c r="B36" s="5" t="s">
        <v>1227</v>
      </c>
      <c r="C36" s="5" t="s">
        <v>65</v>
      </c>
      <c r="D36" s="5" t="s">
        <v>45</v>
      </c>
      <c r="E36" s="9">
        <v>43563</v>
      </c>
      <c r="F36" s="6">
        <v>3000</v>
      </c>
      <c r="G36" s="5" t="s">
        <v>15</v>
      </c>
      <c r="H36" s="6">
        <f>SUMIFS(InventTrans!F:F,InventTrans!B:B,AtlasReport_3_Table_1[[#This Row],[Lot ID]],InventTrans!C:C,AtlasReport_3_Table_1[[#This Row],[Ship date]])</f>
        <v>3000</v>
      </c>
      <c r="I36" s="5" t="s">
        <v>15</v>
      </c>
      <c r="J36" s="5" t="s">
        <v>1229</v>
      </c>
    </row>
    <row r="37" spans="1:10" x14ac:dyDescent="0.15">
      <c r="A37" s="5" t="s">
        <v>48</v>
      </c>
      <c r="B37" s="5" t="s">
        <v>1227</v>
      </c>
      <c r="C37" s="5" t="s">
        <v>35</v>
      </c>
      <c r="D37" s="5" t="s">
        <v>36</v>
      </c>
      <c r="E37" s="9">
        <v>43563</v>
      </c>
      <c r="F37" s="6">
        <v>13650</v>
      </c>
      <c r="G37" s="5" t="s">
        <v>15</v>
      </c>
      <c r="H37" s="6">
        <f>SUMIFS(InventTrans!F:F,InventTrans!B:B,AtlasReport_3_Table_1[[#This Row],[Lot ID]],InventTrans!C:C,AtlasReport_3_Table_1[[#This Row],[Ship date]])</f>
        <v>13650</v>
      </c>
      <c r="I37" s="5" t="s">
        <v>15</v>
      </c>
      <c r="J37" s="5" t="s">
        <v>1230</v>
      </c>
    </row>
    <row r="38" spans="1:10" x14ac:dyDescent="0.15">
      <c r="A38" s="5" t="s">
        <v>48</v>
      </c>
      <c r="B38" s="5" t="s">
        <v>1231</v>
      </c>
      <c r="C38" s="5" t="s">
        <v>41</v>
      </c>
      <c r="D38" s="5" t="s">
        <v>36</v>
      </c>
      <c r="E38" s="9">
        <v>43598</v>
      </c>
      <c r="F38" s="6">
        <v>3880</v>
      </c>
      <c r="G38" s="5" t="s">
        <v>15</v>
      </c>
      <c r="H38" s="6">
        <f>SUMIFS(InventTrans!F:F,InventTrans!B:B,AtlasReport_3_Table_1[[#This Row],[Lot ID]],InventTrans!C:C,AtlasReport_3_Table_1[[#This Row],[Ship date]])</f>
        <v>3880</v>
      </c>
      <c r="I38" s="5" t="s">
        <v>15</v>
      </c>
      <c r="J38" s="5" t="s">
        <v>1232</v>
      </c>
    </row>
    <row r="39" spans="1:10" x14ac:dyDescent="0.15">
      <c r="A39" s="5" t="s">
        <v>48</v>
      </c>
      <c r="B39" s="5" t="s">
        <v>1231</v>
      </c>
      <c r="C39" s="5" t="s">
        <v>40</v>
      </c>
      <c r="D39" s="5" t="s">
        <v>36</v>
      </c>
      <c r="E39" s="9">
        <v>43598</v>
      </c>
      <c r="F39" s="6">
        <v>6000</v>
      </c>
      <c r="G39" s="5" t="s">
        <v>15</v>
      </c>
      <c r="H39" s="6">
        <f>SUMIFS(InventTrans!F:F,InventTrans!B:B,AtlasReport_3_Table_1[[#This Row],[Lot ID]],InventTrans!C:C,AtlasReport_3_Table_1[[#This Row],[Ship date]])</f>
        <v>6000</v>
      </c>
      <c r="I39" s="5" t="s">
        <v>15</v>
      </c>
      <c r="J39" s="5" t="s">
        <v>1233</v>
      </c>
    </row>
    <row r="40" spans="1:10" x14ac:dyDescent="0.15">
      <c r="A40" s="5" t="s">
        <v>48</v>
      </c>
      <c r="B40" s="5" t="s">
        <v>1231</v>
      </c>
      <c r="C40" s="5" t="s">
        <v>35</v>
      </c>
      <c r="D40" s="5" t="s">
        <v>36</v>
      </c>
      <c r="E40" s="9">
        <v>43598</v>
      </c>
      <c r="F40" s="6">
        <v>13650</v>
      </c>
      <c r="G40" s="5" t="s">
        <v>15</v>
      </c>
      <c r="H40" s="6">
        <f>SUMIFS(InventTrans!F:F,InventTrans!B:B,AtlasReport_3_Table_1[[#This Row],[Lot ID]],InventTrans!C:C,AtlasReport_3_Table_1[[#This Row],[Ship date]])</f>
        <v>13650</v>
      </c>
      <c r="I40" s="5" t="s">
        <v>15</v>
      </c>
      <c r="J40" s="5" t="s">
        <v>1234</v>
      </c>
    </row>
    <row r="41" spans="1:10" x14ac:dyDescent="0.15">
      <c r="A41" s="5" t="s">
        <v>48</v>
      </c>
      <c r="B41" s="5" t="s">
        <v>1235</v>
      </c>
      <c r="C41" s="5" t="s">
        <v>148</v>
      </c>
      <c r="D41" s="5" t="s">
        <v>59</v>
      </c>
      <c r="E41" s="9">
        <v>43591</v>
      </c>
      <c r="F41" s="6">
        <v>7275</v>
      </c>
      <c r="G41" s="5" t="s">
        <v>15</v>
      </c>
      <c r="H41" s="6">
        <f>SUMIFS(InventTrans!F:F,InventTrans!B:B,AtlasReport_3_Table_1[[#This Row],[Lot ID]],InventTrans!C:C,AtlasReport_3_Table_1[[#This Row],[Ship date]])</f>
        <v>7275</v>
      </c>
      <c r="I41" s="5" t="s">
        <v>15</v>
      </c>
      <c r="J41" s="5" t="s">
        <v>1236</v>
      </c>
    </row>
    <row r="42" spans="1:10" x14ac:dyDescent="0.15">
      <c r="A42" s="5" t="s">
        <v>48</v>
      </c>
      <c r="B42" s="5" t="s">
        <v>1237</v>
      </c>
      <c r="C42" s="5" t="s">
        <v>148</v>
      </c>
      <c r="D42" s="5" t="s">
        <v>59</v>
      </c>
      <c r="E42" s="9">
        <v>43591</v>
      </c>
      <c r="F42" s="6">
        <v>10670</v>
      </c>
      <c r="G42" s="5" t="s">
        <v>15</v>
      </c>
      <c r="H42" s="6">
        <f>SUMIFS(InventTrans!F:F,InventTrans!B:B,AtlasReport_3_Table_1[[#This Row],[Lot ID]],InventTrans!C:C,AtlasReport_3_Table_1[[#This Row],[Ship date]])</f>
        <v>10670</v>
      </c>
      <c r="I42" s="5" t="s">
        <v>15</v>
      </c>
      <c r="J42" s="5" t="s">
        <v>1238</v>
      </c>
    </row>
    <row r="43" spans="1:10" x14ac:dyDescent="0.15">
      <c r="A43" s="5" t="s">
        <v>48</v>
      </c>
      <c r="B43" s="5" t="s">
        <v>1239</v>
      </c>
      <c r="C43" s="5" t="s">
        <v>35</v>
      </c>
      <c r="D43" s="5" t="s">
        <v>36</v>
      </c>
      <c r="E43" s="9">
        <v>43592</v>
      </c>
      <c r="F43" s="6">
        <v>25350</v>
      </c>
      <c r="G43" s="5" t="s">
        <v>15</v>
      </c>
      <c r="H43" s="6">
        <f>SUMIFS(InventTrans!F:F,InventTrans!B:B,AtlasReport_3_Table_1[[#This Row],[Lot ID]],InventTrans!C:C,AtlasReport_3_Table_1[[#This Row],[Ship date]])</f>
        <v>25350</v>
      </c>
      <c r="I43" s="5" t="s">
        <v>15</v>
      </c>
      <c r="J43" s="5" t="s">
        <v>1240</v>
      </c>
    </row>
    <row r="44" spans="1:10" x14ac:dyDescent="0.15">
      <c r="A44" s="5" t="s">
        <v>48</v>
      </c>
      <c r="B44" s="5" t="s">
        <v>1241</v>
      </c>
      <c r="C44" s="5" t="s">
        <v>41</v>
      </c>
      <c r="D44" s="5" t="s">
        <v>36</v>
      </c>
      <c r="E44" s="9">
        <v>43598</v>
      </c>
      <c r="F44" s="6">
        <v>3880</v>
      </c>
      <c r="G44" s="5" t="s">
        <v>15</v>
      </c>
      <c r="H44" s="6">
        <f>SUMIFS(InventTrans!F:F,InventTrans!B:B,AtlasReport_3_Table_1[[#This Row],[Lot ID]],InventTrans!C:C,AtlasReport_3_Table_1[[#This Row],[Ship date]])</f>
        <v>3880</v>
      </c>
      <c r="I44" s="5" t="s">
        <v>15</v>
      </c>
      <c r="J44" s="5" t="s">
        <v>1242</v>
      </c>
    </row>
    <row r="45" spans="1:10" x14ac:dyDescent="0.15">
      <c r="A45" s="5" t="s">
        <v>48</v>
      </c>
      <c r="B45" s="5" t="s">
        <v>1241</v>
      </c>
      <c r="C45" s="5" t="s">
        <v>40</v>
      </c>
      <c r="D45" s="5" t="s">
        <v>36</v>
      </c>
      <c r="E45" s="9">
        <v>43598</v>
      </c>
      <c r="F45" s="6">
        <v>6000</v>
      </c>
      <c r="G45" s="5" t="s">
        <v>15</v>
      </c>
      <c r="H45" s="6">
        <f>SUMIFS(InventTrans!F:F,InventTrans!B:B,AtlasReport_3_Table_1[[#This Row],[Lot ID]],InventTrans!C:C,AtlasReport_3_Table_1[[#This Row],[Ship date]])</f>
        <v>6000</v>
      </c>
      <c r="I45" s="5" t="s">
        <v>15</v>
      </c>
      <c r="J45" s="5" t="s">
        <v>1243</v>
      </c>
    </row>
    <row r="46" spans="1:10" x14ac:dyDescent="0.15">
      <c r="A46" s="5" t="s">
        <v>48</v>
      </c>
      <c r="B46" s="5" t="s">
        <v>1241</v>
      </c>
      <c r="C46" s="5" t="s">
        <v>35</v>
      </c>
      <c r="D46" s="5" t="s">
        <v>36</v>
      </c>
      <c r="E46" s="9">
        <v>43598</v>
      </c>
      <c r="F46" s="6">
        <v>13650</v>
      </c>
      <c r="G46" s="5" t="s">
        <v>15</v>
      </c>
      <c r="H46" s="6">
        <f>SUMIFS(InventTrans!F:F,InventTrans!B:B,AtlasReport_3_Table_1[[#This Row],[Lot ID]],InventTrans!C:C,AtlasReport_3_Table_1[[#This Row],[Ship date]])</f>
        <v>13650</v>
      </c>
      <c r="I46" s="5" t="s">
        <v>15</v>
      </c>
      <c r="J46" s="5" t="s">
        <v>1244</v>
      </c>
    </row>
    <row r="47" spans="1:10" x14ac:dyDescent="0.15">
      <c r="A47" s="5" t="s">
        <v>48</v>
      </c>
      <c r="B47" s="5" t="s">
        <v>1245</v>
      </c>
      <c r="C47" s="5" t="s">
        <v>148</v>
      </c>
      <c r="D47" s="5" t="s">
        <v>59</v>
      </c>
      <c r="E47" s="9">
        <v>43619</v>
      </c>
      <c r="F47" s="6">
        <v>2910</v>
      </c>
      <c r="G47" s="5" t="s">
        <v>15</v>
      </c>
      <c r="H47" s="6">
        <f>SUMIFS(InventTrans!F:F,InventTrans!B:B,AtlasReport_3_Table_1[[#This Row],[Lot ID]],InventTrans!C:C,AtlasReport_3_Table_1[[#This Row],[Ship date]])</f>
        <v>2910</v>
      </c>
      <c r="I47" s="5" t="s">
        <v>15</v>
      </c>
      <c r="J47" s="5" t="s">
        <v>1246</v>
      </c>
    </row>
    <row r="48" spans="1:10" x14ac:dyDescent="0.15">
      <c r="A48" s="5" t="s">
        <v>48</v>
      </c>
      <c r="B48" s="5" t="s">
        <v>1245</v>
      </c>
      <c r="C48" s="5" t="s">
        <v>58</v>
      </c>
      <c r="D48" s="5" t="s">
        <v>59</v>
      </c>
      <c r="E48" s="9">
        <v>43619</v>
      </c>
      <c r="F48" s="6">
        <v>3375</v>
      </c>
      <c r="G48" s="5" t="s">
        <v>15</v>
      </c>
      <c r="H48" s="6">
        <f>SUMIFS(InventTrans!F:F,InventTrans!B:B,AtlasReport_3_Table_1[[#This Row],[Lot ID]],InventTrans!C:C,AtlasReport_3_Table_1[[#This Row],[Ship date]])</f>
        <v>3375</v>
      </c>
      <c r="I48" s="5" t="s">
        <v>15</v>
      </c>
      <c r="J48" s="5" t="s">
        <v>1247</v>
      </c>
    </row>
    <row r="49" spans="1:10" x14ac:dyDescent="0.15">
      <c r="A49" s="5" t="s">
        <v>48</v>
      </c>
      <c r="B49" s="5" t="s">
        <v>1245</v>
      </c>
      <c r="C49" s="5" t="s">
        <v>63</v>
      </c>
      <c r="D49" s="5" t="s">
        <v>52</v>
      </c>
      <c r="E49" s="9">
        <v>43619</v>
      </c>
      <c r="F49" s="6">
        <v>3880</v>
      </c>
      <c r="G49" s="5" t="s">
        <v>15</v>
      </c>
      <c r="H49" s="6">
        <f>SUMIFS(InventTrans!F:F,InventTrans!B:B,AtlasReport_3_Table_1[[#This Row],[Lot ID]],InventTrans!C:C,AtlasReport_3_Table_1[[#This Row],[Ship date]])</f>
        <v>3880</v>
      </c>
      <c r="I49" s="5" t="s">
        <v>15</v>
      </c>
      <c r="J49" s="5" t="s">
        <v>1248</v>
      </c>
    </row>
    <row r="50" spans="1:10" x14ac:dyDescent="0.15">
      <c r="A50" s="5" t="s">
        <v>48</v>
      </c>
      <c r="B50" s="5" t="s">
        <v>1245</v>
      </c>
      <c r="C50" s="5" t="s">
        <v>174</v>
      </c>
      <c r="D50" s="5" t="s">
        <v>52</v>
      </c>
      <c r="E50" s="9">
        <v>43619</v>
      </c>
      <c r="F50" s="6">
        <v>4500</v>
      </c>
      <c r="G50" s="5" t="s">
        <v>15</v>
      </c>
      <c r="H50" s="6">
        <f>SUMIFS(InventTrans!F:F,InventTrans!B:B,AtlasReport_3_Table_1[[#This Row],[Lot ID]],InventTrans!C:C,AtlasReport_3_Table_1[[#This Row],[Ship date]])</f>
        <v>4500</v>
      </c>
      <c r="I50" s="5" t="s">
        <v>15</v>
      </c>
      <c r="J50" s="5" t="s">
        <v>1249</v>
      </c>
    </row>
    <row r="51" spans="1:10" x14ac:dyDescent="0.15">
      <c r="A51" s="5" t="s">
        <v>48</v>
      </c>
      <c r="B51" s="5" t="s">
        <v>1245</v>
      </c>
      <c r="C51" s="5" t="s">
        <v>37</v>
      </c>
      <c r="D51" s="5" t="s">
        <v>38</v>
      </c>
      <c r="E51" s="9">
        <v>43619</v>
      </c>
      <c r="F51" s="6">
        <v>5850</v>
      </c>
      <c r="G51" s="5" t="s">
        <v>15</v>
      </c>
      <c r="H51" s="6">
        <f>SUMIFS(InventTrans!F:F,InventTrans!B:B,AtlasReport_3_Table_1[[#This Row],[Lot ID]],InventTrans!C:C,AtlasReport_3_Table_1[[#This Row],[Ship date]])</f>
        <v>5850</v>
      </c>
      <c r="I51" s="5" t="s">
        <v>15</v>
      </c>
      <c r="J51" s="5" t="s">
        <v>1250</v>
      </c>
    </row>
    <row r="52" spans="1:10" x14ac:dyDescent="0.15">
      <c r="A52" s="5" t="s">
        <v>48</v>
      </c>
      <c r="B52" s="5" t="s">
        <v>1251</v>
      </c>
      <c r="C52" s="5" t="s">
        <v>37</v>
      </c>
      <c r="D52" s="5" t="s">
        <v>38</v>
      </c>
      <c r="E52" s="9">
        <v>43627</v>
      </c>
      <c r="F52" s="6">
        <v>25350</v>
      </c>
      <c r="G52" s="5" t="s">
        <v>15</v>
      </c>
      <c r="H52" s="6">
        <f>SUMIFS(InventTrans!F:F,InventTrans!B:B,AtlasReport_3_Table_1[[#This Row],[Lot ID]],InventTrans!C:C,AtlasReport_3_Table_1[[#This Row],[Ship date]])</f>
        <v>25350</v>
      </c>
      <c r="I52" s="5" t="s">
        <v>15</v>
      </c>
      <c r="J52" s="5" t="s">
        <v>1252</v>
      </c>
    </row>
    <row r="53" spans="1:10" x14ac:dyDescent="0.15">
      <c r="A53" s="5" t="s">
        <v>48</v>
      </c>
      <c r="B53" s="5" t="s">
        <v>1253</v>
      </c>
      <c r="C53" s="5" t="s">
        <v>51</v>
      </c>
      <c r="D53" s="5" t="s">
        <v>52</v>
      </c>
      <c r="E53" s="9">
        <v>43647</v>
      </c>
      <c r="F53" s="6">
        <v>25350</v>
      </c>
      <c r="G53" s="5" t="s">
        <v>15</v>
      </c>
      <c r="H53" s="6">
        <f>SUMIFS(InventTrans!F:F,InventTrans!B:B,AtlasReport_3_Table_1[[#This Row],[Lot ID]],InventTrans!C:C,AtlasReport_3_Table_1[[#This Row],[Ship date]])</f>
        <v>25350</v>
      </c>
      <c r="I53" s="5" t="s">
        <v>15</v>
      </c>
      <c r="J53" s="5" t="s">
        <v>1254</v>
      </c>
    </row>
    <row r="54" spans="1:10" x14ac:dyDescent="0.15">
      <c r="A54" s="5" t="s">
        <v>48</v>
      </c>
      <c r="B54" s="5" t="s">
        <v>1255</v>
      </c>
      <c r="C54" s="5" t="s">
        <v>44</v>
      </c>
      <c r="D54" s="5" t="s">
        <v>45</v>
      </c>
      <c r="E54" s="9">
        <v>43647</v>
      </c>
      <c r="F54" s="6">
        <v>5850</v>
      </c>
      <c r="G54" s="5" t="s">
        <v>15</v>
      </c>
      <c r="H54" s="6">
        <f>SUMIFS(InventTrans!F:F,InventTrans!B:B,AtlasReport_3_Table_1[[#This Row],[Lot ID]],InventTrans!C:C,AtlasReport_3_Table_1[[#This Row],[Ship date]])</f>
        <v>5850</v>
      </c>
      <c r="I54" s="5" t="s">
        <v>15</v>
      </c>
      <c r="J54" s="5" t="s">
        <v>1256</v>
      </c>
    </row>
    <row r="55" spans="1:10" x14ac:dyDescent="0.15">
      <c r="A55" s="5" t="s">
        <v>48</v>
      </c>
      <c r="B55" s="5" t="s">
        <v>1255</v>
      </c>
      <c r="C55" s="5" t="s">
        <v>148</v>
      </c>
      <c r="D55" s="5" t="s">
        <v>59</v>
      </c>
      <c r="E55" s="9">
        <v>43647</v>
      </c>
      <c r="F55" s="6">
        <v>8730</v>
      </c>
      <c r="G55" s="5" t="s">
        <v>15</v>
      </c>
      <c r="H55" s="6">
        <f>SUMIFS(InventTrans!F:F,InventTrans!B:B,AtlasReport_3_Table_1[[#This Row],[Lot ID]],InventTrans!C:C,AtlasReport_3_Table_1[[#This Row],[Ship date]])</f>
        <v>8730</v>
      </c>
      <c r="I55" s="5" t="s">
        <v>15</v>
      </c>
      <c r="J55" s="5" t="s">
        <v>1257</v>
      </c>
    </row>
    <row r="56" spans="1:10" x14ac:dyDescent="0.15">
      <c r="A56" s="5" t="s">
        <v>48</v>
      </c>
      <c r="B56" s="5" t="s">
        <v>1258</v>
      </c>
      <c r="C56" s="5" t="s">
        <v>37</v>
      </c>
      <c r="D56" s="5" t="s">
        <v>38</v>
      </c>
      <c r="E56" s="9">
        <v>43658</v>
      </c>
      <c r="F56" s="6">
        <v>23400</v>
      </c>
      <c r="G56" s="5" t="s">
        <v>15</v>
      </c>
      <c r="H56" s="6">
        <f>SUMIFS(InventTrans!F:F,InventTrans!B:B,AtlasReport_3_Table_1[[#This Row],[Lot ID]],InventTrans!C:C,AtlasReport_3_Table_1[[#This Row],[Ship date]])</f>
        <v>23400</v>
      </c>
      <c r="I56" s="5" t="s">
        <v>15</v>
      </c>
      <c r="J56" s="5" t="s">
        <v>1259</v>
      </c>
    </row>
    <row r="57" spans="1:10" x14ac:dyDescent="0.15">
      <c r="A57" s="5" t="s">
        <v>48</v>
      </c>
      <c r="B57" s="5" t="s">
        <v>1260</v>
      </c>
      <c r="C57" s="5" t="s">
        <v>37</v>
      </c>
      <c r="D57" s="5" t="s">
        <v>38</v>
      </c>
      <c r="E57" s="9">
        <v>43658</v>
      </c>
      <c r="F57" s="6">
        <v>23400</v>
      </c>
      <c r="G57" s="5" t="s">
        <v>15</v>
      </c>
      <c r="H57" s="6">
        <f>SUMIFS(InventTrans!F:F,InventTrans!B:B,AtlasReport_3_Table_1[[#This Row],[Lot ID]],InventTrans!C:C,AtlasReport_3_Table_1[[#This Row],[Ship date]])</f>
        <v>23400</v>
      </c>
      <c r="I57" s="5" t="s">
        <v>15</v>
      </c>
      <c r="J57" s="5" t="s">
        <v>1261</v>
      </c>
    </row>
    <row r="58" spans="1:10" x14ac:dyDescent="0.15">
      <c r="A58" s="5" t="s">
        <v>48</v>
      </c>
      <c r="B58" s="5" t="s">
        <v>1262</v>
      </c>
      <c r="C58" s="5" t="s">
        <v>58</v>
      </c>
      <c r="D58" s="5" t="s">
        <v>59</v>
      </c>
      <c r="E58" s="9">
        <v>43647</v>
      </c>
      <c r="F58" s="6">
        <v>5625</v>
      </c>
      <c r="G58" s="5" t="s">
        <v>15</v>
      </c>
      <c r="H58" s="6">
        <f>SUMIFS(InventTrans!F:F,InventTrans!B:B,AtlasReport_3_Table_1[[#This Row],[Lot ID]],InventTrans!C:C,AtlasReport_3_Table_1[[#This Row],[Ship date]])</f>
        <v>5625</v>
      </c>
      <c r="I58" s="5" t="s">
        <v>15</v>
      </c>
      <c r="J58" s="5" t="s">
        <v>1263</v>
      </c>
    </row>
    <row r="59" spans="1:10" x14ac:dyDescent="0.15">
      <c r="A59" s="5" t="s">
        <v>48</v>
      </c>
      <c r="B59" s="5" t="s">
        <v>1262</v>
      </c>
      <c r="C59" s="5" t="s">
        <v>158</v>
      </c>
      <c r="D59" s="5" t="s">
        <v>159</v>
      </c>
      <c r="E59" s="9">
        <v>43647</v>
      </c>
      <c r="F59" s="6">
        <v>4680</v>
      </c>
      <c r="G59" s="5" t="s">
        <v>15</v>
      </c>
      <c r="H59" s="6">
        <f>SUMIFS(InventTrans!F:F,InventTrans!B:B,AtlasReport_3_Table_1[[#This Row],[Lot ID]],InventTrans!C:C,AtlasReport_3_Table_1[[#This Row],[Ship date]])</f>
        <v>4680</v>
      </c>
      <c r="I59" s="5" t="s">
        <v>15</v>
      </c>
      <c r="J59" s="5" t="s">
        <v>1264</v>
      </c>
    </row>
    <row r="60" spans="1:10" x14ac:dyDescent="0.15">
      <c r="A60" s="5" t="s">
        <v>48</v>
      </c>
      <c r="B60" s="5" t="s">
        <v>1262</v>
      </c>
      <c r="C60" s="5" t="s">
        <v>40</v>
      </c>
      <c r="D60" s="5" t="s">
        <v>36</v>
      </c>
      <c r="E60" s="9">
        <v>43647</v>
      </c>
      <c r="F60" s="6">
        <v>6000</v>
      </c>
      <c r="G60" s="5" t="s">
        <v>15</v>
      </c>
      <c r="H60" s="6">
        <f>SUMIFS(InventTrans!F:F,InventTrans!B:B,AtlasReport_3_Table_1[[#This Row],[Lot ID]],InventTrans!C:C,AtlasReport_3_Table_1[[#This Row],[Ship date]])</f>
        <v>6000</v>
      </c>
      <c r="I60" s="5" t="s">
        <v>15</v>
      </c>
      <c r="J60" s="5" t="s">
        <v>1265</v>
      </c>
    </row>
    <row r="61" spans="1:10" x14ac:dyDescent="0.15">
      <c r="A61" s="5" t="s">
        <v>48</v>
      </c>
      <c r="B61" s="5" t="s">
        <v>1266</v>
      </c>
      <c r="C61" s="5" t="s">
        <v>44</v>
      </c>
      <c r="D61" s="5" t="s">
        <v>45</v>
      </c>
      <c r="E61" s="9">
        <v>43657</v>
      </c>
      <c r="F61" s="6">
        <v>5850</v>
      </c>
      <c r="G61" s="5" t="s">
        <v>15</v>
      </c>
      <c r="H61" s="6">
        <f>SUMIFS(InventTrans!F:F,InventTrans!B:B,AtlasReport_3_Table_1[[#This Row],[Lot ID]],InventTrans!C:C,AtlasReport_3_Table_1[[#This Row],[Ship date]])</f>
        <v>5850</v>
      </c>
      <c r="I61" s="5" t="s">
        <v>15</v>
      </c>
      <c r="J61" s="5" t="s">
        <v>1267</v>
      </c>
    </row>
    <row r="62" spans="1:10" x14ac:dyDescent="0.15">
      <c r="A62" s="5" t="s">
        <v>48</v>
      </c>
      <c r="B62" s="5" t="s">
        <v>1266</v>
      </c>
      <c r="C62" s="5" t="s">
        <v>148</v>
      </c>
      <c r="D62" s="5" t="s">
        <v>59</v>
      </c>
      <c r="E62" s="9">
        <v>43657</v>
      </c>
      <c r="F62" s="6">
        <v>8730</v>
      </c>
      <c r="G62" s="5" t="s">
        <v>15</v>
      </c>
      <c r="H62" s="6">
        <f>SUMIFS(InventTrans!F:F,InventTrans!B:B,AtlasReport_3_Table_1[[#This Row],[Lot ID]],InventTrans!C:C,AtlasReport_3_Table_1[[#This Row],[Ship date]])</f>
        <v>8730</v>
      </c>
      <c r="I62" s="5" t="s">
        <v>15</v>
      </c>
      <c r="J62" s="5" t="s">
        <v>1268</v>
      </c>
    </row>
    <row r="63" spans="1:10" x14ac:dyDescent="0.15">
      <c r="A63" s="5" t="s">
        <v>48</v>
      </c>
      <c r="B63" s="5" t="s">
        <v>1269</v>
      </c>
      <c r="C63" s="5" t="s">
        <v>46</v>
      </c>
      <c r="D63" s="5" t="s">
        <v>45</v>
      </c>
      <c r="E63" s="9">
        <v>43682</v>
      </c>
      <c r="F63" s="6">
        <v>3880</v>
      </c>
      <c r="G63" s="5" t="s">
        <v>15</v>
      </c>
      <c r="H63" s="6">
        <f>SUMIFS(InventTrans!F:F,InventTrans!B:B,AtlasReport_3_Table_1[[#This Row],[Lot ID]],InventTrans!C:C,AtlasReport_3_Table_1[[#This Row],[Ship date]])</f>
        <v>3880</v>
      </c>
      <c r="I63" s="5" t="s">
        <v>15</v>
      </c>
      <c r="J63" s="5" t="s">
        <v>1270</v>
      </c>
    </row>
    <row r="64" spans="1:10" x14ac:dyDescent="0.15">
      <c r="A64" s="5" t="s">
        <v>48</v>
      </c>
      <c r="B64" s="5" t="s">
        <v>1269</v>
      </c>
      <c r="C64" s="5" t="s">
        <v>65</v>
      </c>
      <c r="D64" s="5" t="s">
        <v>45</v>
      </c>
      <c r="E64" s="9">
        <v>43682</v>
      </c>
      <c r="F64" s="6">
        <v>6000</v>
      </c>
      <c r="G64" s="5" t="s">
        <v>15</v>
      </c>
      <c r="H64" s="6">
        <f>SUMIFS(InventTrans!F:F,InventTrans!B:B,AtlasReport_3_Table_1[[#This Row],[Lot ID]],InventTrans!C:C,AtlasReport_3_Table_1[[#This Row],[Ship date]])</f>
        <v>6000</v>
      </c>
      <c r="I64" s="5" t="s">
        <v>15</v>
      </c>
      <c r="J64" s="5" t="s">
        <v>1271</v>
      </c>
    </row>
    <row r="65" spans="1:10" x14ac:dyDescent="0.15">
      <c r="A65" s="5" t="s">
        <v>48</v>
      </c>
      <c r="B65" s="5" t="s">
        <v>1269</v>
      </c>
      <c r="C65" s="5" t="s">
        <v>57</v>
      </c>
      <c r="D65" s="5" t="s">
        <v>54</v>
      </c>
      <c r="E65" s="9">
        <v>43682</v>
      </c>
      <c r="F65" s="6">
        <v>5820</v>
      </c>
      <c r="G65" s="5" t="s">
        <v>15</v>
      </c>
      <c r="H65" s="6">
        <f>SUMIFS(InventTrans!F:F,InventTrans!B:B,AtlasReport_3_Table_1[[#This Row],[Lot ID]],InventTrans!C:C,AtlasReport_3_Table_1[[#This Row],[Ship date]])</f>
        <v>5820</v>
      </c>
      <c r="I65" s="5" t="s">
        <v>15</v>
      </c>
      <c r="J65" s="5" t="s">
        <v>1272</v>
      </c>
    </row>
    <row r="66" spans="1:10" x14ac:dyDescent="0.15">
      <c r="A66" s="5" t="s">
        <v>48</v>
      </c>
      <c r="B66" s="5" t="s">
        <v>1269</v>
      </c>
      <c r="C66" s="5" t="s">
        <v>64</v>
      </c>
      <c r="D66" s="5" t="s">
        <v>54</v>
      </c>
      <c r="E66" s="9">
        <v>43682</v>
      </c>
      <c r="F66" s="6">
        <v>3000</v>
      </c>
      <c r="G66" s="5" t="s">
        <v>15</v>
      </c>
      <c r="H66" s="6">
        <f>SUMIFS(InventTrans!F:F,InventTrans!B:B,AtlasReport_3_Table_1[[#This Row],[Lot ID]],InventTrans!C:C,AtlasReport_3_Table_1[[#This Row],[Ship date]])</f>
        <v>3000</v>
      </c>
      <c r="I66" s="5" t="s">
        <v>15</v>
      </c>
      <c r="J66" s="5" t="s">
        <v>1273</v>
      </c>
    </row>
    <row r="67" spans="1:10" x14ac:dyDescent="0.15">
      <c r="A67" s="5" t="s">
        <v>48</v>
      </c>
      <c r="B67" s="5" t="s">
        <v>1269</v>
      </c>
      <c r="C67" s="5" t="s">
        <v>158</v>
      </c>
      <c r="D67" s="5" t="s">
        <v>159</v>
      </c>
      <c r="E67" s="9">
        <v>43682</v>
      </c>
      <c r="F67" s="6">
        <v>2340</v>
      </c>
      <c r="G67" s="5" t="s">
        <v>15</v>
      </c>
      <c r="H67" s="6">
        <f>SUMIFS(InventTrans!F:F,InventTrans!B:B,AtlasReport_3_Table_1[[#This Row],[Lot ID]],InventTrans!C:C,AtlasReport_3_Table_1[[#This Row],[Ship date]])</f>
        <v>2340</v>
      </c>
      <c r="I67" s="5" t="s">
        <v>15</v>
      </c>
      <c r="J67" s="5" t="s">
        <v>1274</v>
      </c>
    </row>
    <row r="68" spans="1:10" x14ac:dyDescent="0.15">
      <c r="A68" s="5" t="s">
        <v>48</v>
      </c>
      <c r="B68" s="5" t="s">
        <v>1275</v>
      </c>
      <c r="C68" s="5" t="s">
        <v>148</v>
      </c>
      <c r="D68" s="5" t="s">
        <v>59</v>
      </c>
      <c r="E68" s="9">
        <v>43682</v>
      </c>
      <c r="F68" s="6">
        <v>10767</v>
      </c>
      <c r="G68" s="5" t="s">
        <v>15</v>
      </c>
      <c r="H68" s="6">
        <f>SUMIFS(InventTrans!F:F,InventTrans!B:B,AtlasReport_3_Table_1[[#This Row],[Lot ID]],InventTrans!C:C,AtlasReport_3_Table_1[[#This Row],[Ship date]])</f>
        <v>10767</v>
      </c>
      <c r="I68" s="5" t="s">
        <v>15</v>
      </c>
      <c r="J68" s="5" t="s">
        <v>1276</v>
      </c>
    </row>
    <row r="69" spans="1:10" x14ac:dyDescent="0.15">
      <c r="A69" s="5" t="s">
        <v>48</v>
      </c>
      <c r="B69" s="5" t="s">
        <v>1277</v>
      </c>
      <c r="C69" s="5" t="s">
        <v>35</v>
      </c>
      <c r="D69" s="5" t="s">
        <v>36</v>
      </c>
      <c r="E69" s="9">
        <v>43682</v>
      </c>
      <c r="F69" s="6">
        <v>9750</v>
      </c>
      <c r="G69" s="5" t="s">
        <v>15</v>
      </c>
      <c r="H69" s="6">
        <f>SUMIFS(InventTrans!F:F,InventTrans!B:B,AtlasReport_3_Table_1[[#This Row],[Lot ID]],InventTrans!C:C,AtlasReport_3_Table_1[[#This Row],[Ship date]])</f>
        <v>9750</v>
      </c>
      <c r="I69" s="5" t="s">
        <v>15</v>
      </c>
      <c r="J69" s="5" t="s">
        <v>1278</v>
      </c>
    </row>
    <row r="70" spans="1:10" x14ac:dyDescent="0.15">
      <c r="A70" s="5" t="s">
        <v>48</v>
      </c>
      <c r="B70" s="5" t="s">
        <v>1279</v>
      </c>
      <c r="C70" s="5" t="s">
        <v>35</v>
      </c>
      <c r="D70" s="5" t="s">
        <v>36</v>
      </c>
      <c r="E70" s="9">
        <v>43710</v>
      </c>
      <c r="F70" s="6">
        <v>25350</v>
      </c>
      <c r="G70" s="5" t="s">
        <v>15</v>
      </c>
      <c r="H70" s="6">
        <f>SUMIFS(InventTrans!F:F,InventTrans!B:B,AtlasReport_3_Table_1[[#This Row],[Lot ID]],InventTrans!C:C,AtlasReport_3_Table_1[[#This Row],[Ship date]])</f>
        <v>25350</v>
      </c>
      <c r="I70" s="5" t="s">
        <v>15</v>
      </c>
      <c r="J70" s="5" t="s">
        <v>1280</v>
      </c>
    </row>
    <row r="71" spans="1:10" x14ac:dyDescent="0.15">
      <c r="A71" s="5" t="s">
        <v>48</v>
      </c>
      <c r="B71" s="5" t="s">
        <v>1281</v>
      </c>
      <c r="C71" s="5" t="s">
        <v>40</v>
      </c>
      <c r="D71" s="5" t="s">
        <v>36</v>
      </c>
      <c r="E71" s="9">
        <v>43745</v>
      </c>
      <c r="F71" s="6">
        <v>7500</v>
      </c>
      <c r="G71" s="5" t="s">
        <v>15</v>
      </c>
      <c r="H71" s="6">
        <f>SUMIFS(InventTrans!F:F,InventTrans!B:B,AtlasReport_3_Table_1[[#This Row],[Lot ID]],InventTrans!C:C,AtlasReport_3_Table_1[[#This Row],[Ship date]])</f>
        <v>7500</v>
      </c>
      <c r="I71" s="5" t="s">
        <v>15</v>
      </c>
      <c r="J71" s="5" t="s">
        <v>1282</v>
      </c>
    </row>
    <row r="72" spans="1:10" x14ac:dyDescent="0.15">
      <c r="A72" s="5" t="s">
        <v>48</v>
      </c>
      <c r="B72" s="5" t="s">
        <v>1281</v>
      </c>
      <c r="C72" s="5" t="s">
        <v>174</v>
      </c>
      <c r="D72" s="5" t="s">
        <v>52</v>
      </c>
      <c r="E72" s="9">
        <v>43745</v>
      </c>
      <c r="F72" s="6">
        <v>4500</v>
      </c>
      <c r="G72" s="5" t="s">
        <v>15</v>
      </c>
      <c r="H72" s="6">
        <f>SUMIFS(InventTrans!F:F,InventTrans!B:B,AtlasReport_3_Table_1[[#This Row],[Lot ID]],InventTrans!C:C,AtlasReport_3_Table_1[[#This Row],[Ship date]])</f>
        <v>4500</v>
      </c>
      <c r="I72" s="5" t="s">
        <v>15</v>
      </c>
      <c r="J72" s="5" t="s">
        <v>1283</v>
      </c>
    </row>
    <row r="73" spans="1:10" x14ac:dyDescent="0.15">
      <c r="A73" s="5" t="s">
        <v>48</v>
      </c>
      <c r="B73" s="5" t="s">
        <v>1281</v>
      </c>
      <c r="C73" s="5" t="s">
        <v>35</v>
      </c>
      <c r="D73" s="5" t="s">
        <v>36</v>
      </c>
      <c r="E73" s="9">
        <v>43745</v>
      </c>
      <c r="F73" s="6">
        <v>9750</v>
      </c>
      <c r="G73" s="5" t="s">
        <v>15</v>
      </c>
      <c r="H73" s="6">
        <f>SUMIFS(InventTrans!F:F,InventTrans!B:B,AtlasReport_3_Table_1[[#This Row],[Lot ID]],InventTrans!C:C,AtlasReport_3_Table_1[[#This Row],[Ship date]])</f>
        <v>9750</v>
      </c>
      <c r="I73" s="5" t="s">
        <v>15</v>
      </c>
      <c r="J73" s="5" t="s">
        <v>1284</v>
      </c>
    </row>
    <row r="74" spans="1:10" x14ac:dyDescent="0.15">
      <c r="A74" s="5" t="s">
        <v>48</v>
      </c>
      <c r="B74" s="5" t="s">
        <v>1285</v>
      </c>
      <c r="C74" s="5" t="s">
        <v>51</v>
      </c>
      <c r="D74" s="5" t="s">
        <v>52</v>
      </c>
      <c r="E74" s="9">
        <v>43745</v>
      </c>
      <c r="F74" s="6">
        <v>9750</v>
      </c>
      <c r="G74" s="5" t="s">
        <v>15</v>
      </c>
      <c r="H74" s="6">
        <f>SUMIFS(InventTrans!F:F,InventTrans!B:B,AtlasReport_3_Table_1[[#This Row],[Lot ID]],InventTrans!C:C,AtlasReport_3_Table_1[[#This Row],[Ship date]])</f>
        <v>9750</v>
      </c>
      <c r="I74" s="5" t="s">
        <v>15</v>
      </c>
      <c r="J74" s="5" t="s">
        <v>1286</v>
      </c>
    </row>
    <row r="75" spans="1:10" x14ac:dyDescent="0.15">
      <c r="A75" s="5" t="s">
        <v>48</v>
      </c>
      <c r="B75" s="5" t="s">
        <v>1285</v>
      </c>
      <c r="C75" s="5" t="s">
        <v>37</v>
      </c>
      <c r="D75" s="5" t="s">
        <v>38</v>
      </c>
      <c r="E75" s="9">
        <v>43745</v>
      </c>
      <c r="F75" s="6">
        <v>5850</v>
      </c>
      <c r="G75" s="5" t="s">
        <v>15</v>
      </c>
      <c r="H75" s="6">
        <f>SUMIFS(InventTrans!F:F,InventTrans!B:B,AtlasReport_3_Table_1[[#This Row],[Lot ID]],InventTrans!C:C,AtlasReport_3_Table_1[[#This Row],[Ship date]])</f>
        <v>5850</v>
      </c>
      <c r="I75" s="5" t="s">
        <v>15</v>
      </c>
      <c r="J75" s="5" t="s">
        <v>1287</v>
      </c>
    </row>
    <row r="76" spans="1:10" x14ac:dyDescent="0.15">
      <c r="A76" s="5" t="s">
        <v>48</v>
      </c>
      <c r="B76" s="5" t="s">
        <v>1285</v>
      </c>
      <c r="C76" s="5" t="s">
        <v>158</v>
      </c>
      <c r="D76" s="5" t="s">
        <v>159</v>
      </c>
      <c r="E76" s="9">
        <v>43745</v>
      </c>
      <c r="F76" s="6">
        <v>5850</v>
      </c>
      <c r="G76" s="5" t="s">
        <v>15</v>
      </c>
      <c r="H76" s="6">
        <f>SUMIFS(InventTrans!F:F,InventTrans!B:B,AtlasReport_3_Table_1[[#This Row],[Lot ID]],InventTrans!C:C,AtlasReport_3_Table_1[[#This Row],[Ship date]])</f>
        <v>5850</v>
      </c>
      <c r="I76" s="5" t="s">
        <v>15</v>
      </c>
      <c r="J76" s="5" t="s">
        <v>1288</v>
      </c>
    </row>
    <row r="77" spans="1:10" x14ac:dyDescent="0.15">
      <c r="A77" s="5" t="s">
        <v>48</v>
      </c>
      <c r="B77" s="5" t="s">
        <v>1289</v>
      </c>
      <c r="C77" s="5" t="s">
        <v>51</v>
      </c>
      <c r="D77" s="5" t="s">
        <v>52</v>
      </c>
      <c r="E77" s="9">
        <v>43745</v>
      </c>
      <c r="F77" s="6">
        <v>1950</v>
      </c>
      <c r="G77" s="5" t="s">
        <v>15</v>
      </c>
      <c r="H77" s="6">
        <f>SUMIFS(InventTrans!F:F,InventTrans!B:B,AtlasReport_3_Table_1[[#This Row],[Lot ID]],InventTrans!C:C,AtlasReport_3_Table_1[[#This Row],[Ship date]])</f>
        <v>1950</v>
      </c>
      <c r="I77" s="5" t="s">
        <v>15</v>
      </c>
      <c r="J77" s="5" t="s">
        <v>1290</v>
      </c>
    </row>
    <row r="78" spans="1:10" x14ac:dyDescent="0.15">
      <c r="A78" s="5" t="s">
        <v>48</v>
      </c>
      <c r="B78" s="5" t="s">
        <v>1289</v>
      </c>
      <c r="C78" s="5" t="s">
        <v>63</v>
      </c>
      <c r="D78" s="5" t="s">
        <v>52</v>
      </c>
      <c r="E78" s="9">
        <v>43745</v>
      </c>
      <c r="F78" s="6">
        <v>1940</v>
      </c>
      <c r="G78" s="5" t="s">
        <v>15</v>
      </c>
      <c r="H78" s="6">
        <f>SUMIFS(InventTrans!F:F,InventTrans!B:B,AtlasReport_3_Table_1[[#This Row],[Lot ID]],InventTrans!C:C,AtlasReport_3_Table_1[[#This Row],[Ship date]])</f>
        <v>1940</v>
      </c>
      <c r="I78" s="5" t="s">
        <v>15</v>
      </c>
      <c r="J78" s="5" t="s">
        <v>1291</v>
      </c>
    </row>
    <row r="79" spans="1:10" x14ac:dyDescent="0.15">
      <c r="A79" s="5" t="s">
        <v>48</v>
      </c>
      <c r="B79" s="5" t="s">
        <v>1289</v>
      </c>
      <c r="C79" s="5" t="s">
        <v>174</v>
      </c>
      <c r="D79" s="5" t="s">
        <v>52</v>
      </c>
      <c r="E79" s="9">
        <v>43745</v>
      </c>
      <c r="F79" s="6">
        <v>1500</v>
      </c>
      <c r="G79" s="5" t="s">
        <v>15</v>
      </c>
      <c r="H79" s="6">
        <f>SUMIFS(InventTrans!F:F,InventTrans!B:B,AtlasReport_3_Table_1[[#This Row],[Lot ID]],InventTrans!C:C,AtlasReport_3_Table_1[[#This Row],[Ship date]])</f>
        <v>1500</v>
      </c>
      <c r="I79" s="5" t="s">
        <v>15</v>
      </c>
      <c r="J79" s="5" t="s">
        <v>1292</v>
      </c>
    </row>
    <row r="80" spans="1:10" x14ac:dyDescent="0.15">
      <c r="A80" s="5" t="s">
        <v>48</v>
      </c>
      <c r="B80" s="5" t="s">
        <v>1289</v>
      </c>
      <c r="C80" s="5" t="s">
        <v>58</v>
      </c>
      <c r="D80" s="5" t="s">
        <v>59</v>
      </c>
      <c r="E80" s="9">
        <v>43745</v>
      </c>
      <c r="F80" s="6">
        <v>5625</v>
      </c>
      <c r="G80" s="5" t="s">
        <v>15</v>
      </c>
      <c r="H80" s="6">
        <f>SUMIFS(InventTrans!F:F,InventTrans!B:B,AtlasReport_3_Table_1[[#This Row],[Lot ID]],InventTrans!C:C,AtlasReport_3_Table_1[[#This Row],[Ship date]])</f>
        <v>5625</v>
      </c>
      <c r="I80" s="5" t="s">
        <v>15</v>
      </c>
      <c r="J80" s="5" t="s">
        <v>1293</v>
      </c>
    </row>
    <row r="81" spans="1:10" x14ac:dyDescent="0.15">
      <c r="A81" s="5" t="s">
        <v>48</v>
      </c>
      <c r="B81" s="5" t="s">
        <v>1289</v>
      </c>
      <c r="C81" s="5" t="s">
        <v>64</v>
      </c>
      <c r="D81" s="5" t="s">
        <v>54</v>
      </c>
      <c r="E81" s="9">
        <v>43745</v>
      </c>
      <c r="F81" s="6">
        <v>4500</v>
      </c>
      <c r="G81" s="5" t="s">
        <v>15</v>
      </c>
      <c r="H81" s="6">
        <f>SUMIFS(InventTrans!F:F,InventTrans!B:B,AtlasReport_3_Table_1[[#This Row],[Lot ID]],InventTrans!C:C,AtlasReport_3_Table_1[[#This Row],[Ship date]])</f>
        <v>4500</v>
      </c>
      <c r="I81" s="5" t="s">
        <v>15</v>
      </c>
      <c r="J81" s="5" t="s">
        <v>1294</v>
      </c>
    </row>
    <row r="82" spans="1:10" x14ac:dyDescent="0.15">
      <c r="A82" s="5" t="s">
        <v>48</v>
      </c>
      <c r="B82" s="5" t="s">
        <v>1289</v>
      </c>
      <c r="C82" s="5" t="s">
        <v>57</v>
      </c>
      <c r="D82" s="5" t="s">
        <v>54</v>
      </c>
      <c r="E82" s="9">
        <v>43745</v>
      </c>
      <c r="F82" s="6">
        <v>3880</v>
      </c>
      <c r="G82" s="5" t="s">
        <v>15</v>
      </c>
      <c r="H82" s="6">
        <f>SUMIFS(InventTrans!F:F,InventTrans!B:B,AtlasReport_3_Table_1[[#This Row],[Lot ID]],InventTrans!C:C,AtlasReport_3_Table_1[[#This Row],[Ship date]])</f>
        <v>3880</v>
      </c>
      <c r="I82" s="5" t="s">
        <v>15</v>
      </c>
      <c r="J82" s="5" t="s">
        <v>1295</v>
      </c>
    </row>
    <row r="83" spans="1:10" x14ac:dyDescent="0.15">
      <c r="A83" s="5" t="s">
        <v>48</v>
      </c>
      <c r="B83" s="5" t="s">
        <v>1296</v>
      </c>
      <c r="C83" s="5" t="s">
        <v>174</v>
      </c>
      <c r="D83" s="5" t="s">
        <v>52</v>
      </c>
      <c r="E83" s="9">
        <v>43766</v>
      </c>
      <c r="F83" s="6">
        <v>7500</v>
      </c>
      <c r="G83" s="5" t="s">
        <v>15</v>
      </c>
      <c r="H83" s="6">
        <f>SUMIFS(InventTrans!F:F,InventTrans!B:B,AtlasReport_3_Table_1[[#This Row],[Lot ID]],InventTrans!C:C,AtlasReport_3_Table_1[[#This Row],[Ship date]])</f>
        <v>7500</v>
      </c>
      <c r="I83" s="5" t="s">
        <v>15</v>
      </c>
      <c r="J83" s="5" t="s">
        <v>1297</v>
      </c>
    </row>
    <row r="84" spans="1:10" x14ac:dyDescent="0.15">
      <c r="A84" s="5" t="s">
        <v>48</v>
      </c>
      <c r="B84" s="5" t="s">
        <v>1296</v>
      </c>
      <c r="C84" s="5" t="s">
        <v>43</v>
      </c>
      <c r="D84" s="5" t="s">
        <v>38</v>
      </c>
      <c r="E84" s="9">
        <v>43766</v>
      </c>
      <c r="F84" s="6">
        <v>1940</v>
      </c>
      <c r="G84" s="5" t="s">
        <v>15</v>
      </c>
      <c r="H84" s="6">
        <f>SUMIFS(InventTrans!F:F,InventTrans!B:B,AtlasReport_3_Table_1[[#This Row],[Lot ID]],InventTrans!C:C,AtlasReport_3_Table_1[[#This Row],[Ship date]])</f>
        <v>1940</v>
      </c>
      <c r="I84" s="5" t="s">
        <v>15</v>
      </c>
      <c r="J84" s="5" t="s">
        <v>1298</v>
      </c>
    </row>
    <row r="85" spans="1:10" x14ac:dyDescent="0.15">
      <c r="A85" s="5" t="s">
        <v>48</v>
      </c>
      <c r="B85" s="5" t="s">
        <v>1296</v>
      </c>
      <c r="C85" s="5" t="s">
        <v>57</v>
      </c>
      <c r="D85" s="5" t="s">
        <v>54</v>
      </c>
      <c r="E85" s="9">
        <v>43766</v>
      </c>
      <c r="F85" s="6">
        <v>1940</v>
      </c>
      <c r="G85" s="5" t="s">
        <v>15</v>
      </c>
      <c r="H85" s="6">
        <f>SUMIFS(InventTrans!F:F,InventTrans!B:B,AtlasReport_3_Table_1[[#This Row],[Lot ID]],InventTrans!C:C,AtlasReport_3_Table_1[[#This Row],[Ship date]])</f>
        <v>1940</v>
      </c>
      <c r="I85" s="5" t="s">
        <v>15</v>
      </c>
      <c r="J85" s="5" t="s">
        <v>1299</v>
      </c>
    </row>
    <row r="86" spans="1:10" x14ac:dyDescent="0.15">
      <c r="A86" s="5" t="s">
        <v>48</v>
      </c>
      <c r="B86" s="5" t="s">
        <v>1296</v>
      </c>
      <c r="C86" s="5" t="s">
        <v>42</v>
      </c>
      <c r="D86" s="5" t="s">
        <v>38</v>
      </c>
      <c r="E86" s="9">
        <v>43766</v>
      </c>
      <c r="F86" s="6">
        <v>3000</v>
      </c>
      <c r="G86" s="5" t="s">
        <v>15</v>
      </c>
      <c r="H86" s="6">
        <f>SUMIFS(InventTrans!F:F,InventTrans!B:B,AtlasReport_3_Table_1[[#This Row],[Lot ID]],InventTrans!C:C,AtlasReport_3_Table_1[[#This Row],[Ship date]])</f>
        <v>3000</v>
      </c>
      <c r="I86" s="5" t="s">
        <v>15</v>
      </c>
      <c r="J86" s="5" t="s">
        <v>1300</v>
      </c>
    </row>
    <row r="87" spans="1:10" x14ac:dyDescent="0.15">
      <c r="A87" s="5" t="s">
        <v>48</v>
      </c>
      <c r="B87" s="5" t="s">
        <v>1296</v>
      </c>
      <c r="C87" s="5" t="s">
        <v>64</v>
      </c>
      <c r="D87" s="5" t="s">
        <v>54</v>
      </c>
      <c r="E87" s="9">
        <v>43766</v>
      </c>
      <c r="F87" s="6">
        <v>6000</v>
      </c>
      <c r="G87" s="5" t="s">
        <v>15</v>
      </c>
      <c r="H87" s="6">
        <f>SUMIFS(InventTrans!F:F,InventTrans!B:B,AtlasReport_3_Table_1[[#This Row],[Lot ID]],InventTrans!C:C,AtlasReport_3_Table_1[[#This Row],[Ship date]])</f>
        <v>6000</v>
      </c>
      <c r="I87" s="5" t="s">
        <v>15</v>
      </c>
      <c r="J87" s="5" t="s">
        <v>1301</v>
      </c>
    </row>
    <row r="88" spans="1:10" x14ac:dyDescent="0.15">
      <c r="A88" s="5" t="s">
        <v>48</v>
      </c>
      <c r="B88" s="5" t="s">
        <v>1302</v>
      </c>
      <c r="C88" s="5" t="s">
        <v>53</v>
      </c>
      <c r="D88" s="5" t="s">
        <v>54</v>
      </c>
      <c r="E88" s="9">
        <v>43511</v>
      </c>
      <c r="F88" s="6">
        <v>4095</v>
      </c>
      <c r="G88" s="5" t="s">
        <v>15</v>
      </c>
      <c r="H88" s="6">
        <f>SUMIFS(InventTrans!F:F,InventTrans!B:B,AtlasReport_3_Table_1[[#This Row],[Lot ID]],InventTrans!C:C,AtlasReport_3_Table_1[[#This Row],[Ship date]])</f>
        <v>4095</v>
      </c>
      <c r="I88" s="5" t="s">
        <v>15</v>
      </c>
      <c r="J88" s="5" t="s">
        <v>1303</v>
      </c>
    </row>
    <row r="89" spans="1:10" x14ac:dyDescent="0.15">
      <c r="A89" s="5" t="s">
        <v>48</v>
      </c>
      <c r="B89" s="5" t="s">
        <v>1302</v>
      </c>
      <c r="C89" s="5" t="s">
        <v>37</v>
      </c>
      <c r="D89" s="5" t="s">
        <v>38</v>
      </c>
      <c r="E89" s="9">
        <v>43511</v>
      </c>
      <c r="F89" s="6">
        <v>23887.5</v>
      </c>
      <c r="G89" s="5" t="s">
        <v>15</v>
      </c>
      <c r="H89" s="6">
        <f>SUMIFS(InventTrans!F:F,InventTrans!B:B,AtlasReport_3_Table_1[[#This Row],[Lot ID]],InventTrans!C:C,AtlasReport_3_Table_1[[#This Row],[Ship date]])</f>
        <v>23887.5</v>
      </c>
      <c r="I89" s="5" t="s">
        <v>15</v>
      </c>
      <c r="J89" s="5" t="s">
        <v>1304</v>
      </c>
    </row>
    <row r="90" spans="1:10" x14ac:dyDescent="0.15">
      <c r="A90" s="5" t="s">
        <v>48</v>
      </c>
      <c r="B90" s="5" t="s">
        <v>1305</v>
      </c>
      <c r="C90" s="5" t="s">
        <v>53</v>
      </c>
      <c r="D90" s="5" t="s">
        <v>54</v>
      </c>
      <c r="E90" s="9">
        <v>43515</v>
      </c>
      <c r="F90" s="6">
        <v>6435</v>
      </c>
      <c r="G90" s="5" t="s">
        <v>15</v>
      </c>
      <c r="H90" s="6">
        <f>SUMIFS(InventTrans!F:F,InventTrans!B:B,AtlasReport_3_Table_1[[#This Row],[Lot ID]],InventTrans!C:C,AtlasReport_3_Table_1[[#This Row],[Ship date]])</f>
        <v>6435</v>
      </c>
      <c r="I90" s="5" t="s">
        <v>15</v>
      </c>
      <c r="J90" s="5" t="s">
        <v>1306</v>
      </c>
    </row>
    <row r="91" spans="1:10" x14ac:dyDescent="0.15">
      <c r="A91" s="5" t="s">
        <v>48</v>
      </c>
      <c r="B91" s="5" t="s">
        <v>1305</v>
      </c>
      <c r="C91" s="5" t="s">
        <v>37</v>
      </c>
      <c r="D91" s="5" t="s">
        <v>38</v>
      </c>
      <c r="E91" s="9">
        <v>43515</v>
      </c>
      <c r="F91" s="6">
        <v>21450</v>
      </c>
      <c r="G91" s="5" t="s">
        <v>15</v>
      </c>
      <c r="H91" s="6">
        <f>SUMIFS(InventTrans!F:F,InventTrans!B:B,AtlasReport_3_Table_1[[#This Row],[Lot ID]],InventTrans!C:C,AtlasReport_3_Table_1[[#This Row],[Ship date]])</f>
        <v>21450</v>
      </c>
      <c r="I91" s="5" t="s">
        <v>15</v>
      </c>
      <c r="J91" s="5" t="s">
        <v>1307</v>
      </c>
    </row>
    <row r="92" spans="1:10" x14ac:dyDescent="0.15">
      <c r="A92" s="5" t="s">
        <v>48</v>
      </c>
      <c r="B92" s="5" t="s">
        <v>1308</v>
      </c>
      <c r="C92" s="5" t="s">
        <v>53</v>
      </c>
      <c r="D92" s="5" t="s">
        <v>54</v>
      </c>
      <c r="E92" s="9">
        <v>43558</v>
      </c>
      <c r="F92" s="6">
        <v>25350</v>
      </c>
      <c r="G92" s="5" t="s">
        <v>15</v>
      </c>
      <c r="H92" s="6">
        <f>SUMIFS(InventTrans!F:F,InventTrans!B:B,AtlasReport_3_Table_1[[#This Row],[Lot ID]],InventTrans!C:C,AtlasReport_3_Table_1[[#This Row],[Ship date]])</f>
        <v>25350</v>
      </c>
      <c r="I92" s="5" t="s">
        <v>15</v>
      </c>
      <c r="J92" s="5" t="s">
        <v>1309</v>
      </c>
    </row>
    <row r="93" spans="1:10" x14ac:dyDescent="0.15">
      <c r="A93" s="5" t="s">
        <v>48</v>
      </c>
      <c r="B93" s="5" t="s">
        <v>1310</v>
      </c>
      <c r="C93" s="5" t="s">
        <v>53</v>
      </c>
      <c r="D93" s="5" t="s">
        <v>54</v>
      </c>
      <c r="E93" s="9">
        <v>43573</v>
      </c>
      <c r="F93" s="6">
        <v>27885</v>
      </c>
      <c r="G93" s="5" t="s">
        <v>15</v>
      </c>
      <c r="H93" s="6">
        <f>SUMIFS(InventTrans!F:F,InventTrans!B:B,AtlasReport_3_Table_1[[#This Row],[Lot ID]],InventTrans!C:C,AtlasReport_3_Table_1[[#This Row],[Ship date]])</f>
        <v>27885</v>
      </c>
      <c r="I93" s="5" t="s">
        <v>15</v>
      </c>
      <c r="J93" s="5" t="s">
        <v>1311</v>
      </c>
    </row>
    <row r="94" spans="1:10" x14ac:dyDescent="0.15">
      <c r="A94" s="5" t="s">
        <v>48</v>
      </c>
      <c r="B94" s="5" t="s">
        <v>1312</v>
      </c>
      <c r="C94" s="5" t="s">
        <v>37</v>
      </c>
      <c r="D94" s="5" t="s">
        <v>38</v>
      </c>
      <c r="E94" s="9">
        <v>43620</v>
      </c>
      <c r="F94" s="6">
        <v>27885</v>
      </c>
      <c r="G94" s="5" t="s">
        <v>15</v>
      </c>
      <c r="H94" s="6">
        <f>SUMIFS(InventTrans!F:F,InventTrans!B:B,AtlasReport_3_Table_1[[#This Row],[Lot ID]],InventTrans!C:C,AtlasReport_3_Table_1[[#This Row],[Ship date]])</f>
        <v>27885</v>
      </c>
      <c r="I94" s="5" t="s">
        <v>15</v>
      </c>
      <c r="J94" s="5" t="s">
        <v>1313</v>
      </c>
    </row>
    <row r="95" spans="1:10" x14ac:dyDescent="0.15">
      <c r="A95" s="5" t="s">
        <v>48</v>
      </c>
      <c r="B95" s="5" t="s">
        <v>1314</v>
      </c>
      <c r="C95" s="5" t="s">
        <v>37</v>
      </c>
      <c r="D95" s="5" t="s">
        <v>38</v>
      </c>
      <c r="E95" s="9">
        <v>43633</v>
      </c>
      <c r="F95" s="6">
        <v>19305</v>
      </c>
      <c r="G95" s="5" t="s">
        <v>15</v>
      </c>
      <c r="H95" s="6">
        <f>SUMIFS(InventTrans!F:F,InventTrans!B:B,AtlasReport_3_Table_1[[#This Row],[Lot ID]],InventTrans!C:C,AtlasReport_3_Table_1[[#This Row],[Ship date]])</f>
        <v>19305</v>
      </c>
      <c r="I95" s="5" t="s">
        <v>15</v>
      </c>
      <c r="J95" s="5" t="s">
        <v>1315</v>
      </c>
    </row>
    <row r="96" spans="1:10" x14ac:dyDescent="0.15">
      <c r="A96" s="5" t="s">
        <v>48</v>
      </c>
      <c r="B96" s="5" t="s">
        <v>1314</v>
      </c>
      <c r="C96" s="5" t="s">
        <v>43</v>
      </c>
      <c r="D96" s="5" t="s">
        <v>38</v>
      </c>
      <c r="E96" s="9">
        <v>43633</v>
      </c>
      <c r="F96" s="6">
        <v>4268</v>
      </c>
      <c r="G96" s="5" t="s">
        <v>15</v>
      </c>
      <c r="H96" s="6">
        <f>SUMIFS(InventTrans!F:F,InventTrans!B:B,AtlasReport_3_Table_1[[#This Row],[Lot ID]],InventTrans!C:C,AtlasReport_3_Table_1[[#This Row],[Ship date]])</f>
        <v>4268</v>
      </c>
      <c r="I96" s="5" t="s">
        <v>15</v>
      </c>
      <c r="J96" s="5" t="s">
        <v>1316</v>
      </c>
    </row>
    <row r="97" spans="1:10" x14ac:dyDescent="0.15">
      <c r="A97" s="5" t="s">
        <v>48</v>
      </c>
      <c r="B97" s="5" t="s">
        <v>1314</v>
      </c>
      <c r="C97" s="5" t="s">
        <v>57</v>
      </c>
      <c r="D97" s="5" t="s">
        <v>54</v>
      </c>
      <c r="E97" s="9">
        <v>43633</v>
      </c>
      <c r="F97" s="6">
        <v>2134</v>
      </c>
      <c r="G97" s="5" t="s">
        <v>15</v>
      </c>
      <c r="H97" s="6">
        <f>SUMIFS(InventTrans!F:F,InventTrans!B:B,AtlasReport_3_Table_1[[#This Row],[Lot ID]],InventTrans!C:C,AtlasReport_3_Table_1[[#This Row],[Ship date]])</f>
        <v>2134</v>
      </c>
      <c r="I97" s="5" t="s">
        <v>15</v>
      </c>
      <c r="J97" s="5" t="s">
        <v>1317</v>
      </c>
    </row>
    <row r="98" spans="1:10" x14ac:dyDescent="0.15">
      <c r="A98" s="5" t="s">
        <v>48</v>
      </c>
      <c r="B98" s="5" t="s">
        <v>1314</v>
      </c>
      <c r="C98" s="5" t="s">
        <v>41</v>
      </c>
      <c r="D98" s="5" t="s">
        <v>36</v>
      </c>
      <c r="E98" s="9">
        <v>43633</v>
      </c>
      <c r="F98" s="6">
        <v>2134</v>
      </c>
      <c r="G98" s="5" t="s">
        <v>15</v>
      </c>
      <c r="H98" s="6">
        <f>SUMIFS(InventTrans!F:F,InventTrans!B:B,AtlasReport_3_Table_1[[#This Row],[Lot ID]],InventTrans!C:C,AtlasReport_3_Table_1[[#This Row],[Ship date]])</f>
        <v>2134</v>
      </c>
      <c r="I98" s="5" t="s">
        <v>15</v>
      </c>
      <c r="J98" s="5" t="s">
        <v>1318</v>
      </c>
    </row>
    <row r="99" spans="1:10" x14ac:dyDescent="0.15">
      <c r="A99" s="5" t="s">
        <v>48</v>
      </c>
      <c r="B99" s="5" t="s">
        <v>1319</v>
      </c>
      <c r="C99" s="5" t="s">
        <v>37</v>
      </c>
      <c r="D99" s="5" t="s">
        <v>38</v>
      </c>
      <c r="E99" s="9">
        <v>43641</v>
      </c>
      <c r="F99" s="6">
        <v>21450</v>
      </c>
      <c r="G99" s="5" t="s">
        <v>15</v>
      </c>
      <c r="H99" s="6">
        <f>SUMIFS(InventTrans!F:F,InventTrans!B:B,AtlasReport_3_Table_1[[#This Row],[Lot ID]],InventTrans!C:C,AtlasReport_3_Table_1[[#This Row],[Ship date]])</f>
        <v>21450</v>
      </c>
      <c r="I99" s="5" t="s">
        <v>15</v>
      </c>
      <c r="J99" s="5" t="s">
        <v>1320</v>
      </c>
    </row>
    <row r="100" spans="1:10" x14ac:dyDescent="0.15">
      <c r="A100" s="5" t="s">
        <v>48</v>
      </c>
      <c r="B100" s="5" t="s">
        <v>1319</v>
      </c>
      <c r="C100" s="5" t="s">
        <v>43</v>
      </c>
      <c r="D100" s="5" t="s">
        <v>38</v>
      </c>
      <c r="E100" s="9">
        <v>43641</v>
      </c>
      <c r="F100" s="6">
        <v>2134</v>
      </c>
      <c r="G100" s="5" t="s">
        <v>15</v>
      </c>
      <c r="H100" s="6">
        <f>SUMIFS(InventTrans!F:F,InventTrans!B:B,AtlasReport_3_Table_1[[#This Row],[Lot ID]],InventTrans!C:C,AtlasReport_3_Table_1[[#This Row],[Ship date]])</f>
        <v>2134</v>
      </c>
      <c r="I100" s="5" t="s">
        <v>15</v>
      </c>
      <c r="J100" s="5" t="s">
        <v>1321</v>
      </c>
    </row>
    <row r="101" spans="1:10" x14ac:dyDescent="0.15">
      <c r="A101" s="5" t="s">
        <v>48</v>
      </c>
      <c r="B101" s="5" t="s">
        <v>1319</v>
      </c>
      <c r="C101" s="5" t="s">
        <v>57</v>
      </c>
      <c r="D101" s="5" t="s">
        <v>54</v>
      </c>
      <c r="E101" s="9">
        <v>43641</v>
      </c>
      <c r="F101" s="6">
        <v>2134</v>
      </c>
      <c r="G101" s="5" t="s">
        <v>15</v>
      </c>
      <c r="H101" s="6">
        <f>SUMIFS(InventTrans!F:F,InventTrans!B:B,AtlasReport_3_Table_1[[#This Row],[Lot ID]],InventTrans!C:C,AtlasReport_3_Table_1[[#This Row],[Ship date]])</f>
        <v>2134</v>
      </c>
      <c r="I101" s="5" t="s">
        <v>15</v>
      </c>
      <c r="J101" s="5" t="s">
        <v>1322</v>
      </c>
    </row>
    <row r="102" spans="1:10" x14ac:dyDescent="0.15">
      <c r="A102" s="5" t="s">
        <v>48</v>
      </c>
      <c r="B102" s="5" t="s">
        <v>1319</v>
      </c>
      <c r="C102" s="5" t="s">
        <v>41</v>
      </c>
      <c r="D102" s="5" t="s">
        <v>36</v>
      </c>
      <c r="E102" s="9">
        <v>43641</v>
      </c>
      <c r="F102" s="6">
        <v>2134</v>
      </c>
      <c r="G102" s="5" t="s">
        <v>15</v>
      </c>
      <c r="H102" s="6">
        <f>SUMIFS(InventTrans!F:F,InventTrans!B:B,AtlasReport_3_Table_1[[#This Row],[Lot ID]],InventTrans!C:C,AtlasReport_3_Table_1[[#This Row],[Ship date]])</f>
        <v>2134</v>
      </c>
      <c r="I102" s="5" t="s">
        <v>15</v>
      </c>
      <c r="J102" s="5" t="s">
        <v>1323</v>
      </c>
    </row>
    <row r="103" spans="1:10" x14ac:dyDescent="0.15">
      <c r="A103" s="5" t="s">
        <v>48</v>
      </c>
      <c r="B103" s="5" t="s">
        <v>1324</v>
      </c>
      <c r="C103" s="5" t="s">
        <v>35</v>
      </c>
      <c r="D103" s="5" t="s">
        <v>36</v>
      </c>
      <c r="E103" s="9">
        <v>43686</v>
      </c>
      <c r="F103" s="6">
        <v>21450</v>
      </c>
      <c r="G103" s="5" t="s">
        <v>15</v>
      </c>
      <c r="H103" s="6">
        <f>SUMIFS(InventTrans!F:F,InventTrans!B:B,AtlasReport_3_Table_1[[#This Row],[Lot ID]],InventTrans!C:C,AtlasReport_3_Table_1[[#This Row],[Ship date]])</f>
        <v>21450</v>
      </c>
      <c r="I103" s="5" t="s">
        <v>15</v>
      </c>
      <c r="J103" s="5" t="s">
        <v>1325</v>
      </c>
    </row>
    <row r="104" spans="1:10" x14ac:dyDescent="0.15">
      <c r="A104" s="5" t="s">
        <v>48</v>
      </c>
      <c r="B104" s="5" t="s">
        <v>1324</v>
      </c>
      <c r="C104" s="5" t="s">
        <v>41</v>
      </c>
      <c r="D104" s="5" t="s">
        <v>36</v>
      </c>
      <c r="E104" s="9">
        <v>43686</v>
      </c>
      <c r="F104" s="6">
        <v>6402</v>
      </c>
      <c r="G104" s="5" t="s">
        <v>15</v>
      </c>
      <c r="H104" s="6">
        <f>SUMIFS(InventTrans!F:F,InventTrans!B:B,AtlasReport_3_Table_1[[#This Row],[Lot ID]],InventTrans!C:C,AtlasReport_3_Table_1[[#This Row],[Ship date]])</f>
        <v>6402</v>
      </c>
      <c r="I104" s="5" t="s">
        <v>15</v>
      </c>
      <c r="J104" s="5" t="s">
        <v>1326</v>
      </c>
    </row>
    <row r="105" spans="1:10" x14ac:dyDescent="0.15">
      <c r="A105" s="5" t="s">
        <v>48</v>
      </c>
      <c r="B105" s="5" t="s">
        <v>1327</v>
      </c>
      <c r="C105" s="5" t="s">
        <v>35</v>
      </c>
      <c r="D105" s="5" t="s">
        <v>36</v>
      </c>
      <c r="E105" s="9">
        <v>43697</v>
      </c>
      <c r="F105" s="6">
        <v>21450</v>
      </c>
      <c r="G105" s="5" t="s">
        <v>15</v>
      </c>
      <c r="H105" s="6">
        <f>SUMIFS(InventTrans!F:F,InventTrans!B:B,AtlasReport_3_Table_1[[#This Row],[Lot ID]],InventTrans!C:C,AtlasReport_3_Table_1[[#This Row],[Ship date]])</f>
        <v>21450</v>
      </c>
      <c r="I105" s="5" t="s">
        <v>15</v>
      </c>
      <c r="J105" s="5" t="s">
        <v>1328</v>
      </c>
    </row>
    <row r="106" spans="1:10" x14ac:dyDescent="0.15">
      <c r="A106" s="5" t="s">
        <v>48</v>
      </c>
      <c r="B106" s="5" t="s">
        <v>1327</v>
      </c>
      <c r="C106" s="5" t="s">
        <v>41</v>
      </c>
      <c r="D106" s="5" t="s">
        <v>36</v>
      </c>
      <c r="E106" s="9">
        <v>43697</v>
      </c>
      <c r="F106" s="6">
        <v>6402</v>
      </c>
      <c r="G106" s="5" t="s">
        <v>15</v>
      </c>
      <c r="H106" s="6">
        <f>SUMIFS(InventTrans!F:F,InventTrans!B:B,AtlasReport_3_Table_1[[#This Row],[Lot ID]],InventTrans!C:C,AtlasReport_3_Table_1[[#This Row],[Ship date]])</f>
        <v>6402</v>
      </c>
      <c r="I106" s="5" t="s">
        <v>15</v>
      </c>
      <c r="J106" s="5" t="s">
        <v>1329</v>
      </c>
    </row>
    <row r="107" spans="1:10" x14ac:dyDescent="0.15">
      <c r="A107" s="5" t="s">
        <v>48</v>
      </c>
      <c r="B107" s="5" t="s">
        <v>1330</v>
      </c>
      <c r="C107" s="5" t="s">
        <v>53</v>
      </c>
      <c r="D107" s="5" t="s">
        <v>54</v>
      </c>
      <c r="E107" s="9">
        <v>43724</v>
      </c>
      <c r="F107" s="6">
        <v>27885</v>
      </c>
      <c r="G107" s="5" t="s">
        <v>15</v>
      </c>
      <c r="H107" s="6">
        <f>SUMIFS(InventTrans!F:F,InventTrans!B:B,AtlasReport_3_Table_1[[#This Row],[Lot ID]],InventTrans!C:C,AtlasReport_3_Table_1[[#This Row],[Ship date]])</f>
        <v>27885</v>
      </c>
      <c r="I107" s="5" t="s">
        <v>15</v>
      </c>
      <c r="J107" s="5" t="s">
        <v>1331</v>
      </c>
    </row>
    <row r="108" spans="1:10" x14ac:dyDescent="0.15">
      <c r="A108" s="5" t="s">
        <v>48</v>
      </c>
      <c r="B108" s="5" t="s">
        <v>1332</v>
      </c>
      <c r="C108" s="5" t="s">
        <v>53</v>
      </c>
      <c r="D108" s="5" t="s">
        <v>54</v>
      </c>
      <c r="E108" s="9">
        <v>43766</v>
      </c>
      <c r="F108" s="6">
        <v>27885</v>
      </c>
      <c r="G108" s="5" t="s">
        <v>15</v>
      </c>
      <c r="H108" s="6">
        <f>SUMIFS(InventTrans!F:F,InventTrans!B:B,AtlasReport_3_Table_1[[#This Row],[Lot ID]],InventTrans!C:C,AtlasReport_3_Table_1[[#This Row],[Ship date]])</f>
        <v>27885</v>
      </c>
      <c r="I108" s="5" t="s">
        <v>15</v>
      </c>
      <c r="J108" s="5" t="s">
        <v>1333</v>
      </c>
    </row>
    <row r="109" spans="1:10" x14ac:dyDescent="0.15">
      <c r="A109" s="5" t="s">
        <v>48</v>
      </c>
      <c r="B109" s="5" t="s">
        <v>1334</v>
      </c>
      <c r="C109" s="5" t="s">
        <v>53</v>
      </c>
      <c r="D109" s="5" t="s">
        <v>54</v>
      </c>
      <c r="E109" s="9">
        <v>43805</v>
      </c>
      <c r="F109" s="6">
        <v>11700</v>
      </c>
      <c r="G109" s="5" t="s">
        <v>15</v>
      </c>
      <c r="H109" s="6">
        <f>SUMIFS(InventTrans!F:F,InventTrans!B:B,AtlasReport_3_Table_1[[#This Row],[Lot ID]],InventTrans!C:C,AtlasReport_3_Table_1[[#This Row],[Ship date]])</f>
        <v>11700</v>
      </c>
      <c r="I109" s="5" t="s">
        <v>15</v>
      </c>
      <c r="J109" s="5" t="s">
        <v>1335</v>
      </c>
    </row>
    <row r="110" spans="1:10" x14ac:dyDescent="0.15">
      <c r="A110" s="5" t="s">
        <v>48</v>
      </c>
      <c r="B110" s="5" t="s">
        <v>1336</v>
      </c>
      <c r="C110" s="5" t="s">
        <v>43</v>
      </c>
      <c r="D110" s="5" t="s">
        <v>38</v>
      </c>
      <c r="E110" s="9">
        <v>43514</v>
      </c>
      <c r="F110" s="6">
        <v>9700</v>
      </c>
      <c r="G110" s="5" t="s">
        <v>15</v>
      </c>
      <c r="H110" s="6">
        <f>SUMIFS(InventTrans!F:F,InventTrans!B:B,AtlasReport_3_Table_1[[#This Row],[Lot ID]],InventTrans!C:C,AtlasReport_3_Table_1[[#This Row],[Ship date]])</f>
        <v>9700</v>
      </c>
      <c r="I110" s="5" t="s">
        <v>15</v>
      </c>
      <c r="J110" s="5" t="s">
        <v>1337</v>
      </c>
    </row>
    <row r="111" spans="1:10" x14ac:dyDescent="0.15">
      <c r="A111" s="5" t="s">
        <v>48</v>
      </c>
      <c r="B111" s="5" t="s">
        <v>1336</v>
      </c>
      <c r="C111" s="5" t="s">
        <v>37</v>
      </c>
      <c r="D111" s="5" t="s">
        <v>38</v>
      </c>
      <c r="E111" s="9">
        <v>43514</v>
      </c>
      <c r="F111" s="6">
        <v>9750</v>
      </c>
      <c r="G111" s="5" t="s">
        <v>15</v>
      </c>
      <c r="H111" s="6">
        <f>SUMIFS(InventTrans!F:F,InventTrans!B:B,AtlasReport_3_Table_1[[#This Row],[Lot ID]],InventTrans!C:C,AtlasReport_3_Table_1[[#This Row],[Ship date]])</f>
        <v>9750</v>
      </c>
      <c r="I111" s="5" t="s">
        <v>15</v>
      </c>
      <c r="J111" s="5" t="s">
        <v>1338</v>
      </c>
    </row>
    <row r="112" spans="1:10" x14ac:dyDescent="0.15">
      <c r="A112" s="5" t="s">
        <v>48</v>
      </c>
      <c r="B112" s="5" t="s">
        <v>1336</v>
      </c>
      <c r="C112" s="5" t="s">
        <v>41</v>
      </c>
      <c r="D112" s="5" t="s">
        <v>36</v>
      </c>
      <c r="E112" s="9">
        <v>43514</v>
      </c>
      <c r="F112" s="6">
        <v>1940</v>
      </c>
      <c r="G112" s="5" t="s">
        <v>15</v>
      </c>
      <c r="H112" s="6">
        <f>SUMIFS(InventTrans!F:F,InventTrans!B:B,AtlasReport_3_Table_1[[#This Row],[Lot ID]],InventTrans!C:C,AtlasReport_3_Table_1[[#This Row],[Ship date]])</f>
        <v>1940</v>
      </c>
      <c r="I112" s="5" t="s">
        <v>15</v>
      </c>
      <c r="J112" s="5" t="s">
        <v>1339</v>
      </c>
    </row>
    <row r="113" spans="1:10" x14ac:dyDescent="0.15">
      <c r="A113" s="5" t="s">
        <v>48</v>
      </c>
      <c r="B113" s="5" t="s">
        <v>1336</v>
      </c>
      <c r="C113" s="5" t="s">
        <v>35</v>
      </c>
      <c r="D113" s="5" t="s">
        <v>36</v>
      </c>
      <c r="E113" s="9">
        <v>43514</v>
      </c>
      <c r="F113" s="6">
        <v>1950</v>
      </c>
      <c r="G113" s="5" t="s">
        <v>15</v>
      </c>
      <c r="H113" s="6">
        <f>SUMIFS(InventTrans!F:F,InventTrans!B:B,AtlasReport_3_Table_1[[#This Row],[Lot ID]],InventTrans!C:C,AtlasReport_3_Table_1[[#This Row],[Ship date]])</f>
        <v>1950</v>
      </c>
      <c r="I113" s="5" t="s">
        <v>15</v>
      </c>
      <c r="J113" s="5" t="s">
        <v>1340</v>
      </c>
    </row>
    <row r="114" spans="1:10" x14ac:dyDescent="0.15">
      <c r="A114" s="5" t="s">
        <v>48</v>
      </c>
      <c r="B114" s="5" t="s">
        <v>1341</v>
      </c>
      <c r="C114" s="5" t="s">
        <v>43</v>
      </c>
      <c r="D114" s="5" t="s">
        <v>38</v>
      </c>
      <c r="E114" s="9">
        <v>43521</v>
      </c>
      <c r="F114" s="6">
        <v>23280</v>
      </c>
      <c r="G114" s="5" t="s">
        <v>15</v>
      </c>
      <c r="H114" s="6">
        <f>SUMIFS(InventTrans!F:F,InventTrans!B:B,AtlasReport_3_Table_1[[#This Row],[Lot ID]],InventTrans!C:C,AtlasReport_3_Table_1[[#This Row],[Ship date]])</f>
        <v>23280</v>
      </c>
      <c r="I114" s="5" t="s">
        <v>15</v>
      </c>
      <c r="J114" s="5" t="s">
        <v>1342</v>
      </c>
    </row>
    <row r="115" spans="1:10" x14ac:dyDescent="0.15">
      <c r="A115" s="5" t="s">
        <v>48</v>
      </c>
      <c r="B115" s="5" t="s">
        <v>1343</v>
      </c>
      <c r="C115" s="5" t="s">
        <v>37</v>
      </c>
      <c r="D115" s="5" t="s">
        <v>38</v>
      </c>
      <c r="E115" s="9">
        <v>43535</v>
      </c>
      <c r="F115" s="6">
        <v>13650</v>
      </c>
      <c r="G115" s="5" t="s">
        <v>15</v>
      </c>
      <c r="H115" s="6">
        <f>SUMIFS(InventTrans!F:F,InventTrans!B:B,AtlasReport_3_Table_1[[#This Row],[Lot ID]],InventTrans!C:C,AtlasReport_3_Table_1[[#This Row],[Ship date]])</f>
        <v>13650</v>
      </c>
      <c r="I115" s="5" t="s">
        <v>15</v>
      </c>
      <c r="J115" s="5" t="s">
        <v>1344</v>
      </c>
    </row>
    <row r="116" spans="1:10" x14ac:dyDescent="0.15">
      <c r="A116" s="5" t="s">
        <v>48</v>
      </c>
      <c r="B116" s="5" t="s">
        <v>1345</v>
      </c>
      <c r="C116" s="5" t="s">
        <v>37</v>
      </c>
      <c r="D116" s="5" t="s">
        <v>38</v>
      </c>
      <c r="E116" s="9">
        <v>43566</v>
      </c>
      <c r="F116" s="6">
        <v>13650</v>
      </c>
      <c r="G116" s="5" t="s">
        <v>15</v>
      </c>
      <c r="H116" s="6">
        <f>SUMIFS(InventTrans!F:F,InventTrans!B:B,AtlasReport_3_Table_1[[#This Row],[Lot ID]],InventTrans!C:C,AtlasReport_3_Table_1[[#This Row],[Ship date]])</f>
        <v>13650</v>
      </c>
      <c r="I116" s="5" t="s">
        <v>15</v>
      </c>
      <c r="J116" s="5" t="s">
        <v>1346</v>
      </c>
    </row>
    <row r="117" spans="1:10" x14ac:dyDescent="0.15">
      <c r="A117" s="5" t="s">
        <v>48</v>
      </c>
      <c r="B117" s="5" t="s">
        <v>1347</v>
      </c>
      <c r="C117" s="5" t="s">
        <v>37</v>
      </c>
      <c r="D117" s="5" t="s">
        <v>38</v>
      </c>
      <c r="E117" s="9">
        <v>43563</v>
      </c>
      <c r="F117" s="6">
        <v>25350</v>
      </c>
      <c r="G117" s="5" t="s">
        <v>15</v>
      </c>
      <c r="H117" s="6">
        <f>SUMIFS(InventTrans!F:F,InventTrans!B:B,AtlasReport_3_Table_1[[#This Row],[Lot ID]],InventTrans!C:C,AtlasReport_3_Table_1[[#This Row],[Ship date]])</f>
        <v>25350</v>
      </c>
      <c r="I117" s="5" t="s">
        <v>15</v>
      </c>
      <c r="J117" s="5" t="s">
        <v>1348</v>
      </c>
    </row>
    <row r="118" spans="1:10" x14ac:dyDescent="0.15">
      <c r="A118" s="5" t="s">
        <v>48</v>
      </c>
      <c r="B118" s="5" t="s">
        <v>1349</v>
      </c>
      <c r="C118" s="5" t="s">
        <v>43</v>
      </c>
      <c r="D118" s="5" t="s">
        <v>38</v>
      </c>
      <c r="E118" s="9">
        <v>43570</v>
      </c>
      <c r="F118" s="6">
        <v>23280</v>
      </c>
      <c r="G118" s="5" t="s">
        <v>15</v>
      </c>
      <c r="H118" s="6">
        <f>SUMIFS(InventTrans!F:F,InventTrans!B:B,AtlasReport_3_Table_1[[#This Row],[Lot ID]],InventTrans!C:C,AtlasReport_3_Table_1[[#This Row],[Ship date]])</f>
        <v>23280</v>
      </c>
      <c r="I118" s="5" t="s">
        <v>15</v>
      </c>
      <c r="J118" s="5" t="s">
        <v>1350</v>
      </c>
    </row>
    <row r="119" spans="1:10" x14ac:dyDescent="0.15">
      <c r="A119" s="5" t="s">
        <v>48</v>
      </c>
      <c r="B119" s="5" t="s">
        <v>1351</v>
      </c>
      <c r="C119" s="5" t="s">
        <v>46</v>
      </c>
      <c r="D119" s="5" t="s">
        <v>45</v>
      </c>
      <c r="E119" s="9">
        <v>43612</v>
      </c>
      <c r="F119" s="6">
        <v>2037</v>
      </c>
      <c r="G119" s="5" t="s">
        <v>15</v>
      </c>
      <c r="H119" s="6">
        <f>SUMIFS(InventTrans!F:F,InventTrans!B:B,AtlasReport_3_Table_1[[#This Row],[Lot ID]],InventTrans!C:C,AtlasReport_3_Table_1[[#This Row],[Ship date]])</f>
        <v>2037</v>
      </c>
      <c r="I119" s="5" t="s">
        <v>15</v>
      </c>
      <c r="J119" s="5" t="s">
        <v>1352</v>
      </c>
    </row>
    <row r="120" spans="1:10" x14ac:dyDescent="0.15">
      <c r="A120" s="5" t="s">
        <v>48</v>
      </c>
      <c r="B120" s="5" t="s">
        <v>1351</v>
      </c>
      <c r="C120" s="5" t="s">
        <v>41</v>
      </c>
      <c r="D120" s="5" t="s">
        <v>36</v>
      </c>
      <c r="E120" s="9">
        <v>43612</v>
      </c>
      <c r="F120" s="6">
        <v>3880</v>
      </c>
      <c r="G120" s="5" t="s">
        <v>15</v>
      </c>
      <c r="H120" s="6">
        <f>SUMIFS(InventTrans!F:F,InventTrans!B:B,AtlasReport_3_Table_1[[#This Row],[Lot ID]],InventTrans!C:C,AtlasReport_3_Table_1[[#This Row],[Ship date]])</f>
        <v>3880</v>
      </c>
      <c r="I120" s="5" t="s">
        <v>15</v>
      </c>
      <c r="J120" s="5" t="s">
        <v>1353</v>
      </c>
    </row>
    <row r="121" spans="1:10" x14ac:dyDescent="0.15">
      <c r="A121" s="5" t="s">
        <v>48</v>
      </c>
      <c r="B121" s="5" t="s">
        <v>1351</v>
      </c>
      <c r="C121" s="5" t="s">
        <v>35</v>
      </c>
      <c r="D121" s="5" t="s">
        <v>36</v>
      </c>
      <c r="E121" s="9">
        <v>43612</v>
      </c>
      <c r="F121" s="6">
        <v>3900</v>
      </c>
      <c r="G121" s="5" t="s">
        <v>15</v>
      </c>
      <c r="H121" s="6">
        <f>SUMIFS(InventTrans!F:F,InventTrans!B:B,AtlasReport_3_Table_1[[#This Row],[Lot ID]],InventTrans!C:C,AtlasReport_3_Table_1[[#This Row],[Ship date]])</f>
        <v>3900</v>
      </c>
      <c r="I121" s="5" t="s">
        <v>15</v>
      </c>
      <c r="J121" s="5" t="s">
        <v>1354</v>
      </c>
    </row>
    <row r="122" spans="1:10" x14ac:dyDescent="0.15">
      <c r="A122" s="5" t="s">
        <v>48</v>
      </c>
      <c r="B122" s="5" t="s">
        <v>1351</v>
      </c>
      <c r="C122" s="5" t="s">
        <v>43</v>
      </c>
      <c r="D122" s="5" t="s">
        <v>38</v>
      </c>
      <c r="E122" s="9">
        <v>43612</v>
      </c>
      <c r="F122" s="6">
        <v>7760</v>
      </c>
      <c r="G122" s="5" t="s">
        <v>15</v>
      </c>
      <c r="H122" s="6">
        <f>SUMIFS(InventTrans!F:F,InventTrans!B:B,AtlasReport_3_Table_1[[#This Row],[Lot ID]],InventTrans!C:C,AtlasReport_3_Table_1[[#This Row],[Ship date]])</f>
        <v>7760</v>
      </c>
      <c r="I122" s="5" t="s">
        <v>15</v>
      </c>
      <c r="J122" s="5" t="s">
        <v>1355</v>
      </c>
    </row>
    <row r="123" spans="1:10" x14ac:dyDescent="0.15">
      <c r="A123" s="5" t="s">
        <v>48</v>
      </c>
      <c r="B123" s="5" t="s">
        <v>1351</v>
      </c>
      <c r="C123" s="5" t="s">
        <v>37</v>
      </c>
      <c r="D123" s="5" t="s">
        <v>38</v>
      </c>
      <c r="E123" s="9">
        <v>43612</v>
      </c>
      <c r="F123" s="6">
        <v>7800</v>
      </c>
      <c r="G123" s="5" t="s">
        <v>15</v>
      </c>
      <c r="H123" s="6">
        <f>SUMIFS(InventTrans!F:F,InventTrans!B:B,AtlasReport_3_Table_1[[#This Row],[Lot ID]],InventTrans!C:C,AtlasReport_3_Table_1[[#This Row],[Ship date]])</f>
        <v>7800</v>
      </c>
      <c r="I123" s="5" t="s">
        <v>15</v>
      </c>
      <c r="J123" s="5" t="s">
        <v>1356</v>
      </c>
    </row>
    <row r="124" spans="1:10" x14ac:dyDescent="0.15">
      <c r="A124" s="5" t="s">
        <v>48</v>
      </c>
      <c r="B124" s="5" t="s">
        <v>1357</v>
      </c>
      <c r="C124" s="5" t="s">
        <v>43</v>
      </c>
      <c r="D124" s="5" t="s">
        <v>38</v>
      </c>
      <c r="E124" s="9">
        <v>43613</v>
      </c>
      <c r="F124" s="6">
        <v>19400</v>
      </c>
      <c r="G124" s="5" t="s">
        <v>15</v>
      </c>
      <c r="H124" s="6">
        <f>SUMIFS(InventTrans!F:F,InventTrans!B:B,AtlasReport_3_Table_1[[#This Row],[Lot ID]],InventTrans!C:C,AtlasReport_3_Table_1[[#This Row],[Ship date]])</f>
        <v>19400</v>
      </c>
      <c r="I124" s="5" t="s">
        <v>15</v>
      </c>
      <c r="J124" s="5" t="s">
        <v>1358</v>
      </c>
    </row>
    <row r="125" spans="1:10" x14ac:dyDescent="0.15">
      <c r="A125" s="5" t="s">
        <v>48</v>
      </c>
      <c r="B125" s="5" t="s">
        <v>1357</v>
      </c>
      <c r="C125" s="5" t="s">
        <v>37</v>
      </c>
      <c r="D125" s="5" t="s">
        <v>38</v>
      </c>
      <c r="E125" s="9">
        <v>43613</v>
      </c>
      <c r="F125" s="6">
        <v>3900</v>
      </c>
      <c r="G125" s="5" t="s">
        <v>15</v>
      </c>
      <c r="H125" s="6">
        <f>SUMIFS(InventTrans!F:F,InventTrans!B:B,AtlasReport_3_Table_1[[#This Row],[Lot ID]],InventTrans!C:C,AtlasReport_3_Table_1[[#This Row],[Ship date]])</f>
        <v>3900</v>
      </c>
      <c r="I125" s="5" t="s">
        <v>15</v>
      </c>
      <c r="J125" s="5" t="s">
        <v>1359</v>
      </c>
    </row>
    <row r="126" spans="1:10" x14ac:dyDescent="0.15">
      <c r="A126" s="5" t="s">
        <v>48</v>
      </c>
      <c r="B126" s="5" t="s">
        <v>1360</v>
      </c>
      <c r="C126" s="5" t="s">
        <v>37</v>
      </c>
      <c r="D126" s="5" t="s">
        <v>38</v>
      </c>
      <c r="E126" s="9">
        <v>43633</v>
      </c>
      <c r="F126" s="6">
        <v>17550</v>
      </c>
      <c r="G126" s="5" t="s">
        <v>15</v>
      </c>
      <c r="H126" s="6">
        <f>SUMIFS(InventTrans!F:F,InventTrans!B:B,AtlasReport_3_Table_1[[#This Row],[Lot ID]],InventTrans!C:C,AtlasReport_3_Table_1[[#This Row],[Ship date]])</f>
        <v>17550</v>
      </c>
      <c r="I126" s="5" t="s">
        <v>15</v>
      </c>
      <c r="J126" s="5" t="s">
        <v>1361</v>
      </c>
    </row>
    <row r="127" spans="1:10" x14ac:dyDescent="0.15">
      <c r="A127" s="5" t="s">
        <v>48</v>
      </c>
      <c r="B127" s="5" t="s">
        <v>1360</v>
      </c>
      <c r="C127" s="5" t="s">
        <v>43</v>
      </c>
      <c r="D127" s="5" t="s">
        <v>38</v>
      </c>
      <c r="E127" s="9">
        <v>43633</v>
      </c>
      <c r="F127" s="6">
        <v>7760</v>
      </c>
      <c r="G127" s="5" t="s">
        <v>15</v>
      </c>
      <c r="H127" s="6">
        <f>SUMIFS(InventTrans!F:F,InventTrans!B:B,AtlasReport_3_Table_1[[#This Row],[Lot ID]],InventTrans!C:C,AtlasReport_3_Table_1[[#This Row],[Ship date]])</f>
        <v>7760</v>
      </c>
      <c r="I127" s="5" t="s">
        <v>15</v>
      </c>
      <c r="J127" s="5" t="s">
        <v>1362</v>
      </c>
    </row>
    <row r="128" spans="1:10" x14ac:dyDescent="0.15">
      <c r="A128" s="5" t="s">
        <v>48</v>
      </c>
      <c r="B128" s="5" t="s">
        <v>1363</v>
      </c>
      <c r="C128" s="5" t="s">
        <v>37</v>
      </c>
      <c r="D128" s="5" t="s">
        <v>38</v>
      </c>
      <c r="E128" s="9">
        <v>43641</v>
      </c>
      <c r="F128" s="6">
        <v>19500</v>
      </c>
      <c r="G128" s="5" t="s">
        <v>15</v>
      </c>
      <c r="H128" s="6">
        <f>SUMIFS(InventTrans!F:F,InventTrans!B:B,AtlasReport_3_Table_1[[#This Row],[Lot ID]],InventTrans!C:C,AtlasReport_3_Table_1[[#This Row],[Ship date]])</f>
        <v>19500</v>
      </c>
      <c r="I128" s="5" t="s">
        <v>15</v>
      </c>
      <c r="J128" s="5" t="s">
        <v>1364</v>
      </c>
    </row>
    <row r="129" spans="1:10" x14ac:dyDescent="0.15">
      <c r="A129" s="5" t="s">
        <v>48</v>
      </c>
      <c r="B129" s="5" t="s">
        <v>1363</v>
      </c>
      <c r="C129" s="5" t="s">
        <v>43</v>
      </c>
      <c r="D129" s="5" t="s">
        <v>38</v>
      </c>
      <c r="E129" s="9">
        <v>43641</v>
      </c>
      <c r="F129" s="6">
        <v>5820</v>
      </c>
      <c r="G129" s="5" t="s">
        <v>15</v>
      </c>
      <c r="H129" s="6">
        <f>SUMIFS(InventTrans!F:F,InventTrans!B:B,AtlasReport_3_Table_1[[#This Row],[Lot ID]],InventTrans!C:C,AtlasReport_3_Table_1[[#This Row],[Ship date]])</f>
        <v>5820</v>
      </c>
      <c r="I129" s="5" t="s">
        <v>15</v>
      </c>
      <c r="J129" s="5" t="s">
        <v>1365</v>
      </c>
    </row>
    <row r="130" spans="1:10" x14ac:dyDescent="0.15">
      <c r="A130" s="5" t="s">
        <v>48</v>
      </c>
      <c r="B130" s="5" t="s">
        <v>1366</v>
      </c>
      <c r="C130" s="5" t="s">
        <v>37</v>
      </c>
      <c r="D130" s="5" t="s">
        <v>38</v>
      </c>
      <c r="E130" s="9">
        <v>43641</v>
      </c>
      <c r="F130" s="6">
        <v>19500</v>
      </c>
      <c r="G130" s="5" t="s">
        <v>15</v>
      </c>
      <c r="H130" s="6">
        <f>SUMIFS(InventTrans!F:F,InventTrans!B:B,AtlasReport_3_Table_1[[#This Row],[Lot ID]],InventTrans!C:C,AtlasReport_3_Table_1[[#This Row],[Ship date]])</f>
        <v>19500</v>
      </c>
      <c r="I130" s="5" t="s">
        <v>15</v>
      </c>
      <c r="J130" s="5" t="s">
        <v>1367</v>
      </c>
    </row>
    <row r="131" spans="1:10" x14ac:dyDescent="0.15">
      <c r="A131" s="5" t="s">
        <v>48</v>
      </c>
      <c r="B131" s="5" t="s">
        <v>1366</v>
      </c>
      <c r="C131" s="5" t="s">
        <v>43</v>
      </c>
      <c r="D131" s="5" t="s">
        <v>38</v>
      </c>
      <c r="E131" s="9">
        <v>43641</v>
      </c>
      <c r="F131" s="6">
        <v>5820</v>
      </c>
      <c r="G131" s="5" t="s">
        <v>15</v>
      </c>
      <c r="H131" s="6">
        <f>SUMIFS(InventTrans!F:F,InventTrans!B:B,AtlasReport_3_Table_1[[#This Row],[Lot ID]],InventTrans!C:C,AtlasReport_3_Table_1[[#This Row],[Ship date]])</f>
        <v>5820</v>
      </c>
      <c r="I131" s="5" t="s">
        <v>15</v>
      </c>
      <c r="J131" s="5" t="s">
        <v>1368</v>
      </c>
    </row>
    <row r="132" spans="1:10" x14ac:dyDescent="0.15">
      <c r="A132" s="5" t="s">
        <v>48</v>
      </c>
      <c r="B132" s="5" t="s">
        <v>1369</v>
      </c>
      <c r="C132" s="5" t="s">
        <v>43</v>
      </c>
      <c r="D132" s="5" t="s">
        <v>38</v>
      </c>
      <c r="E132" s="9">
        <v>43665</v>
      </c>
      <c r="F132" s="6">
        <v>5820</v>
      </c>
      <c r="G132" s="5" t="s">
        <v>15</v>
      </c>
      <c r="H132" s="6">
        <f>SUMIFS(InventTrans!F:F,InventTrans!B:B,AtlasReport_3_Table_1[[#This Row],[Lot ID]],InventTrans!C:C,AtlasReport_3_Table_1[[#This Row],[Ship date]])</f>
        <v>5820</v>
      </c>
      <c r="I132" s="5" t="s">
        <v>15</v>
      </c>
      <c r="J132" s="5" t="s">
        <v>1370</v>
      </c>
    </row>
    <row r="133" spans="1:10" x14ac:dyDescent="0.15">
      <c r="A133" s="5" t="s">
        <v>48</v>
      </c>
      <c r="B133" s="5" t="s">
        <v>1369</v>
      </c>
      <c r="C133" s="5" t="s">
        <v>37</v>
      </c>
      <c r="D133" s="5" t="s">
        <v>38</v>
      </c>
      <c r="E133" s="9">
        <v>43665</v>
      </c>
      <c r="F133" s="6">
        <v>19500</v>
      </c>
      <c r="G133" s="5" t="s">
        <v>15</v>
      </c>
      <c r="H133" s="6">
        <f>SUMIFS(InventTrans!F:F,InventTrans!B:B,AtlasReport_3_Table_1[[#This Row],[Lot ID]],InventTrans!C:C,AtlasReport_3_Table_1[[#This Row],[Ship date]])</f>
        <v>19500</v>
      </c>
      <c r="I133" s="5" t="s">
        <v>15</v>
      </c>
      <c r="J133" s="5" t="s">
        <v>1371</v>
      </c>
    </row>
    <row r="134" spans="1:10" x14ac:dyDescent="0.15">
      <c r="A134" s="5" t="s">
        <v>48</v>
      </c>
      <c r="B134" s="5" t="s">
        <v>1372</v>
      </c>
      <c r="C134" s="5" t="s">
        <v>66</v>
      </c>
      <c r="D134" s="5" t="s">
        <v>60</v>
      </c>
      <c r="E134" s="9">
        <v>43661</v>
      </c>
      <c r="F134" s="6">
        <v>5820</v>
      </c>
      <c r="G134" s="5" t="s">
        <v>15</v>
      </c>
      <c r="H134" s="6">
        <f>SUMIFS(InventTrans!F:F,InventTrans!B:B,AtlasReport_3_Table_1[[#This Row],[Lot ID]],InventTrans!C:C,AtlasReport_3_Table_1[[#This Row],[Ship date]])</f>
        <v>5820</v>
      </c>
      <c r="I134" s="5" t="s">
        <v>15</v>
      </c>
      <c r="J134" s="5" t="s">
        <v>1373</v>
      </c>
    </row>
    <row r="135" spans="1:10" x14ac:dyDescent="0.15">
      <c r="A135" s="5" t="s">
        <v>48</v>
      </c>
      <c r="B135" s="5" t="s">
        <v>1372</v>
      </c>
      <c r="C135" s="5" t="s">
        <v>37</v>
      </c>
      <c r="D135" s="5" t="s">
        <v>38</v>
      </c>
      <c r="E135" s="9">
        <v>43661</v>
      </c>
      <c r="F135" s="6">
        <v>13650</v>
      </c>
      <c r="G135" s="5" t="s">
        <v>15</v>
      </c>
      <c r="H135" s="6">
        <f>SUMIFS(InventTrans!F:F,InventTrans!B:B,AtlasReport_3_Table_1[[#This Row],[Lot ID]],InventTrans!C:C,AtlasReport_3_Table_1[[#This Row],[Ship date]])</f>
        <v>13650</v>
      </c>
      <c r="I135" s="5" t="s">
        <v>15</v>
      </c>
      <c r="J135" s="5" t="s">
        <v>1374</v>
      </c>
    </row>
    <row r="136" spans="1:10" x14ac:dyDescent="0.15">
      <c r="A136" s="5" t="s">
        <v>48</v>
      </c>
      <c r="B136" s="5" t="s">
        <v>1372</v>
      </c>
      <c r="C136" s="5" t="s">
        <v>43</v>
      </c>
      <c r="D136" s="5" t="s">
        <v>38</v>
      </c>
      <c r="E136" s="9">
        <v>43661</v>
      </c>
      <c r="F136" s="6">
        <v>5820</v>
      </c>
      <c r="G136" s="5" t="s">
        <v>15</v>
      </c>
      <c r="H136" s="6">
        <f>SUMIFS(InventTrans!F:F,InventTrans!B:B,AtlasReport_3_Table_1[[#This Row],[Lot ID]],InventTrans!C:C,AtlasReport_3_Table_1[[#This Row],[Ship date]])</f>
        <v>5820</v>
      </c>
      <c r="I136" s="5" t="s">
        <v>15</v>
      </c>
      <c r="J136" s="5" t="s">
        <v>1375</v>
      </c>
    </row>
    <row r="137" spans="1:10" x14ac:dyDescent="0.15">
      <c r="A137" s="5" t="s">
        <v>48</v>
      </c>
      <c r="B137" s="5" t="s">
        <v>1376</v>
      </c>
      <c r="C137" s="5" t="s">
        <v>37</v>
      </c>
      <c r="D137" s="5" t="s">
        <v>38</v>
      </c>
      <c r="E137" s="9">
        <v>43675</v>
      </c>
      <c r="F137" s="6">
        <v>19500</v>
      </c>
      <c r="G137" s="5" t="s">
        <v>15</v>
      </c>
      <c r="H137" s="6">
        <f>SUMIFS(InventTrans!F:F,InventTrans!B:B,AtlasReport_3_Table_1[[#This Row],[Lot ID]],InventTrans!C:C,AtlasReport_3_Table_1[[#This Row],[Ship date]])</f>
        <v>19500</v>
      </c>
      <c r="I137" s="5" t="s">
        <v>15</v>
      </c>
      <c r="J137" s="5" t="s">
        <v>1377</v>
      </c>
    </row>
    <row r="138" spans="1:10" x14ac:dyDescent="0.15">
      <c r="A138" s="5" t="s">
        <v>48</v>
      </c>
      <c r="B138" s="5" t="s">
        <v>1376</v>
      </c>
      <c r="C138" s="5" t="s">
        <v>43</v>
      </c>
      <c r="D138" s="5" t="s">
        <v>38</v>
      </c>
      <c r="E138" s="9">
        <v>43675</v>
      </c>
      <c r="F138" s="6">
        <v>5820</v>
      </c>
      <c r="G138" s="5" t="s">
        <v>15</v>
      </c>
      <c r="H138" s="6">
        <f>SUMIFS(InventTrans!F:F,InventTrans!B:B,AtlasReport_3_Table_1[[#This Row],[Lot ID]],InventTrans!C:C,AtlasReport_3_Table_1[[#This Row],[Ship date]])</f>
        <v>5820</v>
      </c>
      <c r="I138" s="5" t="s">
        <v>15</v>
      </c>
      <c r="J138" s="5" t="s">
        <v>1378</v>
      </c>
    </row>
    <row r="139" spans="1:10" x14ac:dyDescent="0.15">
      <c r="A139" s="5" t="s">
        <v>48</v>
      </c>
      <c r="B139" s="5" t="s">
        <v>1379</v>
      </c>
      <c r="C139" s="5" t="s">
        <v>43</v>
      </c>
      <c r="D139" s="5" t="s">
        <v>38</v>
      </c>
      <c r="E139" s="9">
        <v>43696</v>
      </c>
      <c r="F139" s="6">
        <v>3880</v>
      </c>
      <c r="G139" s="5" t="s">
        <v>15</v>
      </c>
      <c r="H139" s="6">
        <f>SUMIFS(InventTrans!F:F,InventTrans!B:B,AtlasReport_3_Table_1[[#This Row],[Lot ID]],InventTrans!C:C,AtlasReport_3_Table_1[[#This Row],[Ship date]])</f>
        <v>3880</v>
      </c>
      <c r="I139" s="5" t="s">
        <v>15</v>
      </c>
      <c r="J139" s="5" t="s">
        <v>1380</v>
      </c>
    </row>
    <row r="140" spans="1:10" x14ac:dyDescent="0.15">
      <c r="A140" s="5" t="s">
        <v>48</v>
      </c>
      <c r="B140" s="5" t="s">
        <v>1379</v>
      </c>
      <c r="C140" s="5" t="s">
        <v>37</v>
      </c>
      <c r="D140" s="5" t="s">
        <v>38</v>
      </c>
      <c r="E140" s="9">
        <v>43696</v>
      </c>
      <c r="F140" s="6">
        <v>21450</v>
      </c>
      <c r="G140" s="5" t="s">
        <v>15</v>
      </c>
      <c r="H140" s="6">
        <f>SUMIFS(InventTrans!F:F,InventTrans!B:B,AtlasReport_3_Table_1[[#This Row],[Lot ID]],InventTrans!C:C,AtlasReport_3_Table_1[[#This Row],[Ship date]])</f>
        <v>21450</v>
      </c>
      <c r="I140" s="5" t="s">
        <v>15</v>
      </c>
      <c r="J140" s="5" t="s">
        <v>1381</v>
      </c>
    </row>
    <row r="141" spans="1:10" x14ac:dyDescent="0.15">
      <c r="A141" s="5" t="s">
        <v>48</v>
      </c>
      <c r="B141" s="5" t="s">
        <v>1382</v>
      </c>
      <c r="C141" s="5" t="s">
        <v>43</v>
      </c>
      <c r="D141" s="5" t="s">
        <v>38</v>
      </c>
      <c r="E141" s="9">
        <v>43696</v>
      </c>
      <c r="F141" s="6">
        <v>23280</v>
      </c>
      <c r="G141" s="5" t="s">
        <v>15</v>
      </c>
      <c r="H141" s="6">
        <f>SUMIFS(InventTrans!F:F,InventTrans!B:B,AtlasReport_3_Table_1[[#This Row],[Lot ID]],InventTrans!C:C,AtlasReport_3_Table_1[[#This Row],[Ship date]])</f>
        <v>23280</v>
      </c>
      <c r="I141" s="5" t="s">
        <v>15</v>
      </c>
      <c r="J141" s="5" t="s">
        <v>1383</v>
      </c>
    </row>
    <row r="142" spans="1:10" x14ac:dyDescent="0.15">
      <c r="A142" s="5" t="s">
        <v>48</v>
      </c>
      <c r="B142" s="5" t="s">
        <v>1384</v>
      </c>
      <c r="C142" s="5" t="s">
        <v>43</v>
      </c>
      <c r="D142" s="5" t="s">
        <v>38</v>
      </c>
      <c r="E142" s="9">
        <v>43731</v>
      </c>
      <c r="F142" s="6">
        <v>23280</v>
      </c>
      <c r="G142" s="5" t="s">
        <v>15</v>
      </c>
      <c r="H142" s="6">
        <f>SUMIFS(InventTrans!F:F,InventTrans!B:B,AtlasReport_3_Table_1[[#This Row],[Lot ID]],InventTrans!C:C,AtlasReport_3_Table_1[[#This Row],[Ship date]])</f>
        <v>23280</v>
      </c>
      <c r="I142" s="5" t="s">
        <v>15</v>
      </c>
      <c r="J142" s="5" t="s">
        <v>1385</v>
      </c>
    </row>
    <row r="143" spans="1:10" x14ac:dyDescent="0.15">
      <c r="A143" s="5" t="s">
        <v>48</v>
      </c>
      <c r="B143" s="5" t="s">
        <v>1386</v>
      </c>
      <c r="C143" s="5" t="s">
        <v>43</v>
      </c>
      <c r="D143" s="5" t="s">
        <v>38</v>
      </c>
      <c r="E143" s="9">
        <v>43739</v>
      </c>
      <c r="F143" s="6">
        <v>5820</v>
      </c>
      <c r="G143" s="5" t="s">
        <v>15</v>
      </c>
      <c r="H143" s="6">
        <f>SUMIFS(InventTrans!F:F,InventTrans!B:B,AtlasReport_3_Table_1[[#This Row],[Lot ID]],InventTrans!C:C,AtlasReport_3_Table_1[[#This Row],[Ship date]])</f>
        <v>5820</v>
      </c>
      <c r="I143" s="5" t="s">
        <v>15</v>
      </c>
      <c r="J143" s="5" t="s">
        <v>1387</v>
      </c>
    </row>
    <row r="144" spans="1:10" x14ac:dyDescent="0.15">
      <c r="A144" s="5" t="s">
        <v>48</v>
      </c>
      <c r="B144" s="5" t="s">
        <v>1386</v>
      </c>
      <c r="C144" s="5" t="s">
        <v>41</v>
      </c>
      <c r="D144" s="5" t="s">
        <v>36</v>
      </c>
      <c r="E144" s="9">
        <v>43739</v>
      </c>
      <c r="F144" s="6">
        <v>3880</v>
      </c>
      <c r="G144" s="5" t="s">
        <v>15</v>
      </c>
      <c r="H144" s="6">
        <f>SUMIFS(InventTrans!F:F,InventTrans!B:B,AtlasReport_3_Table_1[[#This Row],[Lot ID]],InventTrans!C:C,AtlasReport_3_Table_1[[#This Row],[Ship date]])</f>
        <v>3880</v>
      </c>
      <c r="I144" s="5" t="s">
        <v>15</v>
      </c>
      <c r="J144" s="5" t="s">
        <v>1388</v>
      </c>
    </row>
    <row r="145" spans="1:10" x14ac:dyDescent="0.15">
      <c r="A145" s="5" t="s">
        <v>48</v>
      </c>
      <c r="B145" s="5" t="s">
        <v>1386</v>
      </c>
      <c r="C145" s="5" t="s">
        <v>35</v>
      </c>
      <c r="D145" s="5" t="s">
        <v>36</v>
      </c>
      <c r="E145" s="9">
        <v>43739</v>
      </c>
      <c r="F145" s="6">
        <v>3900</v>
      </c>
      <c r="G145" s="5" t="s">
        <v>15</v>
      </c>
      <c r="H145" s="6">
        <f>SUMIFS(InventTrans!F:F,InventTrans!B:B,AtlasReport_3_Table_1[[#This Row],[Lot ID]],InventTrans!C:C,AtlasReport_3_Table_1[[#This Row],[Ship date]])</f>
        <v>3900</v>
      </c>
      <c r="I145" s="5" t="s">
        <v>15</v>
      </c>
      <c r="J145" s="5" t="s">
        <v>1389</v>
      </c>
    </row>
    <row r="146" spans="1:10" x14ac:dyDescent="0.15">
      <c r="A146" s="5" t="s">
        <v>48</v>
      </c>
      <c r="B146" s="5" t="s">
        <v>1390</v>
      </c>
      <c r="C146" s="5" t="s">
        <v>43</v>
      </c>
      <c r="D146" s="5" t="s">
        <v>38</v>
      </c>
      <c r="E146" s="9">
        <v>43752</v>
      </c>
      <c r="F146" s="6">
        <v>15520</v>
      </c>
      <c r="G146" s="5" t="s">
        <v>15</v>
      </c>
      <c r="H146" s="6">
        <f>SUMIFS(InventTrans!F:F,InventTrans!B:B,AtlasReport_3_Table_1[[#This Row],[Lot ID]],InventTrans!C:C,AtlasReport_3_Table_1[[#This Row],[Ship date]])</f>
        <v>15520</v>
      </c>
      <c r="I146" s="5" t="s">
        <v>15</v>
      </c>
      <c r="J146" s="5" t="s">
        <v>1391</v>
      </c>
    </row>
    <row r="147" spans="1:10" x14ac:dyDescent="0.15">
      <c r="A147" s="5" t="s">
        <v>48</v>
      </c>
      <c r="B147" s="5" t="s">
        <v>1390</v>
      </c>
      <c r="C147" s="5" t="s">
        <v>41</v>
      </c>
      <c r="D147" s="5" t="s">
        <v>36</v>
      </c>
      <c r="E147" s="9">
        <v>43752</v>
      </c>
      <c r="F147" s="6">
        <v>7760</v>
      </c>
      <c r="G147" s="5" t="s">
        <v>15</v>
      </c>
      <c r="H147" s="6">
        <f>SUMIFS(InventTrans!F:F,InventTrans!B:B,AtlasReport_3_Table_1[[#This Row],[Lot ID]],InventTrans!C:C,AtlasReport_3_Table_1[[#This Row],[Ship date]])</f>
        <v>7760</v>
      </c>
      <c r="I147" s="5" t="s">
        <v>15</v>
      </c>
      <c r="J147" s="5" t="s">
        <v>1392</v>
      </c>
    </row>
    <row r="148" spans="1:10" x14ac:dyDescent="0.15">
      <c r="A148" s="5" t="s">
        <v>48</v>
      </c>
      <c r="B148" s="5" t="s">
        <v>1390</v>
      </c>
      <c r="C148" s="5" t="s">
        <v>46</v>
      </c>
      <c r="D148" s="5" t="s">
        <v>45</v>
      </c>
      <c r="E148" s="9">
        <v>43752</v>
      </c>
      <c r="F148" s="6">
        <v>1940</v>
      </c>
      <c r="G148" s="5" t="s">
        <v>15</v>
      </c>
      <c r="H148" s="6">
        <f>SUMIFS(InventTrans!F:F,InventTrans!B:B,AtlasReport_3_Table_1[[#This Row],[Lot ID]],InventTrans!C:C,AtlasReport_3_Table_1[[#This Row],[Ship date]])</f>
        <v>1940</v>
      </c>
      <c r="I148" s="5" t="s">
        <v>15</v>
      </c>
      <c r="J148" s="5" t="s">
        <v>1393</v>
      </c>
    </row>
    <row r="149" spans="1:10" x14ac:dyDescent="0.15">
      <c r="A149" s="5" t="s">
        <v>48</v>
      </c>
      <c r="B149" s="5" t="s">
        <v>1394</v>
      </c>
      <c r="C149" s="5" t="s">
        <v>35</v>
      </c>
      <c r="D149" s="5" t="s">
        <v>36</v>
      </c>
      <c r="E149" s="9">
        <v>43556</v>
      </c>
      <c r="F149" s="6">
        <v>5850</v>
      </c>
      <c r="G149" s="5" t="s">
        <v>15</v>
      </c>
      <c r="H149" s="6">
        <f>SUMIFS(InventTrans!F:F,InventTrans!B:B,AtlasReport_3_Table_1[[#This Row],[Lot ID]],InventTrans!C:C,AtlasReport_3_Table_1[[#This Row],[Ship date]])</f>
        <v>5850</v>
      </c>
      <c r="I149" s="5" t="s">
        <v>15</v>
      </c>
      <c r="J149" s="5" t="s">
        <v>1395</v>
      </c>
    </row>
    <row r="150" spans="1:10" x14ac:dyDescent="0.15">
      <c r="A150" s="5" t="s">
        <v>48</v>
      </c>
      <c r="B150" s="5" t="s">
        <v>1394</v>
      </c>
      <c r="C150" s="5" t="s">
        <v>40</v>
      </c>
      <c r="D150" s="5" t="s">
        <v>36</v>
      </c>
      <c r="E150" s="9">
        <v>43556</v>
      </c>
      <c r="F150" s="6">
        <v>3000</v>
      </c>
      <c r="G150" s="5" t="s">
        <v>15</v>
      </c>
      <c r="H150" s="6">
        <f>SUMIFS(InventTrans!F:F,InventTrans!B:B,AtlasReport_3_Table_1[[#This Row],[Lot ID]],InventTrans!C:C,AtlasReport_3_Table_1[[#This Row],[Ship date]])</f>
        <v>3000</v>
      </c>
      <c r="I150" s="5" t="s">
        <v>15</v>
      </c>
      <c r="J150" s="5" t="s">
        <v>1396</v>
      </c>
    </row>
    <row r="151" spans="1:10" x14ac:dyDescent="0.15">
      <c r="A151" s="5" t="s">
        <v>48</v>
      </c>
      <c r="B151" s="5" t="s">
        <v>1394</v>
      </c>
      <c r="C151" s="5" t="s">
        <v>41</v>
      </c>
      <c r="D151" s="5" t="s">
        <v>36</v>
      </c>
      <c r="E151" s="9">
        <v>43556</v>
      </c>
      <c r="F151" s="6">
        <v>1940</v>
      </c>
      <c r="G151" s="5" t="s">
        <v>15</v>
      </c>
      <c r="H151" s="6">
        <f>SUMIFS(InventTrans!F:F,InventTrans!B:B,AtlasReport_3_Table_1[[#This Row],[Lot ID]],InventTrans!C:C,AtlasReport_3_Table_1[[#This Row],[Ship date]])</f>
        <v>1940</v>
      </c>
      <c r="I151" s="5" t="s">
        <v>15</v>
      </c>
      <c r="J151" s="5" t="s">
        <v>1397</v>
      </c>
    </row>
    <row r="152" spans="1:10" x14ac:dyDescent="0.15">
      <c r="A152" s="5" t="s">
        <v>48</v>
      </c>
      <c r="B152" s="5" t="s">
        <v>1398</v>
      </c>
      <c r="C152" s="5" t="s">
        <v>43</v>
      </c>
      <c r="D152" s="5" t="s">
        <v>38</v>
      </c>
      <c r="E152" s="9">
        <v>43724</v>
      </c>
      <c r="F152" s="6">
        <v>13580</v>
      </c>
      <c r="G152" s="5" t="s">
        <v>15</v>
      </c>
      <c r="H152" s="6">
        <f>SUMIFS(InventTrans!F:F,InventTrans!B:B,AtlasReport_3_Table_1[[#This Row],[Lot ID]],InventTrans!C:C,AtlasReport_3_Table_1[[#This Row],[Ship date]])</f>
        <v>13580</v>
      </c>
      <c r="I152" s="5" t="s">
        <v>15</v>
      </c>
      <c r="J152" s="5" t="s">
        <v>1399</v>
      </c>
    </row>
    <row r="153" spans="1:10" x14ac:dyDescent="0.15">
      <c r="A153" s="5" t="s">
        <v>48</v>
      </c>
      <c r="B153" s="5" t="s">
        <v>1398</v>
      </c>
      <c r="C153" s="5" t="s">
        <v>37</v>
      </c>
      <c r="D153" s="5" t="s">
        <v>38</v>
      </c>
      <c r="E153" s="9">
        <v>43724</v>
      </c>
      <c r="F153" s="6">
        <v>3900</v>
      </c>
      <c r="G153" s="5" t="s">
        <v>15</v>
      </c>
      <c r="H153" s="6">
        <f>SUMIFS(InventTrans!F:F,InventTrans!B:B,AtlasReport_3_Table_1[[#This Row],[Lot ID]],InventTrans!C:C,AtlasReport_3_Table_1[[#This Row],[Ship date]])</f>
        <v>3900</v>
      </c>
      <c r="I153" s="5" t="s">
        <v>15</v>
      </c>
      <c r="J153" s="5" t="s">
        <v>1400</v>
      </c>
    </row>
    <row r="154" spans="1:10" x14ac:dyDescent="0.15">
      <c r="A154" s="5" t="s">
        <v>48</v>
      </c>
      <c r="B154" s="5" t="s">
        <v>1398</v>
      </c>
      <c r="C154" s="5" t="s">
        <v>41</v>
      </c>
      <c r="D154" s="5" t="s">
        <v>36</v>
      </c>
      <c r="E154" s="9">
        <v>43724</v>
      </c>
      <c r="F154" s="6">
        <v>1940</v>
      </c>
      <c r="G154" s="5" t="s">
        <v>15</v>
      </c>
      <c r="H154" s="6">
        <f>SUMIFS(InventTrans!F:F,InventTrans!B:B,AtlasReport_3_Table_1[[#This Row],[Lot ID]],InventTrans!C:C,AtlasReport_3_Table_1[[#This Row],[Ship date]])</f>
        <v>1940</v>
      </c>
      <c r="I154" s="5" t="s">
        <v>15</v>
      </c>
      <c r="J154" s="5" t="s">
        <v>1401</v>
      </c>
    </row>
    <row r="155" spans="1:10" x14ac:dyDescent="0.15">
      <c r="A155" s="5" t="s">
        <v>48</v>
      </c>
      <c r="B155" s="5" t="s">
        <v>1398</v>
      </c>
      <c r="C155" s="5" t="s">
        <v>35</v>
      </c>
      <c r="D155" s="5" t="s">
        <v>36</v>
      </c>
      <c r="E155" s="9">
        <v>43724</v>
      </c>
      <c r="F155" s="6">
        <v>7800</v>
      </c>
      <c r="G155" s="5" t="s">
        <v>15</v>
      </c>
      <c r="H155" s="6">
        <f>SUMIFS(InventTrans!F:F,InventTrans!B:B,AtlasReport_3_Table_1[[#This Row],[Lot ID]],InventTrans!C:C,AtlasReport_3_Table_1[[#This Row],[Ship date]])</f>
        <v>7800</v>
      </c>
      <c r="I155" s="5" t="s">
        <v>15</v>
      </c>
      <c r="J155" s="5" t="s">
        <v>1402</v>
      </c>
    </row>
    <row r="156" spans="1:10" x14ac:dyDescent="0.15">
      <c r="A156" s="5" t="s">
        <v>48</v>
      </c>
      <c r="B156" s="5" t="s">
        <v>1398</v>
      </c>
      <c r="C156" s="5" t="s">
        <v>44</v>
      </c>
      <c r="D156" s="5" t="s">
        <v>45</v>
      </c>
      <c r="E156" s="9">
        <v>43724</v>
      </c>
      <c r="F156" s="6">
        <v>5850</v>
      </c>
      <c r="G156" s="5" t="s">
        <v>15</v>
      </c>
      <c r="H156" s="6">
        <f>SUMIFS(InventTrans!F:F,InventTrans!B:B,AtlasReport_3_Table_1[[#This Row],[Lot ID]],InventTrans!C:C,AtlasReport_3_Table_1[[#This Row],[Ship date]])</f>
        <v>5850</v>
      </c>
      <c r="I156" s="5" t="s">
        <v>15</v>
      </c>
      <c r="J156" s="5" t="s">
        <v>1403</v>
      </c>
    </row>
    <row r="157" spans="1:10" x14ac:dyDescent="0.15">
      <c r="A157" s="5" t="s">
        <v>48</v>
      </c>
      <c r="B157" s="5" t="s">
        <v>1404</v>
      </c>
      <c r="C157" s="5" t="s">
        <v>37</v>
      </c>
      <c r="D157" s="5" t="s">
        <v>38</v>
      </c>
      <c r="E157" s="9">
        <v>43571</v>
      </c>
      <c r="F157" s="6">
        <v>23400</v>
      </c>
      <c r="G157" s="5" t="s">
        <v>15</v>
      </c>
      <c r="H157" s="6">
        <f>SUMIFS(InventTrans!F:F,InventTrans!B:B,AtlasReport_3_Table_1[[#This Row],[Lot ID]],InventTrans!C:C,AtlasReport_3_Table_1[[#This Row],[Ship date]])</f>
        <v>23400</v>
      </c>
      <c r="I157" s="5" t="s">
        <v>15</v>
      </c>
      <c r="J157" s="5" t="s">
        <v>1405</v>
      </c>
    </row>
    <row r="158" spans="1:10" x14ac:dyDescent="0.15">
      <c r="A158" s="5" t="s">
        <v>48</v>
      </c>
      <c r="B158" s="5" t="s">
        <v>1404</v>
      </c>
      <c r="C158" s="5" t="s">
        <v>43</v>
      </c>
      <c r="D158" s="5" t="s">
        <v>38</v>
      </c>
      <c r="E158" s="9">
        <v>43571</v>
      </c>
      <c r="F158" s="6">
        <v>1940</v>
      </c>
      <c r="G158" s="5" t="s">
        <v>15</v>
      </c>
      <c r="H158" s="6">
        <f>SUMIFS(InventTrans!F:F,InventTrans!B:B,AtlasReport_3_Table_1[[#This Row],[Lot ID]],InventTrans!C:C,AtlasReport_3_Table_1[[#This Row],[Ship date]])</f>
        <v>1940</v>
      </c>
      <c r="I158" s="5" t="s">
        <v>15</v>
      </c>
      <c r="J158" s="5" t="s">
        <v>1406</v>
      </c>
    </row>
    <row r="159" spans="1:10" x14ac:dyDescent="0.15">
      <c r="A159" s="5" t="s">
        <v>48</v>
      </c>
      <c r="B159" s="5" t="s">
        <v>1407</v>
      </c>
      <c r="C159" s="5" t="s">
        <v>37</v>
      </c>
      <c r="D159" s="5" t="s">
        <v>38</v>
      </c>
      <c r="E159" s="9">
        <v>43592</v>
      </c>
      <c r="F159" s="6">
        <v>25350</v>
      </c>
      <c r="G159" s="5" t="s">
        <v>15</v>
      </c>
      <c r="H159" s="6">
        <f>SUMIFS(InventTrans!F:F,InventTrans!B:B,AtlasReport_3_Table_1[[#This Row],[Lot ID]],InventTrans!C:C,AtlasReport_3_Table_1[[#This Row],[Ship date]])</f>
        <v>25350</v>
      </c>
      <c r="I159" s="5" t="s">
        <v>15</v>
      </c>
      <c r="J159" s="5" t="s">
        <v>1408</v>
      </c>
    </row>
    <row r="160" spans="1:10" x14ac:dyDescent="0.15">
      <c r="A160" s="5" t="s">
        <v>48</v>
      </c>
      <c r="B160" s="5" t="s">
        <v>1409</v>
      </c>
      <c r="C160" s="5" t="s">
        <v>41</v>
      </c>
      <c r="D160" s="5" t="s">
        <v>36</v>
      </c>
      <c r="E160" s="9">
        <v>43598</v>
      </c>
      <c r="F160" s="6">
        <v>7760</v>
      </c>
      <c r="G160" s="5" t="s">
        <v>15</v>
      </c>
      <c r="H160" s="6">
        <f>SUMIFS(InventTrans!F:F,InventTrans!B:B,AtlasReport_3_Table_1[[#This Row],[Lot ID]],InventTrans!C:C,AtlasReport_3_Table_1[[#This Row],[Ship date]])</f>
        <v>7760</v>
      </c>
      <c r="I160" s="5" t="s">
        <v>15</v>
      </c>
      <c r="J160" s="5" t="s">
        <v>1410</v>
      </c>
    </row>
    <row r="161" spans="1:10" x14ac:dyDescent="0.15">
      <c r="A161" s="5" t="s">
        <v>48</v>
      </c>
      <c r="B161" s="5" t="s">
        <v>1409</v>
      </c>
      <c r="C161" s="5" t="s">
        <v>65</v>
      </c>
      <c r="D161" s="5" t="s">
        <v>45</v>
      </c>
      <c r="E161" s="9">
        <v>43598</v>
      </c>
      <c r="F161" s="6">
        <v>1350</v>
      </c>
      <c r="G161" s="5" t="s">
        <v>15</v>
      </c>
      <c r="H161" s="6">
        <f>SUMIFS(InventTrans!F:F,InventTrans!B:B,AtlasReport_3_Table_1[[#This Row],[Lot ID]],InventTrans!C:C,AtlasReport_3_Table_1[[#This Row],[Ship date]])</f>
        <v>1350</v>
      </c>
      <c r="I161" s="5" t="s">
        <v>15</v>
      </c>
      <c r="J161" s="5" t="s">
        <v>1411</v>
      </c>
    </row>
    <row r="162" spans="1:10" x14ac:dyDescent="0.15">
      <c r="A162" s="5" t="s">
        <v>48</v>
      </c>
      <c r="B162" s="5" t="s">
        <v>1412</v>
      </c>
      <c r="C162" s="5" t="s">
        <v>43</v>
      </c>
      <c r="D162" s="5" t="s">
        <v>38</v>
      </c>
      <c r="E162" s="9">
        <v>43600</v>
      </c>
      <c r="F162" s="6">
        <v>1940</v>
      </c>
      <c r="G162" s="5" t="s">
        <v>15</v>
      </c>
      <c r="H162" s="6">
        <f>SUMIFS(InventTrans!F:F,InventTrans!B:B,AtlasReport_3_Table_1[[#This Row],[Lot ID]],InventTrans!C:C,AtlasReport_3_Table_1[[#This Row],[Ship date]])</f>
        <v>1940</v>
      </c>
      <c r="I162" s="5" t="s">
        <v>15</v>
      </c>
      <c r="J162" s="5" t="s">
        <v>1413</v>
      </c>
    </row>
    <row r="163" spans="1:10" x14ac:dyDescent="0.15">
      <c r="A163" s="5" t="s">
        <v>48</v>
      </c>
      <c r="B163" s="5" t="s">
        <v>1412</v>
      </c>
      <c r="C163" s="5" t="s">
        <v>37</v>
      </c>
      <c r="D163" s="5" t="s">
        <v>38</v>
      </c>
      <c r="E163" s="9">
        <v>43600</v>
      </c>
      <c r="F163" s="6">
        <v>15600</v>
      </c>
      <c r="G163" s="5" t="s">
        <v>15</v>
      </c>
      <c r="H163" s="6">
        <f>SUMIFS(InventTrans!F:F,InventTrans!B:B,AtlasReport_3_Table_1[[#This Row],[Lot ID]],InventTrans!C:C,AtlasReport_3_Table_1[[#This Row],[Ship date]])</f>
        <v>15600</v>
      </c>
      <c r="I163" s="5" t="s">
        <v>15</v>
      </c>
      <c r="J163" s="5" t="s">
        <v>1414</v>
      </c>
    </row>
    <row r="164" spans="1:10" x14ac:dyDescent="0.15">
      <c r="A164" s="5" t="s">
        <v>48</v>
      </c>
      <c r="B164" s="5" t="s">
        <v>1412</v>
      </c>
      <c r="C164" s="5" t="s">
        <v>46</v>
      </c>
      <c r="D164" s="5" t="s">
        <v>45</v>
      </c>
      <c r="E164" s="9">
        <v>43600</v>
      </c>
      <c r="F164" s="6">
        <v>3880</v>
      </c>
      <c r="G164" s="5" t="s">
        <v>15</v>
      </c>
      <c r="H164" s="6">
        <f>SUMIFS(InventTrans!F:F,InventTrans!B:B,AtlasReport_3_Table_1[[#This Row],[Lot ID]],InventTrans!C:C,AtlasReport_3_Table_1[[#This Row],[Ship date]])</f>
        <v>3880</v>
      </c>
      <c r="I164" s="5" t="s">
        <v>15</v>
      </c>
      <c r="J164" s="5" t="s">
        <v>1415</v>
      </c>
    </row>
    <row r="165" spans="1:10" x14ac:dyDescent="0.15">
      <c r="A165" s="5" t="s">
        <v>48</v>
      </c>
      <c r="B165" s="5" t="s">
        <v>1412</v>
      </c>
      <c r="C165" s="5" t="s">
        <v>44</v>
      </c>
      <c r="D165" s="5" t="s">
        <v>45</v>
      </c>
      <c r="E165" s="9">
        <v>43600</v>
      </c>
      <c r="F165" s="6">
        <v>3900</v>
      </c>
      <c r="G165" s="5" t="s">
        <v>15</v>
      </c>
      <c r="H165" s="6">
        <f>SUMIFS(InventTrans!F:F,InventTrans!B:B,AtlasReport_3_Table_1[[#This Row],[Lot ID]],InventTrans!C:C,AtlasReport_3_Table_1[[#This Row],[Ship date]])</f>
        <v>3900</v>
      </c>
      <c r="I165" s="5" t="s">
        <v>15</v>
      </c>
      <c r="J165" s="5" t="s">
        <v>1416</v>
      </c>
    </row>
    <row r="166" spans="1:10" x14ac:dyDescent="0.15">
      <c r="A166" s="5" t="s">
        <v>48</v>
      </c>
      <c r="B166" s="5" t="s">
        <v>1417</v>
      </c>
      <c r="C166" s="5" t="s">
        <v>37</v>
      </c>
      <c r="D166" s="5" t="s">
        <v>38</v>
      </c>
      <c r="E166" s="9">
        <v>43607</v>
      </c>
      <c r="F166" s="6">
        <v>25350</v>
      </c>
      <c r="G166" s="5" t="s">
        <v>15</v>
      </c>
      <c r="H166" s="6">
        <f>SUMIFS(InventTrans!F:F,InventTrans!B:B,AtlasReport_3_Table_1[[#This Row],[Lot ID]],InventTrans!C:C,AtlasReport_3_Table_1[[#This Row],[Ship date]])</f>
        <v>25350</v>
      </c>
      <c r="I166" s="5" t="s">
        <v>15</v>
      </c>
      <c r="J166" s="5" t="s">
        <v>1418</v>
      </c>
    </row>
    <row r="167" spans="1:10" x14ac:dyDescent="0.15">
      <c r="A167" s="5" t="s">
        <v>48</v>
      </c>
      <c r="B167" s="5" t="s">
        <v>1419</v>
      </c>
      <c r="C167" s="5" t="s">
        <v>65</v>
      </c>
      <c r="D167" s="5" t="s">
        <v>45</v>
      </c>
      <c r="E167" s="9">
        <v>43626</v>
      </c>
      <c r="F167" s="6">
        <v>3000</v>
      </c>
      <c r="G167" s="5" t="s">
        <v>15</v>
      </c>
      <c r="H167" s="6">
        <f>SUMIFS(InventTrans!F:F,InventTrans!B:B,AtlasReport_3_Table_1[[#This Row],[Lot ID]],InventTrans!C:C,AtlasReport_3_Table_1[[#This Row],[Ship date]])</f>
        <v>3000</v>
      </c>
      <c r="I167" s="5" t="s">
        <v>15</v>
      </c>
      <c r="J167" s="5" t="s">
        <v>1420</v>
      </c>
    </row>
    <row r="168" spans="1:10" x14ac:dyDescent="0.15">
      <c r="A168" s="5" t="s">
        <v>48</v>
      </c>
      <c r="B168" s="5" t="s">
        <v>1421</v>
      </c>
      <c r="C168" s="5" t="s">
        <v>37</v>
      </c>
      <c r="D168" s="5" t="s">
        <v>38</v>
      </c>
      <c r="E168" s="9">
        <v>43615</v>
      </c>
      <c r="F168" s="6">
        <v>25350</v>
      </c>
      <c r="G168" s="5" t="s">
        <v>15</v>
      </c>
      <c r="H168" s="6">
        <f>SUMIFS(InventTrans!F:F,InventTrans!B:B,AtlasReport_3_Table_1[[#This Row],[Lot ID]],InventTrans!C:C,AtlasReport_3_Table_1[[#This Row],[Ship date]])</f>
        <v>25350</v>
      </c>
      <c r="I168" s="5" t="s">
        <v>15</v>
      </c>
      <c r="J168" s="5" t="s">
        <v>1422</v>
      </c>
    </row>
    <row r="169" spans="1:10" x14ac:dyDescent="0.15">
      <c r="A169" s="5" t="s">
        <v>48</v>
      </c>
      <c r="B169" s="5" t="s">
        <v>1423</v>
      </c>
      <c r="C169" s="5" t="s">
        <v>37</v>
      </c>
      <c r="D169" s="5" t="s">
        <v>38</v>
      </c>
      <c r="E169" s="9">
        <v>43614</v>
      </c>
      <c r="F169" s="6">
        <v>25350</v>
      </c>
      <c r="G169" s="5" t="s">
        <v>15</v>
      </c>
      <c r="H169" s="6">
        <f>SUMIFS(InventTrans!F:F,InventTrans!B:B,AtlasReport_3_Table_1[[#This Row],[Lot ID]],InventTrans!C:C,AtlasReport_3_Table_1[[#This Row],[Ship date]])</f>
        <v>25350</v>
      </c>
      <c r="I169" s="5" t="s">
        <v>15</v>
      </c>
      <c r="J169" s="5" t="s">
        <v>1424</v>
      </c>
    </row>
    <row r="170" spans="1:10" x14ac:dyDescent="0.15">
      <c r="A170" s="5" t="s">
        <v>48</v>
      </c>
      <c r="B170" s="5" t="s">
        <v>1425</v>
      </c>
      <c r="C170" s="5" t="s">
        <v>43</v>
      </c>
      <c r="D170" s="5" t="s">
        <v>38</v>
      </c>
      <c r="E170" s="9">
        <v>43621</v>
      </c>
      <c r="F170" s="6">
        <v>3880</v>
      </c>
      <c r="G170" s="5" t="s">
        <v>15</v>
      </c>
      <c r="H170" s="6">
        <f>SUMIFS(InventTrans!F:F,InventTrans!B:B,AtlasReport_3_Table_1[[#This Row],[Lot ID]],InventTrans!C:C,AtlasReport_3_Table_1[[#This Row],[Ship date]])</f>
        <v>3880</v>
      </c>
      <c r="I170" s="5" t="s">
        <v>15</v>
      </c>
      <c r="J170" s="5" t="s">
        <v>1426</v>
      </c>
    </row>
    <row r="171" spans="1:10" x14ac:dyDescent="0.15">
      <c r="A171" s="5" t="s">
        <v>48</v>
      </c>
      <c r="B171" s="5" t="s">
        <v>1425</v>
      </c>
      <c r="C171" s="5" t="s">
        <v>37</v>
      </c>
      <c r="D171" s="5" t="s">
        <v>38</v>
      </c>
      <c r="E171" s="9">
        <v>43621</v>
      </c>
      <c r="F171" s="6">
        <v>1950</v>
      </c>
      <c r="G171" s="5" t="s">
        <v>15</v>
      </c>
      <c r="H171" s="6">
        <f>SUMIFS(InventTrans!F:F,InventTrans!B:B,AtlasReport_3_Table_1[[#This Row],[Lot ID]],InventTrans!C:C,AtlasReport_3_Table_1[[#This Row],[Ship date]])</f>
        <v>1950</v>
      </c>
      <c r="I171" s="5" t="s">
        <v>15</v>
      </c>
      <c r="J171" s="5" t="s">
        <v>1427</v>
      </c>
    </row>
    <row r="172" spans="1:10" x14ac:dyDescent="0.15">
      <c r="A172" s="5" t="s">
        <v>48</v>
      </c>
      <c r="B172" s="5" t="s">
        <v>1425</v>
      </c>
      <c r="C172" s="5" t="s">
        <v>44</v>
      </c>
      <c r="D172" s="5" t="s">
        <v>45</v>
      </c>
      <c r="E172" s="9">
        <v>43621</v>
      </c>
      <c r="F172" s="6">
        <v>19500</v>
      </c>
      <c r="G172" s="5" t="s">
        <v>15</v>
      </c>
      <c r="H172" s="6">
        <f>SUMIFS(InventTrans!F:F,InventTrans!B:B,AtlasReport_3_Table_1[[#This Row],[Lot ID]],InventTrans!C:C,AtlasReport_3_Table_1[[#This Row],[Ship date]])</f>
        <v>19500</v>
      </c>
      <c r="I172" s="5" t="s">
        <v>15</v>
      </c>
      <c r="J172" s="5" t="s">
        <v>1428</v>
      </c>
    </row>
    <row r="173" spans="1:10" x14ac:dyDescent="0.15">
      <c r="A173" s="5" t="s">
        <v>48</v>
      </c>
      <c r="B173" s="5" t="s">
        <v>1429</v>
      </c>
      <c r="C173" s="5" t="s">
        <v>37</v>
      </c>
      <c r="D173" s="5" t="s">
        <v>38</v>
      </c>
      <c r="E173" s="9">
        <v>43623</v>
      </c>
      <c r="F173" s="6">
        <v>25350</v>
      </c>
      <c r="G173" s="5" t="s">
        <v>15</v>
      </c>
      <c r="H173" s="6">
        <f>SUMIFS(InventTrans!F:F,InventTrans!B:B,AtlasReport_3_Table_1[[#This Row],[Lot ID]],InventTrans!C:C,AtlasReport_3_Table_1[[#This Row],[Ship date]])</f>
        <v>25350</v>
      </c>
      <c r="I173" s="5" t="s">
        <v>15</v>
      </c>
      <c r="J173" s="5" t="s">
        <v>1430</v>
      </c>
    </row>
    <row r="174" spans="1:10" x14ac:dyDescent="0.15">
      <c r="A174" s="5" t="s">
        <v>48</v>
      </c>
      <c r="B174" s="5" t="s">
        <v>1431</v>
      </c>
      <c r="C174" s="5" t="s">
        <v>37</v>
      </c>
      <c r="D174" s="5" t="s">
        <v>38</v>
      </c>
      <c r="E174" s="9">
        <v>43623</v>
      </c>
      <c r="F174" s="6">
        <v>25350</v>
      </c>
      <c r="G174" s="5" t="s">
        <v>15</v>
      </c>
      <c r="H174" s="6">
        <f>SUMIFS(InventTrans!F:F,InventTrans!B:B,AtlasReport_3_Table_1[[#This Row],[Lot ID]],InventTrans!C:C,AtlasReport_3_Table_1[[#This Row],[Ship date]])</f>
        <v>25350</v>
      </c>
      <c r="I174" s="5" t="s">
        <v>15</v>
      </c>
      <c r="J174" s="5" t="s">
        <v>1432</v>
      </c>
    </row>
    <row r="175" spans="1:10" x14ac:dyDescent="0.15">
      <c r="A175" s="5" t="s">
        <v>48</v>
      </c>
      <c r="B175" s="5" t="s">
        <v>1433</v>
      </c>
      <c r="C175" s="5" t="s">
        <v>37</v>
      </c>
      <c r="D175" s="5" t="s">
        <v>38</v>
      </c>
      <c r="E175" s="9">
        <v>43633</v>
      </c>
      <c r="F175" s="6">
        <v>25350</v>
      </c>
      <c r="G175" s="5" t="s">
        <v>15</v>
      </c>
      <c r="H175" s="6">
        <f>SUMIFS(InventTrans!F:F,InventTrans!B:B,AtlasReport_3_Table_1[[#This Row],[Lot ID]],InventTrans!C:C,AtlasReport_3_Table_1[[#This Row],[Ship date]])</f>
        <v>25350</v>
      </c>
      <c r="I175" s="5" t="s">
        <v>15</v>
      </c>
      <c r="J175" s="5" t="s">
        <v>1434</v>
      </c>
    </row>
    <row r="176" spans="1:10" x14ac:dyDescent="0.15">
      <c r="A176" s="5" t="s">
        <v>48</v>
      </c>
      <c r="B176" s="5" t="s">
        <v>1433</v>
      </c>
      <c r="C176" s="5" t="s">
        <v>43</v>
      </c>
      <c r="D176" s="5" t="s">
        <v>38</v>
      </c>
      <c r="E176" s="9">
        <v>43633</v>
      </c>
      <c r="F176" s="6">
        <v>19400</v>
      </c>
      <c r="G176" s="5" t="s">
        <v>15</v>
      </c>
      <c r="H176" s="6">
        <f>SUMIFS(InventTrans!F:F,InventTrans!B:B,AtlasReport_3_Table_1[[#This Row],[Lot ID]],InventTrans!C:C,AtlasReport_3_Table_1[[#This Row],[Ship date]])</f>
        <v>19400</v>
      </c>
      <c r="I176" s="5" t="s">
        <v>15</v>
      </c>
      <c r="J176" s="5" t="s">
        <v>1435</v>
      </c>
    </row>
    <row r="177" spans="1:10" x14ac:dyDescent="0.15">
      <c r="A177" s="5" t="s">
        <v>48</v>
      </c>
      <c r="B177" s="5" t="s">
        <v>1436</v>
      </c>
      <c r="C177" s="5" t="s">
        <v>37</v>
      </c>
      <c r="D177" s="5" t="s">
        <v>38</v>
      </c>
      <c r="E177" s="9">
        <v>43640</v>
      </c>
      <c r="F177" s="6">
        <v>50700</v>
      </c>
      <c r="G177" s="5" t="s">
        <v>15</v>
      </c>
      <c r="H177" s="6">
        <f>SUMIFS(InventTrans!F:F,InventTrans!B:B,AtlasReport_3_Table_1[[#This Row],[Lot ID]],InventTrans!C:C,AtlasReport_3_Table_1[[#This Row],[Ship date]])</f>
        <v>50700</v>
      </c>
      <c r="I177" s="5" t="s">
        <v>15</v>
      </c>
      <c r="J177" s="5" t="s">
        <v>1437</v>
      </c>
    </row>
    <row r="178" spans="1:10" x14ac:dyDescent="0.15">
      <c r="A178" s="5" t="s">
        <v>48</v>
      </c>
      <c r="B178" s="5" t="s">
        <v>1438</v>
      </c>
      <c r="C178" s="5" t="s">
        <v>37</v>
      </c>
      <c r="D178" s="5" t="s">
        <v>38</v>
      </c>
      <c r="E178" s="9">
        <v>43657</v>
      </c>
      <c r="F178" s="6">
        <v>50700</v>
      </c>
      <c r="G178" s="5" t="s">
        <v>15</v>
      </c>
      <c r="H178" s="6">
        <f>SUMIFS(InventTrans!F:F,InventTrans!B:B,AtlasReport_3_Table_1[[#This Row],[Lot ID]],InventTrans!C:C,AtlasReport_3_Table_1[[#This Row],[Ship date]])</f>
        <v>50700</v>
      </c>
      <c r="I178" s="5" t="s">
        <v>15</v>
      </c>
      <c r="J178" s="5" t="s">
        <v>1439</v>
      </c>
    </row>
    <row r="179" spans="1:10" x14ac:dyDescent="0.15">
      <c r="A179" s="5" t="s">
        <v>48</v>
      </c>
      <c r="B179" s="5" t="s">
        <v>1440</v>
      </c>
      <c r="C179" s="5" t="s">
        <v>44</v>
      </c>
      <c r="D179" s="5" t="s">
        <v>45</v>
      </c>
      <c r="E179" s="9">
        <v>43691</v>
      </c>
      <c r="F179" s="6">
        <v>38707.5</v>
      </c>
      <c r="G179" s="5" t="s">
        <v>15</v>
      </c>
      <c r="H179" s="6">
        <f>SUMIFS(InventTrans!F:F,InventTrans!B:B,AtlasReport_3_Table_1[[#This Row],[Lot ID]],InventTrans!C:C,AtlasReport_3_Table_1[[#This Row],[Ship date]])</f>
        <v>38707.5</v>
      </c>
      <c r="I179" s="5" t="s">
        <v>15</v>
      </c>
      <c r="J179" s="5" t="s">
        <v>1441</v>
      </c>
    </row>
    <row r="180" spans="1:10" x14ac:dyDescent="0.15">
      <c r="A180" s="5" t="s">
        <v>48</v>
      </c>
      <c r="B180" s="5" t="s">
        <v>1442</v>
      </c>
      <c r="C180" s="5" t="s">
        <v>37</v>
      </c>
      <c r="D180" s="5" t="s">
        <v>38</v>
      </c>
      <c r="E180" s="9">
        <v>43663</v>
      </c>
      <c r="F180" s="6">
        <v>13650</v>
      </c>
      <c r="G180" s="5" t="s">
        <v>15</v>
      </c>
      <c r="H180" s="6">
        <f>SUMIFS(InventTrans!F:F,InventTrans!B:B,AtlasReport_3_Table_1[[#This Row],[Lot ID]],InventTrans!C:C,AtlasReport_3_Table_1[[#This Row],[Ship date]])</f>
        <v>13650</v>
      </c>
      <c r="I180" s="5" t="s">
        <v>15</v>
      </c>
      <c r="J180" s="5" t="s">
        <v>1443</v>
      </c>
    </row>
    <row r="181" spans="1:10" x14ac:dyDescent="0.15">
      <c r="A181" s="5" t="s">
        <v>48</v>
      </c>
      <c r="B181" s="5" t="s">
        <v>1444</v>
      </c>
      <c r="C181" s="5" t="s">
        <v>53</v>
      </c>
      <c r="D181" s="5" t="s">
        <v>54</v>
      </c>
      <c r="E181" s="9">
        <v>43677</v>
      </c>
      <c r="F181" s="6">
        <v>9750</v>
      </c>
      <c r="G181" s="5" t="s">
        <v>15</v>
      </c>
      <c r="H181" s="6">
        <f>SUMIFS(InventTrans!F:F,InventTrans!B:B,AtlasReport_3_Table_1[[#This Row],[Lot ID]],InventTrans!C:C,AtlasReport_3_Table_1[[#This Row],[Ship date]])</f>
        <v>9750</v>
      </c>
      <c r="I181" s="5" t="s">
        <v>15</v>
      </c>
      <c r="J181" s="5" t="s">
        <v>1445</v>
      </c>
    </row>
    <row r="182" spans="1:10" x14ac:dyDescent="0.15">
      <c r="A182" s="5" t="s">
        <v>48</v>
      </c>
      <c r="B182" s="5" t="s">
        <v>1444</v>
      </c>
      <c r="C182" s="5" t="s">
        <v>37</v>
      </c>
      <c r="D182" s="5" t="s">
        <v>38</v>
      </c>
      <c r="E182" s="9">
        <v>43677</v>
      </c>
      <c r="F182" s="6">
        <v>7800</v>
      </c>
      <c r="G182" s="5" t="s">
        <v>15</v>
      </c>
      <c r="H182" s="6">
        <f>SUMIFS(InventTrans!F:F,InventTrans!B:B,AtlasReport_3_Table_1[[#This Row],[Lot ID]],InventTrans!C:C,AtlasReport_3_Table_1[[#This Row],[Ship date]])</f>
        <v>7800</v>
      </c>
      <c r="I182" s="5" t="s">
        <v>15</v>
      </c>
      <c r="J182" s="5" t="s">
        <v>1446</v>
      </c>
    </row>
    <row r="183" spans="1:10" x14ac:dyDescent="0.15">
      <c r="A183" s="5" t="s">
        <v>48</v>
      </c>
      <c r="B183" s="5" t="s">
        <v>1444</v>
      </c>
      <c r="C183" s="5" t="s">
        <v>44</v>
      </c>
      <c r="D183" s="5" t="s">
        <v>45</v>
      </c>
      <c r="E183" s="9">
        <v>43677</v>
      </c>
      <c r="F183" s="6">
        <v>7800</v>
      </c>
      <c r="G183" s="5" t="s">
        <v>15</v>
      </c>
      <c r="H183" s="6">
        <f>SUMIFS(InventTrans!F:F,InventTrans!B:B,AtlasReport_3_Table_1[[#This Row],[Lot ID]],InventTrans!C:C,AtlasReport_3_Table_1[[#This Row],[Ship date]])</f>
        <v>7800</v>
      </c>
      <c r="I183" s="5" t="s">
        <v>15</v>
      </c>
      <c r="J183" s="5" t="s">
        <v>1447</v>
      </c>
    </row>
    <row r="184" spans="1:10" x14ac:dyDescent="0.15">
      <c r="A184" s="5" t="s">
        <v>48</v>
      </c>
      <c r="B184" s="5" t="s">
        <v>1448</v>
      </c>
      <c r="C184" s="5" t="s">
        <v>65</v>
      </c>
      <c r="D184" s="5" t="s">
        <v>45</v>
      </c>
      <c r="E184" s="9">
        <v>43683</v>
      </c>
      <c r="F184" s="6">
        <v>1500</v>
      </c>
      <c r="G184" s="5" t="s">
        <v>15</v>
      </c>
      <c r="H184" s="6">
        <f>SUMIFS(InventTrans!F:F,InventTrans!B:B,AtlasReport_3_Table_1[[#This Row],[Lot ID]],InventTrans!C:C,AtlasReport_3_Table_1[[#This Row],[Ship date]])</f>
        <v>1500</v>
      </c>
      <c r="I184" s="5" t="s">
        <v>15</v>
      </c>
      <c r="J184" s="5" t="s">
        <v>1449</v>
      </c>
    </row>
    <row r="185" spans="1:10" x14ac:dyDescent="0.15">
      <c r="A185" s="5" t="s">
        <v>48</v>
      </c>
      <c r="B185" s="5" t="s">
        <v>1448</v>
      </c>
      <c r="C185" s="5" t="s">
        <v>44</v>
      </c>
      <c r="D185" s="5" t="s">
        <v>45</v>
      </c>
      <c r="E185" s="9">
        <v>43683</v>
      </c>
      <c r="F185" s="6">
        <v>7800</v>
      </c>
      <c r="G185" s="5" t="s">
        <v>15</v>
      </c>
      <c r="H185" s="6">
        <f>SUMIFS(InventTrans!F:F,InventTrans!B:B,AtlasReport_3_Table_1[[#This Row],[Lot ID]],InventTrans!C:C,AtlasReport_3_Table_1[[#This Row],[Ship date]])</f>
        <v>7800</v>
      </c>
      <c r="I185" s="5" t="s">
        <v>15</v>
      </c>
      <c r="J185" s="5" t="s">
        <v>1450</v>
      </c>
    </row>
    <row r="186" spans="1:10" x14ac:dyDescent="0.15">
      <c r="A186" s="5" t="s">
        <v>48</v>
      </c>
      <c r="B186" s="5" t="s">
        <v>1451</v>
      </c>
      <c r="C186" s="5" t="s">
        <v>37</v>
      </c>
      <c r="D186" s="5" t="s">
        <v>38</v>
      </c>
      <c r="E186" s="9">
        <v>43705</v>
      </c>
      <c r="F186" s="6">
        <v>23400</v>
      </c>
      <c r="G186" s="5" t="s">
        <v>15</v>
      </c>
      <c r="H186" s="6">
        <f>SUMIFS(InventTrans!F:F,InventTrans!B:B,AtlasReport_3_Table_1[[#This Row],[Lot ID]],InventTrans!C:C,AtlasReport_3_Table_1[[#This Row],[Ship date]])</f>
        <v>23400</v>
      </c>
      <c r="I186" s="5" t="s">
        <v>15</v>
      </c>
      <c r="J186" s="5" t="s">
        <v>1452</v>
      </c>
    </row>
    <row r="187" spans="1:10" x14ac:dyDescent="0.15">
      <c r="A187" s="5" t="s">
        <v>48</v>
      </c>
      <c r="B187" s="5" t="s">
        <v>1451</v>
      </c>
      <c r="C187" s="5" t="s">
        <v>44</v>
      </c>
      <c r="D187" s="5" t="s">
        <v>45</v>
      </c>
      <c r="E187" s="9">
        <v>43705</v>
      </c>
      <c r="F187" s="6">
        <v>1950</v>
      </c>
      <c r="G187" s="5" t="s">
        <v>15</v>
      </c>
      <c r="H187" s="6">
        <f>SUMIFS(InventTrans!F:F,InventTrans!B:B,AtlasReport_3_Table_1[[#This Row],[Lot ID]],InventTrans!C:C,AtlasReport_3_Table_1[[#This Row],[Ship date]])</f>
        <v>1950</v>
      </c>
      <c r="I187" s="5" t="s">
        <v>15</v>
      </c>
      <c r="J187" s="5" t="s">
        <v>1453</v>
      </c>
    </row>
    <row r="188" spans="1:10" x14ac:dyDescent="0.15">
      <c r="A188" s="5" t="s">
        <v>48</v>
      </c>
      <c r="B188" s="5" t="s">
        <v>1454</v>
      </c>
      <c r="C188" s="5" t="s">
        <v>65</v>
      </c>
      <c r="D188" s="5" t="s">
        <v>45</v>
      </c>
      <c r="E188" s="9">
        <v>43711</v>
      </c>
      <c r="F188" s="6">
        <v>19500</v>
      </c>
      <c r="G188" s="5" t="s">
        <v>15</v>
      </c>
      <c r="H188" s="6">
        <f>SUMIFS(InventTrans!F:F,InventTrans!B:B,AtlasReport_3_Table_1[[#This Row],[Lot ID]],InventTrans!C:C,AtlasReport_3_Table_1[[#This Row],[Ship date]])</f>
        <v>19500</v>
      </c>
      <c r="I188" s="5" t="s">
        <v>15</v>
      </c>
      <c r="J188" s="5" t="s">
        <v>1455</v>
      </c>
    </row>
    <row r="189" spans="1:10" x14ac:dyDescent="0.15">
      <c r="A189" s="5" t="s">
        <v>48</v>
      </c>
      <c r="B189" s="5" t="s">
        <v>1456</v>
      </c>
      <c r="C189" s="5" t="s">
        <v>43</v>
      </c>
      <c r="D189" s="5" t="s">
        <v>38</v>
      </c>
      <c r="E189" s="9">
        <v>43710</v>
      </c>
      <c r="F189" s="6">
        <v>3880</v>
      </c>
      <c r="G189" s="5" t="s">
        <v>15</v>
      </c>
      <c r="H189" s="6">
        <f>SUMIFS(InventTrans!F:F,InventTrans!B:B,AtlasReport_3_Table_1[[#This Row],[Lot ID]],InventTrans!C:C,AtlasReport_3_Table_1[[#This Row],[Ship date]])</f>
        <v>3880</v>
      </c>
      <c r="I189" s="5" t="s">
        <v>15</v>
      </c>
      <c r="J189" s="5" t="s">
        <v>1457</v>
      </c>
    </row>
    <row r="190" spans="1:10" x14ac:dyDescent="0.15">
      <c r="A190" s="5" t="s">
        <v>48</v>
      </c>
      <c r="B190" s="5" t="s">
        <v>1456</v>
      </c>
      <c r="C190" s="5" t="s">
        <v>42</v>
      </c>
      <c r="D190" s="5" t="s">
        <v>38</v>
      </c>
      <c r="E190" s="9">
        <v>43710</v>
      </c>
      <c r="F190" s="6">
        <v>3000</v>
      </c>
      <c r="G190" s="5" t="s">
        <v>15</v>
      </c>
      <c r="H190" s="6">
        <f>SUMIFS(InventTrans!F:F,InventTrans!B:B,AtlasReport_3_Table_1[[#This Row],[Lot ID]],InventTrans!C:C,AtlasReport_3_Table_1[[#This Row],[Ship date]])</f>
        <v>3000</v>
      </c>
      <c r="I190" s="5" t="s">
        <v>15</v>
      </c>
      <c r="J190" s="5" t="s">
        <v>1458</v>
      </c>
    </row>
    <row r="191" spans="1:10" x14ac:dyDescent="0.15">
      <c r="A191" s="5" t="s">
        <v>48</v>
      </c>
      <c r="B191" s="5" t="s">
        <v>1456</v>
      </c>
      <c r="C191" s="5" t="s">
        <v>37</v>
      </c>
      <c r="D191" s="5" t="s">
        <v>38</v>
      </c>
      <c r="E191" s="9">
        <v>43710</v>
      </c>
      <c r="F191" s="6">
        <v>7800</v>
      </c>
      <c r="G191" s="5" t="s">
        <v>15</v>
      </c>
      <c r="H191" s="6">
        <f>SUMIFS(InventTrans!F:F,InventTrans!B:B,AtlasReport_3_Table_1[[#This Row],[Lot ID]],InventTrans!C:C,AtlasReport_3_Table_1[[#This Row],[Ship date]])</f>
        <v>7800</v>
      </c>
      <c r="I191" s="5" t="s">
        <v>15</v>
      </c>
      <c r="J191" s="5" t="s">
        <v>1459</v>
      </c>
    </row>
    <row r="192" spans="1:10" x14ac:dyDescent="0.15">
      <c r="A192" s="5" t="s">
        <v>48</v>
      </c>
      <c r="B192" s="5" t="s">
        <v>1460</v>
      </c>
      <c r="C192" s="5" t="s">
        <v>37</v>
      </c>
      <c r="D192" s="5" t="s">
        <v>38</v>
      </c>
      <c r="E192" s="9">
        <v>43732</v>
      </c>
      <c r="F192" s="6">
        <v>9750</v>
      </c>
      <c r="G192" s="5" t="s">
        <v>15</v>
      </c>
      <c r="H192" s="6">
        <f>SUMIFS(InventTrans!F:F,InventTrans!B:B,AtlasReport_3_Table_1[[#This Row],[Lot ID]],InventTrans!C:C,AtlasReport_3_Table_1[[#This Row],[Ship date]])</f>
        <v>9750</v>
      </c>
      <c r="I192" s="5" t="s">
        <v>15</v>
      </c>
      <c r="J192" s="5" t="s">
        <v>1461</v>
      </c>
    </row>
    <row r="193" spans="1:10" x14ac:dyDescent="0.15">
      <c r="A193" s="5" t="s">
        <v>48</v>
      </c>
      <c r="B193" s="5" t="s">
        <v>1460</v>
      </c>
      <c r="C193" s="5" t="s">
        <v>42</v>
      </c>
      <c r="D193" s="5" t="s">
        <v>38</v>
      </c>
      <c r="E193" s="9">
        <v>43732</v>
      </c>
      <c r="F193" s="6">
        <v>1500</v>
      </c>
      <c r="G193" s="5" t="s">
        <v>15</v>
      </c>
      <c r="H193" s="6">
        <f>SUMIFS(InventTrans!F:F,InventTrans!B:B,AtlasReport_3_Table_1[[#This Row],[Lot ID]],InventTrans!C:C,AtlasReport_3_Table_1[[#This Row],[Ship date]])</f>
        <v>1500</v>
      </c>
      <c r="I193" s="5" t="s">
        <v>15</v>
      </c>
      <c r="J193" s="5" t="s">
        <v>1462</v>
      </c>
    </row>
    <row r="194" spans="1:10" x14ac:dyDescent="0.15">
      <c r="A194" s="5" t="s">
        <v>48</v>
      </c>
      <c r="B194" s="5" t="s">
        <v>1463</v>
      </c>
      <c r="C194" s="5" t="s">
        <v>41</v>
      </c>
      <c r="D194" s="5" t="s">
        <v>36</v>
      </c>
      <c r="E194" s="9">
        <v>43749</v>
      </c>
      <c r="F194" s="6">
        <v>1940</v>
      </c>
      <c r="G194" s="5" t="s">
        <v>15</v>
      </c>
      <c r="H194" s="6">
        <f>SUMIFS(InventTrans!F:F,InventTrans!B:B,AtlasReport_3_Table_1[[#This Row],[Lot ID]],InventTrans!C:C,AtlasReport_3_Table_1[[#This Row],[Ship date]])</f>
        <v>1940</v>
      </c>
      <c r="I194" s="5" t="s">
        <v>15</v>
      </c>
      <c r="J194" s="5" t="s">
        <v>1464</v>
      </c>
    </row>
    <row r="195" spans="1:10" x14ac:dyDescent="0.15">
      <c r="A195" s="5" t="s">
        <v>48</v>
      </c>
      <c r="B195" s="5" t="s">
        <v>1463</v>
      </c>
      <c r="C195" s="5" t="s">
        <v>40</v>
      </c>
      <c r="D195" s="5" t="s">
        <v>36</v>
      </c>
      <c r="E195" s="9">
        <v>43749</v>
      </c>
      <c r="F195" s="6">
        <v>1500</v>
      </c>
      <c r="G195" s="5" t="s">
        <v>15</v>
      </c>
      <c r="H195" s="6">
        <f>SUMIFS(InventTrans!F:F,InventTrans!B:B,AtlasReport_3_Table_1[[#This Row],[Lot ID]],InventTrans!C:C,AtlasReport_3_Table_1[[#This Row],[Ship date]])</f>
        <v>1500</v>
      </c>
      <c r="I195" s="5" t="s">
        <v>15</v>
      </c>
      <c r="J195" s="5" t="s">
        <v>1465</v>
      </c>
    </row>
    <row r="196" spans="1:10" x14ac:dyDescent="0.15">
      <c r="A196" s="5" t="s">
        <v>48</v>
      </c>
      <c r="B196" s="5" t="s">
        <v>1463</v>
      </c>
      <c r="C196" s="5" t="s">
        <v>35</v>
      </c>
      <c r="D196" s="5" t="s">
        <v>36</v>
      </c>
      <c r="E196" s="9">
        <v>43749</v>
      </c>
      <c r="F196" s="6">
        <v>5850</v>
      </c>
      <c r="G196" s="5" t="s">
        <v>15</v>
      </c>
      <c r="H196" s="6">
        <f>SUMIFS(InventTrans!F:F,InventTrans!B:B,AtlasReport_3_Table_1[[#This Row],[Lot ID]],InventTrans!C:C,AtlasReport_3_Table_1[[#This Row],[Ship date]])</f>
        <v>5850</v>
      </c>
      <c r="I196" s="5" t="s">
        <v>15</v>
      </c>
      <c r="J196" s="5" t="s">
        <v>1466</v>
      </c>
    </row>
    <row r="197" spans="1:10" x14ac:dyDescent="0.15">
      <c r="A197" s="5" t="s">
        <v>48</v>
      </c>
      <c r="B197" s="5" t="s">
        <v>1463</v>
      </c>
      <c r="C197" s="5" t="s">
        <v>46</v>
      </c>
      <c r="D197" s="5" t="s">
        <v>45</v>
      </c>
      <c r="E197" s="9">
        <v>43749</v>
      </c>
      <c r="F197" s="6">
        <v>1940</v>
      </c>
      <c r="G197" s="5" t="s">
        <v>15</v>
      </c>
      <c r="H197" s="6">
        <f>SUMIFS(InventTrans!F:F,InventTrans!B:B,AtlasReport_3_Table_1[[#This Row],[Lot ID]],InventTrans!C:C,AtlasReport_3_Table_1[[#This Row],[Ship date]])</f>
        <v>1940</v>
      </c>
      <c r="I197" s="5" t="s">
        <v>15</v>
      </c>
      <c r="J197" s="5" t="s">
        <v>1467</v>
      </c>
    </row>
    <row r="198" spans="1:10" x14ac:dyDescent="0.15">
      <c r="A198" s="5" t="s">
        <v>48</v>
      </c>
      <c r="B198" s="5" t="s">
        <v>1468</v>
      </c>
      <c r="C198" s="5" t="s">
        <v>37</v>
      </c>
      <c r="D198" s="5" t="s">
        <v>38</v>
      </c>
      <c r="E198" s="9">
        <v>43746</v>
      </c>
      <c r="F198" s="6">
        <v>23400</v>
      </c>
      <c r="G198" s="5" t="s">
        <v>15</v>
      </c>
      <c r="H198" s="6">
        <f>SUMIFS(InventTrans!F:F,InventTrans!B:B,AtlasReport_3_Table_1[[#This Row],[Lot ID]],InventTrans!C:C,AtlasReport_3_Table_1[[#This Row],[Ship date]])</f>
        <v>23400</v>
      </c>
      <c r="I198" s="5" t="s">
        <v>15</v>
      </c>
      <c r="J198" s="5" t="s">
        <v>1469</v>
      </c>
    </row>
    <row r="199" spans="1:10" x14ac:dyDescent="0.15">
      <c r="A199" s="5" t="s">
        <v>48</v>
      </c>
      <c r="B199" s="5" t="s">
        <v>1468</v>
      </c>
      <c r="C199" s="5" t="s">
        <v>42</v>
      </c>
      <c r="D199" s="5" t="s">
        <v>38</v>
      </c>
      <c r="E199" s="9">
        <v>43746</v>
      </c>
      <c r="F199" s="6">
        <v>1500</v>
      </c>
      <c r="G199" s="5" t="s">
        <v>15</v>
      </c>
      <c r="H199" s="6">
        <f>SUMIFS(InventTrans!F:F,InventTrans!B:B,AtlasReport_3_Table_1[[#This Row],[Lot ID]],InventTrans!C:C,AtlasReport_3_Table_1[[#This Row],[Ship date]])</f>
        <v>1500</v>
      </c>
      <c r="I199" s="5" t="s">
        <v>15</v>
      </c>
      <c r="J199" s="5" t="s">
        <v>1470</v>
      </c>
    </row>
    <row r="200" spans="1:10" x14ac:dyDescent="0.15">
      <c r="A200" s="5" t="s">
        <v>48</v>
      </c>
      <c r="B200" s="5" t="s">
        <v>1471</v>
      </c>
      <c r="C200" s="5" t="s">
        <v>43</v>
      </c>
      <c r="D200" s="5" t="s">
        <v>38</v>
      </c>
      <c r="E200" s="9">
        <v>43787</v>
      </c>
      <c r="F200" s="6">
        <v>7760</v>
      </c>
      <c r="G200" s="5" t="s">
        <v>15</v>
      </c>
      <c r="H200" s="6">
        <f>SUMIFS(InventTrans!F:F,InventTrans!B:B,AtlasReport_3_Table_1[[#This Row],[Lot ID]],InventTrans!C:C,AtlasReport_3_Table_1[[#This Row],[Ship date]])</f>
        <v>7760</v>
      </c>
      <c r="I200" s="5" t="s">
        <v>15</v>
      </c>
      <c r="J200" s="5" t="s">
        <v>1472</v>
      </c>
    </row>
    <row r="201" spans="1:10" x14ac:dyDescent="0.15">
      <c r="A201" s="5" t="s">
        <v>48</v>
      </c>
      <c r="B201" s="5" t="s">
        <v>1473</v>
      </c>
      <c r="C201" s="5" t="s">
        <v>35</v>
      </c>
      <c r="D201" s="5" t="s">
        <v>36</v>
      </c>
      <c r="E201" s="9">
        <v>43542</v>
      </c>
      <c r="F201" s="6">
        <v>1170</v>
      </c>
      <c r="G201" s="5" t="s">
        <v>15</v>
      </c>
      <c r="H201" s="6">
        <f>SUMIFS(InventTrans!F:F,InventTrans!B:B,AtlasReport_3_Table_1[[#This Row],[Lot ID]],InventTrans!C:C,AtlasReport_3_Table_1[[#This Row],[Ship date]])</f>
        <v>1170</v>
      </c>
      <c r="I201" s="5" t="s">
        <v>15</v>
      </c>
      <c r="J201" s="5" t="s">
        <v>1474</v>
      </c>
    </row>
    <row r="202" spans="1:10" x14ac:dyDescent="0.15">
      <c r="A202" s="5" t="s">
        <v>48</v>
      </c>
      <c r="B202" s="5" t="s">
        <v>1475</v>
      </c>
      <c r="C202" s="5" t="s">
        <v>35</v>
      </c>
      <c r="D202" s="5" t="s">
        <v>36</v>
      </c>
      <c r="E202" s="9">
        <v>43563</v>
      </c>
      <c r="F202" s="6">
        <v>6145</v>
      </c>
      <c r="G202" s="5" t="s">
        <v>15</v>
      </c>
      <c r="H202" s="6">
        <f>SUMIFS(InventTrans!F:F,InventTrans!B:B,AtlasReport_3_Table_1[[#This Row],[Lot ID]],InventTrans!C:C,AtlasReport_3_Table_1[[#This Row],[Ship date]])</f>
        <v>6145</v>
      </c>
      <c r="I202" s="5" t="s">
        <v>15</v>
      </c>
      <c r="J202" s="5" t="s">
        <v>1476</v>
      </c>
    </row>
    <row r="203" spans="1:10" x14ac:dyDescent="0.15">
      <c r="A203" s="5" t="s">
        <v>48</v>
      </c>
      <c r="B203" s="5" t="s">
        <v>1475</v>
      </c>
      <c r="C203" s="5" t="s">
        <v>37</v>
      </c>
      <c r="D203" s="5" t="s">
        <v>38</v>
      </c>
      <c r="E203" s="9">
        <v>43563</v>
      </c>
      <c r="F203" s="6">
        <v>20475</v>
      </c>
      <c r="G203" s="5" t="s">
        <v>15</v>
      </c>
      <c r="H203" s="6">
        <f>SUMIFS(InventTrans!F:F,InventTrans!B:B,AtlasReport_3_Table_1[[#This Row],[Lot ID]],InventTrans!C:C,AtlasReport_3_Table_1[[#This Row],[Ship date]])</f>
        <v>20475</v>
      </c>
      <c r="I203" s="5" t="s">
        <v>15</v>
      </c>
      <c r="J203" s="5" t="s">
        <v>1477</v>
      </c>
    </row>
    <row r="204" spans="1:10" x14ac:dyDescent="0.15">
      <c r="A204" s="5" t="s">
        <v>48</v>
      </c>
      <c r="B204" s="5" t="s">
        <v>1478</v>
      </c>
      <c r="C204" s="5" t="s">
        <v>35</v>
      </c>
      <c r="D204" s="5" t="s">
        <v>36</v>
      </c>
      <c r="E204" s="9">
        <v>43698</v>
      </c>
      <c r="F204" s="6">
        <v>4095</v>
      </c>
      <c r="G204" s="5" t="s">
        <v>15</v>
      </c>
      <c r="H204" s="6">
        <f>SUMIFS(InventTrans!F:F,InventTrans!B:B,AtlasReport_3_Table_1[[#This Row],[Lot ID]],InventTrans!C:C,AtlasReport_3_Table_1[[#This Row],[Ship date]])</f>
        <v>4095</v>
      </c>
      <c r="I204" s="5" t="s">
        <v>15</v>
      </c>
      <c r="J204" s="5" t="s">
        <v>1479</v>
      </c>
    </row>
    <row r="205" spans="1:10" x14ac:dyDescent="0.15">
      <c r="A205" s="5" t="s">
        <v>48</v>
      </c>
      <c r="B205" s="5" t="s">
        <v>1480</v>
      </c>
      <c r="C205" s="5" t="s">
        <v>41</v>
      </c>
      <c r="D205" s="5" t="s">
        <v>36</v>
      </c>
      <c r="E205" s="9">
        <v>43489</v>
      </c>
      <c r="F205" s="6">
        <v>4268</v>
      </c>
      <c r="G205" s="5" t="s">
        <v>15</v>
      </c>
      <c r="H205" s="6">
        <f>SUMIFS(InventTrans!F:F,InventTrans!B:B,AtlasReport_3_Table_1[[#This Row],[Lot ID]],InventTrans!C:C,AtlasReport_3_Table_1[[#This Row],[Ship date]])</f>
        <v>4268</v>
      </c>
      <c r="I205" s="5" t="s">
        <v>15</v>
      </c>
      <c r="J205" s="5" t="s">
        <v>1481</v>
      </c>
    </row>
    <row r="206" spans="1:10" x14ac:dyDescent="0.15">
      <c r="A206" s="5" t="s">
        <v>48</v>
      </c>
      <c r="B206" s="5" t="s">
        <v>1480</v>
      </c>
      <c r="C206" s="5" t="s">
        <v>43</v>
      </c>
      <c r="D206" s="5" t="s">
        <v>38</v>
      </c>
      <c r="E206" s="9">
        <v>43489</v>
      </c>
      <c r="F206" s="6">
        <v>9603</v>
      </c>
      <c r="G206" s="5" t="s">
        <v>15</v>
      </c>
      <c r="H206" s="6">
        <f>SUMIFS(InventTrans!F:F,InventTrans!B:B,AtlasReport_3_Table_1[[#This Row],[Lot ID]],InventTrans!C:C,AtlasReport_3_Table_1[[#This Row],[Ship date]])</f>
        <v>9603</v>
      </c>
      <c r="I206" s="5" t="s">
        <v>15</v>
      </c>
      <c r="J206" s="5" t="s">
        <v>1482</v>
      </c>
    </row>
    <row r="207" spans="1:10" x14ac:dyDescent="0.15">
      <c r="A207" s="5" t="s">
        <v>48</v>
      </c>
      <c r="B207" s="5" t="s">
        <v>1480</v>
      </c>
      <c r="C207" s="5" t="s">
        <v>37</v>
      </c>
      <c r="D207" s="5" t="s">
        <v>38</v>
      </c>
      <c r="E207" s="9">
        <v>43489</v>
      </c>
      <c r="F207" s="6">
        <v>5850</v>
      </c>
      <c r="G207" s="5" t="s">
        <v>15</v>
      </c>
      <c r="H207" s="6">
        <f>SUMIFS(InventTrans!F:F,InventTrans!B:B,AtlasReport_3_Table_1[[#This Row],[Lot ID]],InventTrans!C:C,AtlasReport_3_Table_1[[#This Row],[Ship date]])</f>
        <v>5850</v>
      </c>
      <c r="I207" s="5" t="s">
        <v>15</v>
      </c>
      <c r="J207" s="5" t="s">
        <v>1483</v>
      </c>
    </row>
    <row r="208" spans="1:10" x14ac:dyDescent="0.15">
      <c r="A208" s="5" t="s">
        <v>48</v>
      </c>
      <c r="B208" s="5" t="s">
        <v>1484</v>
      </c>
      <c r="C208" s="5" t="s">
        <v>35</v>
      </c>
      <c r="D208" s="5" t="s">
        <v>36</v>
      </c>
      <c r="E208" s="9">
        <v>43479</v>
      </c>
      <c r="F208" s="6">
        <v>7020</v>
      </c>
      <c r="G208" s="5" t="s">
        <v>15</v>
      </c>
      <c r="H208" s="6">
        <f>SUMIFS(InventTrans!F:F,InventTrans!B:B,AtlasReport_3_Table_1[[#This Row],[Lot ID]],InventTrans!C:C,AtlasReport_3_Table_1[[#This Row],[Ship date]])</f>
        <v>7020</v>
      </c>
      <c r="I208" s="5" t="s">
        <v>15</v>
      </c>
      <c r="J208" s="5" t="s">
        <v>1485</v>
      </c>
    </row>
    <row r="209" spans="1:10" x14ac:dyDescent="0.15">
      <c r="A209" s="5" t="s">
        <v>48</v>
      </c>
      <c r="B209" s="5" t="s">
        <v>1486</v>
      </c>
      <c r="C209" s="5" t="s">
        <v>35</v>
      </c>
      <c r="D209" s="5" t="s">
        <v>36</v>
      </c>
      <c r="E209" s="9">
        <v>43556</v>
      </c>
      <c r="F209" s="6">
        <v>5850</v>
      </c>
      <c r="G209" s="5" t="s">
        <v>15</v>
      </c>
      <c r="H209" s="6">
        <f>SUMIFS(InventTrans!F:F,InventTrans!B:B,AtlasReport_3_Table_1[[#This Row],[Lot ID]],InventTrans!C:C,AtlasReport_3_Table_1[[#This Row],[Ship date]])</f>
        <v>5850</v>
      </c>
      <c r="I209" s="5" t="s">
        <v>15</v>
      </c>
      <c r="J209" s="5" t="s">
        <v>1487</v>
      </c>
    </row>
    <row r="210" spans="1:10" x14ac:dyDescent="0.15">
      <c r="A210" s="5" t="s">
        <v>48</v>
      </c>
      <c r="B210" s="5" t="s">
        <v>1486</v>
      </c>
      <c r="C210" s="5" t="s">
        <v>44</v>
      </c>
      <c r="D210" s="5" t="s">
        <v>45</v>
      </c>
      <c r="E210" s="9">
        <v>43556</v>
      </c>
      <c r="F210" s="6">
        <v>3900</v>
      </c>
      <c r="G210" s="5" t="s">
        <v>15</v>
      </c>
      <c r="H210" s="6">
        <f>SUMIFS(InventTrans!F:F,InventTrans!B:B,AtlasReport_3_Table_1[[#This Row],[Lot ID]],InventTrans!C:C,AtlasReport_3_Table_1[[#This Row],[Ship date]])</f>
        <v>3900</v>
      </c>
      <c r="I210" s="5" t="s">
        <v>15</v>
      </c>
      <c r="J210" s="5" t="s">
        <v>1488</v>
      </c>
    </row>
    <row r="211" spans="1:10" x14ac:dyDescent="0.15">
      <c r="A211" s="5" t="s">
        <v>48</v>
      </c>
      <c r="B211" s="5" t="s">
        <v>1486</v>
      </c>
      <c r="C211" s="5" t="s">
        <v>37</v>
      </c>
      <c r="D211" s="5" t="s">
        <v>38</v>
      </c>
      <c r="E211" s="9">
        <v>43556</v>
      </c>
      <c r="F211" s="6">
        <v>15600</v>
      </c>
      <c r="G211" s="5" t="s">
        <v>15</v>
      </c>
      <c r="H211" s="6">
        <f>SUMIFS(InventTrans!F:F,InventTrans!B:B,AtlasReport_3_Table_1[[#This Row],[Lot ID]],InventTrans!C:C,AtlasReport_3_Table_1[[#This Row],[Ship date]])</f>
        <v>15600</v>
      </c>
      <c r="I211" s="5" t="s">
        <v>15</v>
      </c>
      <c r="J211" s="5" t="s">
        <v>1489</v>
      </c>
    </row>
    <row r="212" spans="1:10" x14ac:dyDescent="0.15">
      <c r="A212" s="5" t="s">
        <v>48</v>
      </c>
      <c r="B212" s="5" t="s">
        <v>1490</v>
      </c>
      <c r="C212" s="5" t="s">
        <v>40</v>
      </c>
      <c r="D212" s="5" t="s">
        <v>36</v>
      </c>
      <c r="E212" s="9">
        <v>43607</v>
      </c>
      <c r="F212" s="6">
        <v>4500</v>
      </c>
      <c r="G212" s="5" t="s">
        <v>15</v>
      </c>
      <c r="H212" s="6">
        <f>SUMIFS(InventTrans!F:F,InventTrans!B:B,AtlasReport_3_Table_1[[#This Row],[Lot ID]],InventTrans!C:C,AtlasReport_3_Table_1[[#This Row],[Ship date]])</f>
        <v>4500</v>
      </c>
      <c r="I212" s="5" t="s">
        <v>15</v>
      </c>
      <c r="J212" s="5" t="s">
        <v>1491</v>
      </c>
    </row>
    <row r="213" spans="1:10" x14ac:dyDescent="0.15">
      <c r="A213" s="5" t="s">
        <v>48</v>
      </c>
      <c r="B213" s="5" t="s">
        <v>1492</v>
      </c>
      <c r="C213" s="5" t="s">
        <v>43</v>
      </c>
      <c r="D213" s="5" t="s">
        <v>38</v>
      </c>
      <c r="E213" s="9">
        <v>43602</v>
      </c>
      <c r="F213" s="6">
        <v>9603</v>
      </c>
      <c r="G213" s="5" t="s">
        <v>15</v>
      </c>
      <c r="H213" s="6">
        <f>SUMIFS(InventTrans!F:F,InventTrans!B:B,AtlasReport_3_Table_1[[#This Row],[Lot ID]],InventTrans!C:C,AtlasReport_3_Table_1[[#This Row],[Ship date]])</f>
        <v>9603</v>
      </c>
      <c r="I213" s="5" t="s">
        <v>15</v>
      </c>
      <c r="J213" s="5" t="s">
        <v>1493</v>
      </c>
    </row>
    <row r="214" spans="1:10" x14ac:dyDescent="0.15">
      <c r="A214" s="5" t="s">
        <v>48</v>
      </c>
      <c r="B214" s="5" t="s">
        <v>1492</v>
      </c>
      <c r="C214" s="5" t="s">
        <v>41</v>
      </c>
      <c r="D214" s="5" t="s">
        <v>36</v>
      </c>
      <c r="E214" s="9">
        <v>43602</v>
      </c>
      <c r="F214" s="6">
        <v>5917</v>
      </c>
      <c r="G214" s="5" t="s">
        <v>15</v>
      </c>
      <c r="H214" s="6">
        <f>SUMIFS(InventTrans!F:F,InventTrans!B:B,AtlasReport_3_Table_1[[#This Row],[Lot ID]],InventTrans!C:C,AtlasReport_3_Table_1[[#This Row],[Ship date]])</f>
        <v>5917</v>
      </c>
      <c r="I214" s="5" t="s">
        <v>15</v>
      </c>
      <c r="J214" s="5" t="s">
        <v>1494</v>
      </c>
    </row>
    <row r="215" spans="1:10" x14ac:dyDescent="0.15">
      <c r="A215" s="5" t="s">
        <v>48</v>
      </c>
      <c r="B215" s="5" t="s">
        <v>1492</v>
      </c>
      <c r="C215" s="5" t="s">
        <v>37</v>
      </c>
      <c r="D215" s="5" t="s">
        <v>38</v>
      </c>
      <c r="E215" s="9">
        <v>43602</v>
      </c>
      <c r="F215" s="6">
        <v>1950</v>
      </c>
      <c r="G215" s="5" t="s">
        <v>15</v>
      </c>
      <c r="H215" s="6">
        <f>SUMIFS(InventTrans!F:F,InventTrans!B:B,AtlasReport_3_Table_1[[#This Row],[Lot ID]],InventTrans!C:C,AtlasReport_3_Table_1[[#This Row],[Ship date]])</f>
        <v>1950</v>
      </c>
      <c r="I215" s="5" t="s">
        <v>15</v>
      </c>
      <c r="J215" s="5" t="s">
        <v>1495</v>
      </c>
    </row>
    <row r="216" spans="1:10" x14ac:dyDescent="0.15">
      <c r="A216" s="5" t="s">
        <v>48</v>
      </c>
      <c r="B216" s="5" t="s">
        <v>1496</v>
      </c>
      <c r="C216" s="5" t="s">
        <v>35</v>
      </c>
      <c r="D216" s="5" t="s">
        <v>36</v>
      </c>
      <c r="E216" s="9">
        <v>43619</v>
      </c>
      <c r="F216" s="6">
        <v>11700</v>
      </c>
      <c r="G216" s="5" t="s">
        <v>15</v>
      </c>
      <c r="H216" s="6">
        <f>SUMIFS(InventTrans!F:F,InventTrans!B:B,AtlasReport_3_Table_1[[#This Row],[Lot ID]],InventTrans!C:C,AtlasReport_3_Table_1[[#This Row],[Ship date]])</f>
        <v>11700</v>
      </c>
      <c r="I216" s="5" t="s">
        <v>15</v>
      </c>
      <c r="J216" s="5" t="s">
        <v>1497</v>
      </c>
    </row>
    <row r="217" spans="1:10" x14ac:dyDescent="0.15">
      <c r="A217" s="5" t="s">
        <v>48</v>
      </c>
      <c r="B217" s="5" t="s">
        <v>1498</v>
      </c>
      <c r="C217" s="5" t="s">
        <v>43</v>
      </c>
      <c r="D217" s="5" t="s">
        <v>38</v>
      </c>
      <c r="E217" s="9">
        <v>43654</v>
      </c>
      <c r="F217" s="6">
        <v>5335</v>
      </c>
      <c r="G217" s="5" t="s">
        <v>15</v>
      </c>
      <c r="H217" s="6">
        <f>SUMIFS(InventTrans!F:F,InventTrans!B:B,AtlasReport_3_Table_1[[#This Row],[Lot ID]],InventTrans!C:C,AtlasReport_3_Table_1[[#This Row],[Ship date]])</f>
        <v>5335</v>
      </c>
      <c r="I217" s="5" t="s">
        <v>15</v>
      </c>
      <c r="J217" s="5" t="s">
        <v>1499</v>
      </c>
    </row>
    <row r="218" spans="1:10" x14ac:dyDescent="0.15">
      <c r="A218" s="5" t="s">
        <v>48</v>
      </c>
      <c r="B218" s="5" t="s">
        <v>1498</v>
      </c>
      <c r="C218" s="5" t="s">
        <v>41</v>
      </c>
      <c r="D218" s="5" t="s">
        <v>36</v>
      </c>
      <c r="E218" s="9">
        <v>43654</v>
      </c>
      <c r="F218" s="6">
        <v>4268</v>
      </c>
      <c r="G218" s="5" t="s">
        <v>15</v>
      </c>
      <c r="H218" s="6">
        <f>SUMIFS(InventTrans!F:F,InventTrans!B:B,AtlasReport_3_Table_1[[#This Row],[Lot ID]],InventTrans!C:C,AtlasReport_3_Table_1[[#This Row],[Ship date]])</f>
        <v>4268</v>
      </c>
      <c r="I218" s="5" t="s">
        <v>15</v>
      </c>
      <c r="J218" s="5" t="s">
        <v>1500</v>
      </c>
    </row>
    <row r="219" spans="1:10" x14ac:dyDescent="0.15">
      <c r="A219" s="5" t="s">
        <v>48</v>
      </c>
      <c r="B219" s="5" t="s">
        <v>1498</v>
      </c>
      <c r="C219" s="5" t="s">
        <v>35</v>
      </c>
      <c r="D219" s="5" t="s">
        <v>36</v>
      </c>
      <c r="E219" s="9">
        <v>43654</v>
      </c>
      <c r="F219" s="6">
        <v>5850</v>
      </c>
      <c r="G219" s="5" t="s">
        <v>15</v>
      </c>
      <c r="H219" s="6">
        <f>SUMIFS(InventTrans!F:F,InventTrans!B:B,AtlasReport_3_Table_1[[#This Row],[Lot ID]],InventTrans!C:C,AtlasReport_3_Table_1[[#This Row],[Ship date]])</f>
        <v>5850</v>
      </c>
      <c r="I219" s="5" t="s">
        <v>15</v>
      </c>
      <c r="J219" s="5" t="s">
        <v>1501</v>
      </c>
    </row>
    <row r="220" spans="1:10" x14ac:dyDescent="0.15">
      <c r="A220" s="5" t="s">
        <v>48</v>
      </c>
      <c r="B220" s="5" t="s">
        <v>1498</v>
      </c>
      <c r="C220" s="5" t="s">
        <v>37</v>
      </c>
      <c r="D220" s="5" t="s">
        <v>38</v>
      </c>
      <c r="E220" s="9">
        <v>43654</v>
      </c>
      <c r="F220" s="6">
        <v>5850</v>
      </c>
      <c r="G220" s="5" t="s">
        <v>15</v>
      </c>
      <c r="H220" s="6">
        <f>SUMIFS(InventTrans!F:F,InventTrans!B:B,AtlasReport_3_Table_1[[#This Row],[Lot ID]],InventTrans!C:C,AtlasReport_3_Table_1[[#This Row],[Ship date]])</f>
        <v>5850</v>
      </c>
      <c r="I220" s="5" t="s">
        <v>15</v>
      </c>
      <c r="J220" s="5" t="s">
        <v>1502</v>
      </c>
    </row>
    <row r="221" spans="1:10" x14ac:dyDescent="0.15">
      <c r="A221" s="5" t="s">
        <v>48</v>
      </c>
      <c r="B221" s="5" t="s">
        <v>1503</v>
      </c>
      <c r="C221" s="5" t="s">
        <v>37</v>
      </c>
      <c r="D221" s="5" t="s">
        <v>38</v>
      </c>
      <c r="E221" s="9">
        <v>43685</v>
      </c>
      <c r="F221" s="6">
        <v>13650</v>
      </c>
      <c r="G221" s="5" t="s">
        <v>15</v>
      </c>
      <c r="H221" s="6">
        <f>SUMIFS(InventTrans!F:F,InventTrans!B:B,AtlasReport_3_Table_1[[#This Row],[Lot ID]],InventTrans!C:C,AtlasReport_3_Table_1[[#This Row],[Ship date]])</f>
        <v>13650</v>
      </c>
      <c r="I221" s="5" t="s">
        <v>15</v>
      </c>
      <c r="J221" s="5" t="s">
        <v>1504</v>
      </c>
    </row>
    <row r="222" spans="1:10" x14ac:dyDescent="0.15">
      <c r="A222" s="5" t="s">
        <v>48</v>
      </c>
      <c r="B222" s="5" t="s">
        <v>1503</v>
      </c>
      <c r="C222" s="5" t="s">
        <v>43</v>
      </c>
      <c r="D222" s="5" t="s">
        <v>38</v>
      </c>
      <c r="E222" s="9">
        <v>43685</v>
      </c>
      <c r="F222" s="6">
        <v>5335</v>
      </c>
      <c r="G222" s="5" t="s">
        <v>15</v>
      </c>
      <c r="H222" s="6">
        <f>SUMIFS(InventTrans!F:F,InventTrans!B:B,AtlasReport_3_Table_1[[#This Row],[Lot ID]],InventTrans!C:C,AtlasReport_3_Table_1[[#This Row],[Ship date]])</f>
        <v>5335</v>
      </c>
      <c r="I222" s="5" t="s">
        <v>15</v>
      </c>
      <c r="J222" s="5" t="s">
        <v>1505</v>
      </c>
    </row>
    <row r="223" spans="1:10" x14ac:dyDescent="0.15">
      <c r="A223" s="5" t="s">
        <v>48</v>
      </c>
      <c r="B223" s="5" t="s">
        <v>1503</v>
      </c>
      <c r="C223" s="5" t="s">
        <v>35</v>
      </c>
      <c r="D223" s="5" t="s">
        <v>36</v>
      </c>
      <c r="E223" s="9">
        <v>43685</v>
      </c>
      <c r="F223" s="6">
        <v>3900</v>
      </c>
      <c r="G223" s="5" t="s">
        <v>15</v>
      </c>
      <c r="H223" s="6">
        <f>SUMIFS(InventTrans!F:F,InventTrans!B:B,AtlasReport_3_Table_1[[#This Row],[Lot ID]],InventTrans!C:C,AtlasReport_3_Table_1[[#This Row],[Ship date]])</f>
        <v>3900</v>
      </c>
      <c r="I223" s="5" t="s">
        <v>15</v>
      </c>
      <c r="J223" s="5" t="s">
        <v>1506</v>
      </c>
    </row>
    <row r="224" spans="1:10" x14ac:dyDescent="0.15">
      <c r="A224" s="5" t="s">
        <v>48</v>
      </c>
      <c r="B224" s="5" t="s">
        <v>1507</v>
      </c>
      <c r="C224" s="5" t="s">
        <v>41</v>
      </c>
      <c r="D224" s="5" t="s">
        <v>36</v>
      </c>
      <c r="E224" s="9">
        <v>43717</v>
      </c>
      <c r="F224" s="6">
        <v>533.5</v>
      </c>
      <c r="G224" s="5" t="s">
        <v>15</v>
      </c>
      <c r="H224" s="6">
        <f>SUMIFS(InventTrans!F:F,InventTrans!B:B,AtlasReport_3_Table_1[[#This Row],[Lot ID]],InventTrans!C:C,AtlasReport_3_Table_1[[#This Row],[Ship date]])</f>
        <v>533.5</v>
      </c>
      <c r="I224" s="5" t="s">
        <v>15</v>
      </c>
      <c r="J224" s="5" t="s">
        <v>1508</v>
      </c>
    </row>
    <row r="225" spans="1:10" x14ac:dyDescent="0.15">
      <c r="A225" s="5" t="s">
        <v>48</v>
      </c>
      <c r="B225" s="5" t="s">
        <v>1507</v>
      </c>
      <c r="C225" s="5" t="s">
        <v>40</v>
      </c>
      <c r="D225" s="5" t="s">
        <v>36</v>
      </c>
      <c r="E225" s="9">
        <v>43717</v>
      </c>
      <c r="F225" s="6">
        <v>9000</v>
      </c>
      <c r="G225" s="5" t="s">
        <v>15</v>
      </c>
      <c r="H225" s="6">
        <f>SUMIFS(InventTrans!F:F,InventTrans!B:B,AtlasReport_3_Table_1[[#This Row],[Lot ID]],InventTrans!C:C,AtlasReport_3_Table_1[[#This Row],[Ship date]])</f>
        <v>9000</v>
      </c>
      <c r="I225" s="5" t="s">
        <v>15</v>
      </c>
      <c r="J225" s="5" t="s">
        <v>1509</v>
      </c>
    </row>
    <row r="226" spans="1:10" x14ac:dyDescent="0.15">
      <c r="A226" s="5" t="s">
        <v>48</v>
      </c>
      <c r="B226" s="5" t="s">
        <v>1507</v>
      </c>
      <c r="C226" s="5" t="s">
        <v>43</v>
      </c>
      <c r="D226" s="5" t="s">
        <v>38</v>
      </c>
      <c r="E226" s="9">
        <v>43717</v>
      </c>
      <c r="F226" s="6">
        <v>533.5</v>
      </c>
      <c r="G226" s="5" t="s">
        <v>15</v>
      </c>
      <c r="H226" s="6">
        <f>SUMIFS(InventTrans!F:F,InventTrans!B:B,AtlasReport_3_Table_1[[#This Row],[Lot ID]],InventTrans!C:C,AtlasReport_3_Table_1[[#This Row],[Ship date]])</f>
        <v>533.5</v>
      </c>
      <c r="I226" s="5" t="s">
        <v>15</v>
      </c>
      <c r="J226" s="5" t="s">
        <v>1510</v>
      </c>
    </row>
    <row r="227" spans="1:10" x14ac:dyDescent="0.15">
      <c r="A227" s="5" t="s">
        <v>48</v>
      </c>
      <c r="B227" s="5" t="s">
        <v>1507</v>
      </c>
      <c r="C227" s="5" t="s">
        <v>37</v>
      </c>
      <c r="D227" s="5" t="s">
        <v>38</v>
      </c>
      <c r="E227" s="9">
        <v>43717</v>
      </c>
      <c r="F227" s="6">
        <v>11700</v>
      </c>
      <c r="G227" s="5" t="s">
        <v>15</v>
      </c>
      <c r="H227" s="6">
        <f>SUMIFS(InventTrans!F:F,InventTrans!B:B,AtlasReport_3_Table_1[[#This Row],[Lot ID]],InventTrans!C:C,AtlasReport_3_Table_1[[#This Row],[Ship date]])</f>
        <v>11700</v>
      </c>
      <c r="I227" s="5" t="s">
        <v>15</v>
      </c>
      <c r="J227" s="5" t="s">
        <v>1511</v>
      </c>
    </row>
    <row r="228" spans="1:10" x14ac:dyDescent="0.15">
      <c r="A228" s="5" t="s">
        <v>48</v>
      </c>
      <c r="B228" s="5" t="s">
        <v>1512</v>
      </c>
      <c r="C228" s="5" t="s">
        <v>41</v>
      </c>
      <c r="D228" s="5" t="s">
        <v>36</v>
      </c>
      <c r="E228" s="9">
        <v>43717</v>
      </c>
      <c r="F228" s="6">
        <v>4268</v>
      </c>
      <c r="G228" s="5" t="s">
        <v>15</v>
      </c>
      <c r="H228" s="6">
        <f>SUMIFS(InventTrans!F:F,InventTrans!B:B,AtlasReport_3_Table_1[[#This Row],[Lot ID]],InventTrans!C:C,AtlasReport_3_Table_1[[#This Row],[Ship date]])</f>
        <v>4268</v>
      </c>
      <c r="I228" s="5" t="s">
        <v>15</v>
      </c>
      <c r="J228" s="5" t="s">
        <v>1513</v>
      </c>
    </row>
    <row r="229" spans="1:10" x14ac:dyDescent="0.15">
      <c r="A229" s="5" t="s">
        <v>48</v>
      </c>
      <c r="B229" s="5" t="s">
        <v>1512</v>
      </c>
      <c r="C229" s="5" t="s">
        <v>35</v>
      </c>
      <c r="D229" s="5" t="s">
        <v>36</v>
      </c>
      <c r="E229" s="9">
        <v>43717</v>
      </c>
      <c r="F229" s="6">
        <v>9750</v>
      </c>
      <c r="G229" s="5" t="s">
        <v>15</v>
      </c>
      <c r="H229" s="6">
        <f>SUMIFS(InventTrans!F:F,InventTrans!B:B,AtlasReport_3_Table_1[[#This Row],[Lot ID]],InventTrans!C:C,AtlasReport_3_Table_1[[#This Row],[Ship date]])</f>
        <v>9750</v>
      </c>
      <c r="I229" s="5" t="s">
        <v>15</v>
      </c>
      <c r="J229" s="5" t="s">
        <v>1514</v>
      </c>
    </row>
    <row r="230" spans="1:10" x14ac:dyDescent="0.15">
      <c r="A230" s="5" t="s">
        <v>48</v>
      </c>
      <c r="B230" s="5" t="s">
        <v>1512</v>
      </c>
      <c r="C230" s="5" t="s">
        <v>43</v>
      </c>
      <c r="D230" s="5" t="s">
        <v>38</v>
      </c>
      <c r="E230" s="9">
        <v>43717</v>
      </c>
      <c r="F230" s="6">
        <v>6402</v>
      </c>
      <c r="G230" s="5" t="s">
        <v>15</v>
      </c>
      <c r="H230" s="6">
        <f>SUMIFS(InventTrans!F:F,InventTrans!B:B,AtlasReport_3_Table_1[[#This Row],[Lot ID]],InventTrans!C:C,AtlasReport_3_Table_1[[#This Row],[Ship date]])</f>
        <v>6402</v>
      </c>
      <c r="I230" s="5" t="s">
        <v>15</v>
      </c>
      <c r="J230" s="5" t="s">
        <v>1515</v>
      </c>
    </row>
    <row r="231" spans="1:10" x14ac:dyDescent="0.15">
      <c r="A231" s="5" t="s">
        <v>48</v>
      </c>
      <c r="B231" s="5" t="s">
        <v>1516</v>
      </c>
      <c r="C231" s="5" t="s">
        <v>46</v>
      </c>
      <c r="D231" s="5" t="s">
        <v>45</v>
      </c>
      <c r="E231" s="9">
        <v>43509</v>
      </c>
      <c r="F231" s="6">
        <v>533.5</v>
      </c>
      <c r="G231" s="5" t="s">
        <v>15</v>
      </c>
      <c r="H231" s="6">
        <f>SUMIFS(InventTrans!F:F,InventTrans!B:B,AtlasReport_3_Table_1[[#This Row],[Lot ID]],InventTrans!C:C,AtlasReport_3_Table_1[[#This Row],[Ship date]])</f>
        <v>533.5</v>
      </c>
      <c r="I231" s="5" t="s">
        <v>15</v>
      </c>
      <c r="J231" s="5" t="s">
        <v>1517</v>
      </c>
    </row>
    <row r="232" spans="1:10" x14ac:dyDescent="0.15">
      <c r="A232" s="5" t="s">
        <v>48</v>
      </c>
      <c r="B232" s="5" t="s">
        <v>1516</v>
      </c>
      <c r="C232" s="5" t="s">
        <v>35</v>
      </c>
      <c r="D232" s="5" t="s">
        <v>36</v>
      </c>
      <c r="E232" s="9">
        <v>43509</v>
      </c>
      <c r="F232" s="6">
        <v>3900</v>
      </c>
      <c r="G232" s="5" t="s">
        <v>15</v>
      </c>
      <c r="H232" s="6">
        <f>SUMIFS(InventTrans!F:F,InventTrans!B:B,AtlasReport_3_Table_1[[#This Row],[Lot ID]],InventTrans!C:C,AtlasReport_3_Table_1[[#This Row],[Ship date]])</f>
        <v>3900</v>
      </c>
      <c r="I232" s="5" t="s">
        <v>15</v>
      </c>
      <c r="J232" s="5" t="s">
        <v>1518</v>
      </c>
    </row>
    <row r="233" spans="1:10" x14ac:dyDescent="0.15">
      <c r="A233" s="5" t="s">
        <v>48</v>
      </c>
      <c r="B233" s="5" t="s">
        <v>1516</v>
      </c>
      <c r="C233" s="5" t="s">
        <v>44</v>
      </c>
      <c r="D233" s="5" t="s">
        <v>45</v>
      </c>
      <c r="E233" s="9">
        <v>43509</v>
      </c>
      <c r="F233" s="6">
        <v>1950</v>
      </c>
      <c r="G233" s="5" t="s">
        <v>15</v>
      </c>
      <c r="H233" s="6">
        <f>SUMIFS(InventTrans!F:F,InventTrans!B:B,AtlasReport_3_Table_1[[#This Row],[Lot ID]],InventTrans!C:C,AtlasReport_3_Table_1[[#This Row],[Ship date]])</f>
        <v>1950</v>
      </c>
      <c r="I233" s="5" t="s">
        <v>15</v>
      </c>
      <c r="J233" s="5" t="s">
        <v>1519</v>
      </c>
    </row>
    <row r="234" spans="1:10" x14ac:dyDescent="0.15">
      <c r="A234" s="5" t="s">
        <v>48</v>
      </c>
      <c r="B234" s="5" t="s">
        <v>1516</v>
      </c>
      <c r="C234" s="5" t="s">
        <v>43</v>
      </c>
      <c r="D234" s="5" t="s">
        <v>38</v>
      </c>
      <c r="E234" s="9">
        <v>43509</v>
      </c>
      <c r="F234" s="6">
        <v>1067</v>
      </c>
      <c r="G234" s="5" t="s">
        <v>15</v>
      </c>
      <c r="H234" s="6">
        <f>SUMIFS(InventTrans!F:F,InventTrans!B:B,AtlasReport_3_Table_1[[#This Row],[Lot ID]],InventTrans!C:C,AtlasReport_3_Table_1[[#This Row],[Ship date]])</f>
        <v>1067</v>
      </c>
      <c r="I234" s="5" t="s">
        <v>15</v>
      </c>
      <c r="J234" s="5" t="s">
        <v>1520</v>
      </c>
    </row>
    <row r="235" spans="1:10" x14ac:dyDescent="0.15">
      <c r="A235" s="5" t="s">
        <v>48</v>
      </c>
      <c r="B235" s="5" t="s">
        <v>1516</v>
      </c>
      <c r="C235" s="5" t="s">
        <v>42</v>
      </c>
      <c r="D235" s="5" t="s">
        <v>38</v>
      </c>
      <c r="E235" s="9">
        <v>43509</v>
      </c>
      <c r="F235" s="6">
        <v>4500</v>
      </c>
      <c r="G235" s="5" t="s">
        <v>15</v>
      </c>
      <c r="H235" s="6">
        <f>SUMIFS(InventTrans!F:F,InventTrans!B:B,AtlasReport_3_Table_1[[#This Row],[Lot ID]],InventTrans!C:C,AtlasReport_3_Table_1[[#This Row],[Ship date]])</f>
        <v>4500</v>
      </c>
      <c r="I235" s="5" t="s">
        <v>15</v>
      </c>
      <c r="J235" s="5" t="s">
        <v>1521</v>
      </c>
    </row>
    <row r="236" spans="1:10" x14ac:dyDescent="0.15">
      <c r="A236" s="5" t="s">
        <v>48</v>
      </c>
      <c r="B236" s="5" t="s">
        <v>1516</v>
      </c>
      <c r="C236" s="5" t="s">
        <v>37</v>
      </c>
      <c r="D236" s="5" t="s">
        <v>38</v>
      </c>
      <c r="E236" s="9">
        <v>43509</v>
      </c>
      <c r="F236" s="6">
        <v>9750</v>
      </c>
      <c r="G236" s="5" t="s">
        <v>15</v>
      </c>
      <c r="H236" s="6">
        <f>SUMIFS(InventTrans!F:F,InventTrans!B:B,AtlasReport_3_Table_1[[#This Row],[Lot ID]],InventTrans!C:C,AtlasReport_3_Table_1[[#This Row],[Ship date]])</f>
        <v>9750</v>
      </c>
      <c r="I236" s="5" t="s">
        <v>15</v>
      </c>
      <c r="J236" s="5" t="s">
        <v>1522</v>
      </c>
    </row>
    <row r="237" spans="1:10" x14ac:dyDescent="0.15">
      <c r="A237" s="5" t="s">
        <v>48</v>
      </c>
      <c r="B237" s="5" t="s">
        <v>1523</v>
      </c>
      <c r="C237" s="5" t="s">
        <v>43</v>
      </c>
      <c r="D237" s="5" t="s">
        <v>38</v>
      </c>
      <c r="E237" s="9">
        <v>43768</v>
      </c>
      <c r="F237" s="6">
        <v>388</v>
      </c>
      <c r="G237" s="5" t="s">
        <v>15</v>
      </c>
      <c r="H237" s="6">
        <f>SUMIFS(InventTrans!F:F,InventTrans!B:B,AtlasReport_3_Table_1[[#This Row],[Lot ID]],InventTrans!C:C,AtlasReport_3_Table_1[[#This Row],[Ship date]])</f>
        <v>388</v>
      </c>
      <c r="I237" s="5" t="s">
        <v>15</v>
      </c>
      <c r="J237" s="5" t="s">
        <v>1524</v>
      </c>
    </row>
    <row r="238" spans="1:10" x14ac:dyDescent="0.15">
      <c r="A238" s="5" t="s">
        <v>48</v>
      </c>
      <c r="B238" s="5" t="s">
        <v>1525</v>
      </c>
      <c r="C238" s="5" t="s">
        <v>43</v>
      </c>
      <c r="D238" s="5" t="s">
        <v>38</v>
      </c>
      <c r="E238" s="9">
        <v>43769</v>
      </c>
      <c r="F238" s="6">
        <v>388</v>
      </c>
      <c r="G238" s="5" t="s">
        <v>15</v>
      </c>
      <c r="H238" s="6">
        <f>SUMIFS(InventTrans!F:F,InventTrans!B:B,AtlasReport_3_Table_1[[#This Row],[Lot ID]],InventTrans!C:C,AtlasReport_3_Table_1[[#This Row],[Ship date]])</f>
        <v>388</v>
      </c>
      <c r="I238" s="5" t="s">
        <v>15</v>
      </c>
      <c r="J238" s="5" t="s">
        <v>1526</v>
      </c>
    </row>
    <row r="239" spans="1:10" x14ac:dyDescent="0.15">
      <c r="A239" s="5" t="s">
        <v>48</v>
      </c>
      <c r="B239" s="5" t="s">
        <v>273</v>
      </c>
      <c r="C239" s="5" t="s">
        <v>35</v>
      </c>
      <c r="D239" s="5" t="s">
        <v>36</v>
      </c>
      <c r="E239" s="9">
        <v>43475</v>
      </c>
      <c r="F239" s="6">
        <v>1365</v>
      </c>
      <c r="G239" s="5" t="s">
        <v>15</v>
      </c>
      <c r="H239" s="6">
        <f>SUMIFS(InventTrans!F:F,InventTrans!B:B,AtlasReport_3_Table_1[[#This Row],[Lot ID]],InventTrans!C:C,AtlasReport_3_Table_1[[#This Row],[Ship date]])</f>
        <v>1365</v>
      </c>
      <c r="I239" s="5" t="s">
        <v>15</v>
      </c>
      <c r="J239" s="5" t="s">
        <v>274</v>
      </c>
    </row>
    <row r="240" spans="1:10" x14ac:dyDescent="0.15">
      <c r="A240" s="5" t="s">
        <v>48</v>
      </c>
      <c r="B240" s="5" t="s">
        <v>275</v>
      </c>
      <c r="C240" s="5" t="s">
        <v>42</v>
      </c>
      <c r="D240" s="5" t="s">
        <v>38</v>
      </c>
      <c r="E240" s="9">
        <v>43481</v>
      </c>
      <c r="F240" s="6">
        <v>75</v>
      </c>
      <c r="G240" s="5" t="s">
        <v>15</v>
      </c>
      <c r="H240" s="6">
        <f>SUMIFS(InventTrans!F:F,InventTrans!B:B,AtlasReport_3_Table_1[[#This Row],[Lot ID]],InventTrans!C:C,AtlasReport_3_Table_1[[#This Row],[Ship date]])</f>
        <v>75</v>
      </c>
      <c r="I240" s="5" t="s">
        <v>15</v>
      </c>
      <c r="J240" s="5" t="s">
        <v>276</v>
      </c>
    </row>
    <row r="241" spans="1:10" x14ac:dyDescent="0.15">
      <c r="A241" s="5" t="s">
        <v>48</v>
      </c>
      <c r="B241" s="5" t="s">
        <v>277</v>
      </c>
      <c r="C241" s="5" t="s">
        <v>43</v>
      </c>
      <c r="D241" s="5" t="s">
        <v>38</v>
      </c>
      <c r="E241" s="9">
        <v>43489</v>
      </c>
      <c r="F241" s="6">
        <v>485</v>
      </c>
      <c r="G241" s="5" t="s">
        <v>15</v>
      </c>
      <c r="H241" s="6">
        <f>SUMIFS(InventTrans!F:F,InventTrans!B:B,AtlasReport_3_Table_1[[#This Row],[Lot ID]],InventTrans!C:C,AtlasReport_3_Table_1[[#This Row],[Ship date]])</f>
        <v>485</v>
      </c>
      <c r="I241" s="5" t="s">
        <v>15</v>
      </c>
      <c r="J241" s="5" t="s">
        <v>278</v>
      </c>
    </row>
    <row r="242" spans="1:10" x14ac:dyDescent="0.15">
      <c r="A242" s="5" t="s">
        <v>48</v>
      </c>
      <c r="B242" s="5" t="s">
        <v>277</v>
      </c>
      <c r="C242" s="5" t="s">
        <v>42</v>
      </c>
      <c r="D242" s="5" t="s">
        <v>38</v>
      </c>
      <c r="E242" s="9">
        <v>43489</v>
      </c>
      <c r="F242" s="6">
        <v>225</v>
      </c>
      <c r="G242" s="5" t="s">
        <v>15</v>
      </c>
      <c r="H242" s="6">
        <f>SUMIFS(InventTrans!F:F,InventTrans!B:B,AtlasReport_3_Table_1[[#This Row],[Lot ID]],InventTrans!C:C,AtlasReport_3_Table_1[[#This Row],[Ship date]])</f>
        <v>225</v>
      </c>
      <c r="I242" s="5" t="s">
        <v>15</v>
      </c>
      <c r="J242" s="5" t="s">
        <v>279</v>
      </c>
    </row>
    <row r="243" spans="1:10" x14ac:dyDescent="0.15">
      <c r="A243" s="5" t="s">
        <v>48</v>
      </c>
      <c r="B243" s="5" t="s">
        <v>280</v>
      </c>
      <c r="C243" s="5" t="s">
        <v>43</v>
      </c>
      <c r="D243" s="5" t="s">
        <v>38</v>
      </c>
      <c r="E243" s="9">
        <v>43490</v>
      </c>
      <c r="F243" s="6">
        <v>-485</v>
      </c>
      <c r="G243" s="5" t="s">
        <v>15</v>
      </c>
      <c r="H243" s="6">
        <f>SUMIFS(InventTrans!F:F,InventTrans!B:B,AtlasReport_3_Table_1[[#This Row],[Lot ID]],InventTrans!C:C,AtlasReport_3_Table_1[[#This Row],[Ship date]])</f>
        <v>-485</v>
      </c>
      <c r="I243" s="5" t="s">
        <v>15</v>
      </c>
      <c r="J243" s="5" t="s">
        <v>281</v>
      </c>
    </row>
    <row r="244" spans="1:10" x14ac:dyDescent="0.15">
      <c r="A244" s="5" t="s">
        <v>48</v>
      </c>
      <c r="B244" s="5" t="s">
        <v>280</v>
      </c>
      <c r="C244" s="5" t="s">
        <v>42</v>
      </c>
      <c r="D244" s="5" t="s">
        <v>38</v>
      </c>
      <c r="E244" s="9">
        <v>43490</v>
      </c>
      <c r="F244" s="6">
        <v>-225</v>
      </c>
      <c r="G244" s="5" t="s">
        <v>15</v>
      </c>
      <c r="H244" s="6">
        <f>SUMIFS(InventTrans!F:F,InventTrans!B:B,AtlasReport_3_Table_1[[#This Row],[Lot ID]],InventTrans!C:C,AtlasReport_3_Table_1[[#This Row],[Ship date]])</f>
        <v>-225</v>
      </c>
      <c r="I244" s="5" t="s">
        <v>15</v>
      </c>
      <c r="J244" s="5" t="s">
        <v>282</v>
      </c>
    </row>
    <row r="245" spans="1:10" x14ac:dyDescent="0.15">
      <c r="A245" s="5" t="s">
        <v>48</v>
      </c>
      <c r="B245" s="5" t="s">
        <v>283</v>
      </c>
      <c r="C245" s="5" t="s">
        <v>43</v>
      </c>
      <c r="D245" s="5" t="s">
        <v>38</v>
      </c>
      <c r="E245" s="9">
        <v>43490</v>
      </c>
      <c r="F245" s="6">
        <v>485</v>
      </c>
      <c r="G245" s="5" t="s">
        <v>15</v>
      </c>
      <c r="H245" s="6">
        <f>SUMIFS(InventTrans!F:F,InventTrans!B:B,AtlasReport_3_Table_1[[#This Row],[Lot ID]],InventTrans!C:C,AtlasReport_3_Table_1[[#This Row],[Ship date]])</f>
        <v>485</v>
      </c>
      <c r="I245" s="5" t="s">
        <v>15</v>
      </c>
      <c r="J245" s="5" t="s">
        <v>284</v>
      </c>
    </row>
    <row r="246" spans="1:10" x14ac:dyDescent="0.15">
      <c r="A246" s="5" t="s">
        <v>48</v>
      </c>
      <c r="B246" s="5" t="s">
        <v>283</v>
      </c>
      <c r="C246" s="5" t="s">
        <v>42</v>
      </c>
      <c r="D246" s="5" t="s">
        <v>38</v>
      </c>
      <c r="E246" s="9">
        <v>43490</v>
      </c>
      <c r="F246" s="6">
        <v>225</v>
      </c>
      <c r="G246" s="5" t="s">
        <v>15</v>
      </c>
      <c r="H246" s="6">
        <f>SUMIFS(InventTrans!F:F,InventTrans!B:B,AtlasReport_3_Table_1[[#This Row],[Lot ID]],InventTrans!C:C,AtlasReport_3_Table_1[[#This Row],[Ship date]])</f>
        <v>225</v>
      </c>
      <c r="I246" s="5" t="s">
        <v>15</v>
      </c>
      <c r="J246" s="5" t="s">
        <v>285</v>
      </c>
    </row>
    <row r="247" spans="1:10" x14ac:dyDescent="0.15">
      <c r="A247" s="5" t="s">
        <v>48</v>
      </c>
      <c r="B247" s="5" t="s">
        <v>286</v>
      </c>
      <c r="C247" s="5" t="s">
        <v>37</v>
      </c>
      <c r="D247" s="5" t="s">
        <v>38</v>
      </c>
      <c r="E247" s="9">
        <v>43516</v>
      </c>
      <c r="F247" s="6">
        <v>195</v>
      </c>
      <c r="G247" s="5" t="s">
        <v>15</v>
      </c>
      <c r="H247" s="6">
        <f>SUMIFS(InventTrans!F:F,InventTrans!B:B,AtlasReport_3_Table_1[[#This Row],[Lot ID]],InventTrans!C:C,AtlasReport_3_Table_1[[#This Row],[Ship date]])</f>
        <v>195</v>
      </c>
      <c r="I247" s="5" t="s">
        <v>15</v>
      </c>
      <c r="J247" s="5" t="s">
        <v>287</v>
      </c>
    </row>
    <row r="248" spans="1:10" x14ac:dyDescent="0.15">
      <c r="A248" s="5" t="s">
        <v>48</v>
      </c>
      <c r="B248" s="5" t="s">
        <v>288</v>
      </c>
      <c r="C248" s="5" t="s">
        <v>35</v>
      </c>
      <c r="D248" s="5" t="s">
        <v>36</v>
      </c>
      <c r="E248" s="9">
        <v>43517</v>
      </c>
      <c r="F248" s="6">
        <v>390</v>
      </c>
      <c r="G248" s="5" t="s">
        <v>15</v>
      </c>
      <c r="H248" s="6">
        <f>SUMIFS(InventTrans!F:F,InventTrans!B:B,AtlasReport_3_Table_1[[#This Row],[Lot ID]],InventTrans!C:C,AtlasReport_3_Table_1[[#This Row],[Ship date]])</f>
        <v>390</v>
      </c>
      <c r="I248" s="5" t="s">
        <v>15</v>
      </c>
      <c r="J248" s="5" t="s">
        <v>289</v>
      </c>
    </row>
    <row r="249" spans="1:10" x14ac:dyDescent="0.15">
      <c r="A249" s="5" t="s">
        <v>48</v>
      </c>
      <c r="B249" s="5" t="s">
        <v>290</v>
      </c>
      <c r="C249" s="5" t="s">
        <v>35</v>
      </c>
      <c r="D249" s="5" t="s">
        <v>36</v>
      </c>
      <c r="E249" s="9">
        <v>43518</v>
      </c>
      <c r="F249" s="6">
        <v>292.5</v>
      </c>
      <c r="G249" s="5" t="s">
        <v>15</v>
      </c>
      <c r="H249" s="6">
        <f>SUMIFS(InventTrans!F:F,InventTrans!B:B,AtlasReport_3_Table_1[[#This Row],[Lot ID]],InventTrans!C:C,AtlasReport_3_Table_1[[#This Row],[Ship date]])</f>
        <v>292.5</v>
      </c>
      <c r="I249" s="5" t="s">
        <v>15</v>
      </c>
      <c r="J249" s="5" t="s">
        <v>291</v>
      </c>
    </row>
    <row r="250" spans="1:10" x14ac:dyDescent="0.15">
      <c r="A250" s="5" t="s">
        <v>48</v>
      </c>
      <c r="B250" s="5" t="s">
        <v>292</v>
      </c>
      <c r="C250" s="5" t="s">
        <v>35</v>
      </c>
      <c r="D250" s="5" t="s">
        <v>36</v>
      </c>
      <c r="E250" s="9">
        <v>43521</v>
      </c>
      <c r="F250" s="6">
        <v>1170</v>
      </c>
      <c r="G250" s="5" t="s">
        <v>15</v>
      </c>
      <c r="H250" s="6">
        <f>SUMIFS(InventTrans!F:F,InventTrans!B:B,AtlasReport_3_Table_1[[#This Row],[Lot ID]],InventTrans!C:C,AtlasReport_3_Table_1[[#This Row],[Ship date]])</f>
        <v>1170</v>
      </c>
      <c r="I250" s="5" t="s">
        <v>15</v>
      </c>
      <c r="J250" s="5" t="s">
        <v>293</v>
      </c>
    </row>
    <row r="251" spans="1:10" x14ac:dyDescent="0.15">
      <c r="A251" s="5" t="s">
        <v>48</v>
      </c>
      <c r="B251" s="5" t="s">
        <v>294</v>
      </c>
      <c r="C251" s="5" t="s">
        <v>41</v>
      </c>
      <c r="D251" s="5" t="s">
        <v>36</v>
      </c>
      <c r="E251" s="9">
        <v>43529</v>
      </c>
      <c r="F251" s="6">
        <v>48.5</v>
      </c>
      <c r="G251" s="5" t="s">
        <v>15</v>
      </c>
      <c r="H251" s="6">
        <f>SUMIFS(InventTrans!F:F,InventTrans!B:B,AtlasReport_3_Table_1[[#This Row],[Lot ID]],InventTrans!C:C,AtlasReport_3_Table_1[[#This Row],[Ship date]])</f>
        <v>48.5</v>
      </c>
      <c r="I251" s="5" t="s">
        <v>15</v>
      </c>
      <c r="J251" s="5" t="s">
        <v>295</v>
      </c>
    </row>
    <row r="252" spans="1:10" x14ac:dyDescent="0.15">
      <c r="A252" s="5" t="s">
        <v>48</v>
      </c>
      <c r="B252" s="5" t="s">
        <v>294</v>
      </c>
      <c r="C252" s="5" t="s">
        <v>40</v>
      </c>
      <c r="D252" s="5" t="s">
        <v>36</v>
      </c>
      <c r="E252" s="9">
        <v>43529</v>
      </c>
      <c r="F252" s="6">
        <v>825</v>
      </c>
      <c r="G252" s="5" t="s">
        <v>15</v>
      </c>
      <c r="H252" s="6">
        <f>SUMIFS(InventTrans!F:F,InventTrans!B:B,AtlasReport_3_Table_1[[#This Row],[Lot ID]],InventTrans!C:C,AtlasReport_3_Table_1[[#This Row],[Ship date]])</f>
        <v>825</v>
      </c>
      <c r="I252" s="5" t="s">
        <v>15</v>
      </c>
      <c r="J252" s="5" t="s">
        <v>296</v>
      </c>
    </row>
    <row r="253" spans="1:10" x14ac:dyDescent="0.15">
      <c r="A253" s="5" t="s">
        <v>48</v>
      </c>
      <c r="B253" s="5" t="s">
        <v>294</v>
      </c>
      <c r="C253" s="5" t="s">
        <v>35</v>
      </c>
      <c r="D253" s="5" t="s">
        <v>36</v>
      </c>
      <c r="E253" s="9">
        <v>43529</v>
      </c>
      <c r="F253" s="6">
        <v>3900</v>
      </c>
      <c r="G253" s="5" t="s">
        <v>15</v>
      </c>
      <c r="H253" s="6">
        <f>SUMIFS(InventTrans!F:F,InventTrans!B:B,AtlasReport_3_Table_1[[#This Row],[Lot ID]],InventTrans!C:C,AtlasReport_3_Table_1[[#This Row],[Ship date]])</f>
        <v>3900</v>
      </c>
      <c r="I253" s="5" t="s">
        <v>15</v>
      </c>
      <c r="J253" s="5" t="s">
        <v>297</v>
      </c>
    </row>
    <row r="254" spans="1:10" x14ac:dyDescent="0.15">
      <c r="A254" s="5" t="s">
        <v>48</v>
      </c>
      <c r="B254" s="5" t="s">
        <v>298</v>
      </c>
      <c r="C254" s="5" t="s">
        <v>40</v>
      </c>
      <c r="D254" s="5" t="s">
        <v>36</v>
      </c>
      <c r="E254" s="9">
        <v>43530</v>
      </c>
      <c r="F254" s="6">
        <v>6825</v>
      </c>
      <c r="G254" s="5" t="s">
        <v>15</v>
      </c>
      <c r="H254" s="6">
        <f>SUMIFS(InventTrans!F:F,InventTrans!B:B,AtlasReport_3_Table_1[[#This Row],[Lot ID]],InventTrans!C:C,AtlasReport_3_Table_1[[#This Row],[Ship date]])</f>
        <v>6825</v>
      </c>
      <c r="I254" s="5" t="s">
        <v>15</v>
      </c>
      <c r="J254" s="5" t="s">
        <v>299</v>
      </c>
    </row>
    <row r="255" spans="1:10" x14ac:dyDescent="0.15">
      <c r="A255" s="5" t="s">
        <v>48</v>
      </c>
      <c r="B255" s="5" t="s">
        <v>300</v>
      </c>
      <c r="C255" s="5" t="s">
        <v>37</v>
      </c>
      <c r="D255" s="5" t="s">
        <v>38</v>
      </c>
      <c r="E255" s="9">
        <v>43530</v>
      </c>
      <c r="F255" s="6">
        <v>487.5</v>
      </c>
      <c r="G255" s="5" t="s">
        <v>15</v>
      </c>
      <c r="H255" s="6">
        <f>SUMIFS(InventTrans!F:F,InventTrans!B:B,AtlasReport_3_Table_1[[#This Row],[Lot ID]],InventTrans!C:C,AtlasReport_3_Table_1[[#This Row],[Ship date]])</f>
        <v>487.5</v>
      </c>
      <c r="I255" s="5" t="s">
        <v>15</v>
      </c>
      <c r="J255" s="5" t="s">
        <v>301</v>
      </c>
    </row>
    <row r="256" spans="1:10" x14ac:dyDescent="0.15">
      <c r="A256" s="5" t="s">
        <v>48</v>
      </c>
      <c r="B256" s="5" t="s">
        <v>302</v>
      </c>
      <c r="C256" s="5" t="s">
        <v>57</v>
      </c>
      <c r="D256" s="5" t="s">
        <v>54</v>
      </c>
      <c r="E256" s="9">
        <v>43535</v>
      </c>
      <c r="F256" s="6">
        <v>48.5</v>
      </c>
      <c r="G256" s="5" t="s">
        <v>15</v>
      </c>
      <c r="H256" s="6">
        <f>SUMIFS(InventTrans!F:F,InventTrans!B:B,AtlasReport_3_Table_1[[#This Row],[Lot ID]],InventTrans!C:C,AtlasReport_3_Table_1[[#This Row],[Ship date]])</f>
        <v>48.5</v>
      </c>
      <c r="I256" s="5" t="s">
        <v>15</v>
      </c>
      <c r="J256" s="5" t="s">
        <v>303</v>
      </c>
    </row>
    <row r="257" spans="1:10" x14ac:dyDescent="0.15">
      <c r="A257" s="5" t="s">
        <v>48</v>
      </c>
      <c r="B257" s="5" t="s">
        <v>302</v>
      </c>
      <c r="C257" s="5" t="s">
        <v>64</v>
      </c>
      <c r="D257" s="5" t="s">
        <v>54</v>
      </c>
      <c r="E257" s="9">
        <v>43535</v>
      </c>
      <c r="F257" s="6">
        <v>75</v>
      </c>
      <c r="G257" s="5" t="s">
        <v>15</v>
      </c>
      <c r="H257" s="6">
        <f>SUMIFS(InventTrans!F:F,InventTrans!B:B,AtlasReport_3_Table_1[[#This Row],[Lot ID]],InventTrans!C:C,AtlasReport_3_Table_1[[#This Row],[Ship date]])</f>
        <v>75</v>
      </c>
      <c r="I257" s="5" t="s">
        <v>15</v>
      </c>
      <c r="J257" s="5" t="s">
        <v>304</v>
      </c>
    </row>
    <row r="258" spans="1:10" x14ac:dyDescent="0.15">
      <c r="A258" s="5" t="s">
        <v>48</v>
      </c>
      <c r="B258" s="5" t="s">
        <v>305</v>
      </c>
      <c r="C258" s="5" t="s">
        <v>43</v>
      </c>
      <c r="D258" s="5" t="s">
        <v>38</v>
      </c>
      <c r="E258" s="9">
        <v>43536</v>
      </c>
      <c r="F258" s="6">
        <v>485</v>
      </c>
      <c r="G258" s="5" t="s">
        <v>15</v>
      </c>
      <c r="H258" s="6">
        <f>SUMIFS(InventTrans!F:F,InventTrans!B:B,AtlasReport_3_Table_1[[#This Row],[Lot ID]],InventTrans!C:C,AtlasReport_3_Table_1[[#This Row],[Ship date]])</f>
        <v>485</v>
      </c>
      <c r="I258" s="5" t="s">
        <v>15</v>
      </c>
      <c r="J258" s="5" t="s">
        <v>306</v>
      </c>
    </row>
    <row r="259" spans="1:10" x14ac:dyDescent="0.15">
      <c r="A259" s="5" t="s">
        <v>48</v>
      </c>
      <c r="B259" s="5" t="s">
        <v>307</v>
      </c>
      <c r="C259" s="5" t="s">
        <v>43</v>
      </c>
      <c r="D259" s="5" t="s">
        <v>38</v>
      </c>
      <c r="E259" s="9">
        <v>43536</v>
      </c>
      <c r="F259" s="6">
        <v>145.5</v>
      </c>
      <c r="G259" s="5" t="s">
        <v>15</v>
      </c>
      <c r="H259" s="6">
        <f>SUMIFS(InventTrans!F:F,InventTrans!B:B,AtlasReport_3_Table_1[[#This Row],[Lot ID]],InventTrans!C:C,AtlasReport_3_Table_1[[#This Row],[Ship date]])</f>
        <v>145.5</v>
      </c>
      <c r="I259" s="5" t="s">
        <v>15</v>
      </c>
      <c r="J259" s="5" t="s">
        <v>308</v>
      </c>
    </row>
    <row r="260" spans="1:10" x14ac:dyDescent="0.15">
      <c r="A260" s="5" t="s">
        <v>48</v>
      </c>
      <c r="B260" s="5" t="s">
        <v>307</v>
      </c>
      <c r="C260" s="5" t="s">
        <v>42</v>
      </c>
      <c r="D260" s="5" t="s">
        <v>38</v>
      </c>
      <c r="E260" s="9">
        <v>43536</v>
      </c>
      <c r="F260" s="6">
        <v>1500</v>
      </c>
      <c r="G260" s="5" t="s">
        <v>15</v>
      </c>
      <c r="H260" s="6">
        <f>SUMIFS(InventTrans!F:F,InventTrans!B:B,AtlasReport_3_Table_1[[#This Row],[Lot ID]],InventTrans!C:C,AtlasReport_3_Table_1[[#This Row],[Ship date]])</f>
        <v>1500</v>
      </c>
      <c r="I260" s="5" t="s">
        <v>15</v>
      </c>
      <c r="J260" s="5" t="s">
        <v>309</v>
      </c>
    </row>
    <row r="261" spans="1:10" x14ac:dyDescent="0.15">
      <c r="A261" s="5" t="s">
        <v>48</v>
      </c>
      <c r="B261" s="5" t="s">
        <v>310</v>
      </c>
      <c r="C261" s="5" t="s">
        <v>43</v>
      </c>
      <c r="D261" s="5" t="s">
        <v>38</v>
      </c>
      <c r="E261" s="9">
        <v>43537</v>
      </c>
      <c r="F261" s="6">
        <v>4025.5</v>
      </c>
      <c r="G261" s="5" t="s">
        <v>15</v>
      </c>
      <c r="H261" s="6">
        <f>SUMIFS(InventTrans!F:F,InventTrans!B:B,AtlasReport_3_Table_1[[#This Row],[Lot ID]],InventTrans!C:C,AtlasReport_3_Table_1[[#This Row],[Ship date]])</f>
        <v>4025.5</v>
      </c>
      <c r="I261" s="5" t="s">
        <v>15</v>
      </c>
      <c r="J261" s="5" t="s">
        <v>311</v>
      </c>
    </row>
    <row r="262" spans="1:10" x14ac:dyDescent="0.15">
      <c r="A262" s="5" t="s">
        <v>48</v>
      </c>
      <c r="B262" s="5" t="s">
        <v>312</v>
      </c>
      <c r="C262" s="5" t="s">
        <v>35</v>
      </c>
      <c r="D262" s="5" t="s">
        <v>36</v>
      </c>
      <c r="E262" s="9">
        <v>43542</v>
      </c>
      <c r="F262" s="6">
        <v>10042.5</v>
      </c>
      <c r="G262" s="5" t="s">
        <v>15</v>
      </c>
      <c r="H262" s="6">
        <f>SUMIFS(InventTrans!F:F,InventTrans!B:B,AtlasReport_3_Table_1[[#This Row],[Lot ID]],InventTrans!C:C,AtlasReport_3_Table_1[[#This Row],[Ship date]])</f>
        <v>10042.5</v>
      </c>
      <c r="I262" s="5" t="s">
        <v>15</v>
      </c>
      <c r="J262" s="5" t="s">
        <v>313</v>
      </c>
    </row>
    <row r="263" spans="1:10" x14ac:dyDescent="0.15">
      <c r="A263" s="5" t="s">
        <v>48</v>
      </c>
      <c r="B263" s="5" t="s">
        <v>314</v>
      </c>
      <c r="C263" s="5" t="s">
        <v>35</v>
      </c>
      <c r="D263" s="5" t="s">
        <v>36</v>
      </c>
      <c r="E263" s="9">
        <v>43543</v>
      </c>
      <c r="F263" s="6">
        <v>22425</v>
      </c>
      <c r="G263" s="5" t="s">
        <v>15</v>
      </c>
      <c r="H263" s="6">
        <f>SUMIFS(InventTrans!F:F,InventTrans!B:B,AtlasReport_3_Table_1[[#This Row],[Lot ID]],InventTrans!C:C,AtlasReport_3_Table_1[[#This Row],[Ship date]])</f>
        <v>22425</v>
      </c>
      <c r="I263" s="5" t="s">
        <v>15</v>
      </c>
      <c r="J263" s="5" t="s">
        <v>315</v>
      </c>
    </row>
    <row r="264" spans="1:10" x14ac:dyDescent="0.15">
      <c r="A264" s="5" t="s">
        <v>48</v>
      </c>
      <c r="B264" s="5" t="s">
        <v>316</v>
      </c>
      <c r="C264" s="5" t="s">
        <v>37</v>
      </c>
      <c r="D264" s="5" t="s">
        <v>38</v>
      </c>
      <c r="E264" s="9">
        <v>43544</v>
      </c>
      <c r="F264" s="6">
        <v>10042.5</v>
      </c>
      <c r="G264" s="5" t="s">
        <v>15</v>
      </c>
      <c r="H264" s="6">
        <f>SUMIFS(InventTrans!F:F,InventTrans!B:B,AtlasReport_3_Table_1[[#This Row],[Lot ID]],InventTrans!C:C,AtlasReport_3_Table_1[[#This Row],[Ship date]])</f>
        <v>10042.5</v>
      </c>
      <c r="I264" s="5" t="s">
        <v>15</v>
      </c>
      <c r="J264" s="5" t="s">
        <v>317</v>
      </c>
    </row>
    <row r="265" spans="1:10" x14ac:dyDescent="0.15">
      <c r="A265" s="5" t="s">
        <v>48</v>
      </c>
      <c r="B265" s="5" t="s">
        <v>318</v>
      </c>
      <c r="C265" s="5" t="s">
        <v>43</v>
      </c>
      <c r="D265" s="5" t="s">
        <v>38</v>
      </c>
      <c r="E265" s="9">
        <v>43544</v>
      </c>
      <c r="F265" s="6">
        <v>48.5</v>
      </c>
      <c r="G265" s="5" t="s">
        <v>15</v>
      </c>
      <c r="H265" s="6">
        <f>SUMIFS(InventTrans!F:F,InventTrans!B:B,AtlasReport_3_Table_1[[#This Row],[Lot ID]],InventTrans!C:C,AtlasReport_3_Table_1[[#This Row],[Ship date]])</f>
        <v>48.5</v>
      </c>
      <c r="I265" s="5" t="s">
        <v>15</v>
      </c>
      <c r="J265" s="5" t="s">
        <v>319</v>
      </c>
    </row>
    <row r="266" spans="1:10" x14ac:dyDescent="0.15">
      <c r="A266" s="5" t="s">
        <v>48</v>
      </c>
      <c r="B266" s="5" t="s">
        <v>320</v>
      </c>
      <c r="C266" s="5" t="s">
        <v>35</v>
      </c>
      <c r="D266" s="5" t="s">
        <v>36</v>
      </c>
      <c r="E266" s="9">
        <v>43549</v>
      </c>
      <c r="F266" s="6">
        <v>2535</v>
      </c>
      <c r="G266" s="5" t="s">
        <v>15</v>
      </c>
      <c r="H266" s="6">
        <f>SUMIFS(InventTrans!F:F,InventTrans!B:B,AtlasReport_3_Table_1[[#This Row],[Lot ID]],InventTrans!C:C,AtlasReport_3_Table_1[[#This Row],[Ship date]])</f>
        <v>2535</v>
      </c>
      <c r="I266" s="5" t="s">
        <v>15</v>
      </c>
      <c r="J266" s="5" t="s">
        <v>321</v>
      </c>
    </row>
    <row r="267" spans="1:10" x14ac:dyDescent="0.15">
      <c r="A267" s="5" t="s">
        <v>48</v>
      </c>
      <c r="B267" s="5" t="s">
        <v>322</v>
      </c>
      <c r="C267" s="5" t="s">
        <v>37</v>
      </c>
      <c r="D267" s="5" t="s">
        <v>38</v>
      </c>
      <c r="E267" s="9">
        <v>43549</v>
      </c>
      <c r="F267" s="6">
        <v>195</v>
      </c>
      <c r="G267" s="5" t="s">
        <v>15</v>
      </c>
      <c r="H267" s="6">
        <f>SUMIFS(InventTrans!F:F,InventTrans!B:B,AtlasReport_3_Table_1[[#This Row],[Lot ID]],InventTrans!C:C,AtlasReport_3_Table_1[[#This Row],[Ship date]])</f>
        <v>195</v>
      </c>
      <c r="I267" s="5" t="s">
        <v>15</v>
      </c>
      <c r="J267" s="5" t="s">
        <v>323</v>
      </c>
    </row>
    <row r="268" spans="1:10" x14ac:dyDescent="0.15">
      <c r="A268" s="5" t="s">
        <v>48</v>
      </c>
      <c r="B268" s="5" t="s">
        <v>324</v>
      </c>
      <c r="C268" s="5" t="s">
        <v>43</v>
      </c>
      <c r="D268" s="5" t="s">
        <v>38</v>
      </c>
      <c r="E268" s="9">
        <v>43549</v>
      </c>
      <c r="F268" s="6">
        <v>97</v>
      </c>
      <c r="G268" s="5" t="s">
        <v>15</v>
      </c>
      <c r="H268" s="6">
        <f>SUMIFS(InventTrans!F:F,InventTrans!B:B,AtlasReport_3_Table_1[[#This Row],[Lot ID]],InventTrans!C:C,AtlasReport_3_Table_1[[#This Row],[Ship date]])</f>
        <v>97</v>
      </c>
      <c r="I268" s="5" t="s">
        <v>15</v>
      </c>
      <c r="J268" s="5" t="s">
        <v>325</v>
      </c>
    </row>
    <row r="269" spans="1:10" x14ac:dyDescent="0.15">
      <c r="A269" s="5" t="s">
        <v>48</v>
      </c>
      <c r="B269" s="5" t="s">
        <v>324</v>
      </c>
      <c r="C269" s="5" t="s">
        <v>37</v>
      </c>
      <c r="D269" s="5" t="s">
        <v>38</v>
      </c>
      <c r="E269" s="9">
        <v>43549</v>
      </c>
      <c r="F269" s="6">
        <v>292.5</v>
      </c>
      <c r="G269" s="5" t="s">
        <v>15</v>
      </c>
      <c r="H269" s="6">
        <f>SUMIFS(InventTrans!F:F,InventTrans!B:B,AtlasReport_3_Table_1[[#This Row],[Lot ID]],InventTrans!C:C,AtlasReport_3_Table_1[[#This Row],[Ship date]])</f>
        <v>292.5</v>
      </c>
      <c r="I269" s="5" t="s">
        <v>15</v>
      </c>
      <c r="J269" s="5" t="s">
        <v>326</v>
      </c>
    </row>
    <row r="270" spans="1:10" x14ac:dyDescent="0.15">
      <c r="A270" s="5" t="s">
        <v>48</v>
      </c>
      <c r="B270" s="5" t="s">
        <v>327</v>
      </c>
      <c r="C270" s="5" t="s">
        <v>42</v>
      </c>
      <c r="D270" s="5" t="s">
        <v>38</v>
      </c>
      <c r="E270" s="9">
        <v>43550</v>
      </c>
      <c r="F270" s="6">
        <v>225</v>
      </c>
      <c r="G270" s="5" t="s">
        <v>15</v>
      </c>
      <c r="H270" s="6">
        <f>SUMIFS(InventTrans!F:F,InventTrans!B:B,AtlasReport_3_Table_1[[#This Row],[Lot ID]],InventTrans!C:C,AtlasReport_3_Table_1[[#This Row],[Ship date]])</f>
        <v>225</v>
      </c>
      <c r="I270" s="5" t="s">
        <v>15</v>
      </c>
      <c r="J270" s="5" t="s">
        <v>328</v>
      </c>
    </row>
    <row r="271" spans="1:10" x14ac:dyDescent="0.15">
      <c r="A271" s="5" t="s">
        <v>48</v>
      </c>
      <c r="B271" s="5" t="s">
        <v>329</v>
      </c>
      <c r="C271" s="5" t="s">
        <v>37</v>
      </c>
      <c r="D271" s="5" t="s">
        <v>38</v>
      </c>
      <c r="E271" s="9">
        <v>43552</v>
      </c>
      <c r="F271" s="6">
        <v>14040</v>
      </c>
      <c r="G271" s="5" t="s">
        <v>15</v>
      </c>
      <c r="H271" s="6">
        <f>SUMIFS(InventTrans!F:F,InventTrans!B:B,AtlasReport_3_Table_1[[#This Row],[Lot ID]],InventTrans!C:C,AtlasReport_3_Table_1[[#This Row],[Ship date]])</f>
        <v>14040</v>
      </c>
      <c r="I271" s="5" t="s">
        <v>15</v>
      </c>
      <c r="J271" s="5" t="s">
        <v>330</v>
      </c>
    </row>
    <row r="272" spans="1:10" x14ac:dyDescent="0.15">
      <c r="A272" s="5" t="s">
        <v>48</v>
      </c>
      <c r="B272" s="5" t="s">
        <v>331</v>
      </c>
      <c r="C272" s="5" t="s">
        <v>35</v>
      </c>
      <c r="D272" s="5" t="s">
        <v>36</v>
      </c>
      <c r="E272" s="9">
        <v>43553</v>
      </c>
      <c r="F272" s="6">
        <v>2925</v>
      </c>
      <c r="G272" s="5" t="s">
        <v>15</v>
      </c>
      <c r="H272" s="6">
        <f>SUMIFS(InventTrans!F:F,InventTrans!B:B,AtlasReport_3_Table_1[[#This Row],[Lot ID]],InventTrans!C:C,AtlasReport_3_Table_1[[#This Row],[Ship date]])</f>
        <v>2925</v>
      </c>
      <c r="I272" s="5" t="s">
        <v>15</v>
      </c>
      <c r="J272" s="5" t="s">
        <v>332</v>
      </c>
    </row>
    <row r="273" spans="1:10" x14ac:dyDescent="0.15">
      <c r="A273" s="5" t="s">
        <v>48</v>
      </c>
      <c r="B273" s="5" t="s">
        <v>333</v>
      </c>
      <c r="C273" s="5" t="s">
        <v>35</v>
      </c>
      <c r="D273" s="5" t="s">
        <v>36</v>
      </c>
      <c r="E273" s="9">
        <v>43556</v>
      </c>
      <c r="F273" s="6">
        <v>4095</v>
      </c>
      <c r="G273" s="5" t="s">
        <v>15</v>
      </c>
      <c r="H273" s="6">
        <f>SUMIFS(InventTrans!F:F,InventTrans!B:B,AtlasReport_3_Table_1[[#This Row],[Lot ID]],InventTrans!C:C,AtlasReport_3_Table_1[[#This Row],[Ship date]])</f>
        <v>4095</v>
      </c>
      <c r="I273" s="5" t="s">
        <v>15</v>
      </c>
      <c r="J273" s="5" t="s">
        <v>334</v>
      </c>
    </row>
    <row r="274" spans="1:10" x14ac:dyDescent="0.15">
      <c r="A274" s="5" t="s">
        <v>48</v>
      </c>
      <c r="B274" s="5" t="s">
        <v>335</v>
      </c>
      <c r="C274" s="5" t="s">
        <v>37</v>
      </c>
      <c r="D274" s="5" t="s">
        <v>38</v>
      </c>
      <c r="E274" s="9">
        <v>43556</v>
      </c>
      <c r="F274" s="6">
        <v>2437.5</v>
      </c>
      <c r="G274" s="5" t="s">
        <v>15</v>
      </c>
      <c r="H274" s="6">
        <f>SUMIFS(InventTrans!F:F,InventTrans!B:B,AtlasReport_3_Table_1[[#This Row],[Lot ID]],InventTrans!C:C,AtlasReport_3_Table_1[[#This Row],[Ship date]])</f>
        <v>2437.5</v>
      </c>
      <c r="I274" s="5" t="s">
        <v>15</v>
      </c>
      <c r="J274" s="5" t="s">
        <v>336</v>
      </c>
    </row>
    <row r="275" spans="1:10" x14ac:dyDescent="0.15">
      <c r="A275" s="5" t="s">
        <v>48</v>
      </c>
      <c r="B275" s="5" t="s">
        <v>337</v>
      </c>
      <c r="C275" s="5" t="s">
        <v>37</v>
      </c>
      <c r="D275" s="5" t="s">
        <v>38</v>
      </c>
      <c r="E275" s="9">
        <v>43556</v>
      </c>
      <c r="F275" s="6">
        <v>682.5</v>
      </c>
      <c r="G275" s="5" t="s">
        <v>15</v>
      </c>
      <c r="H275" s="6">
        <f>SUMIFS(InventTrans!F:F,InventTrans!B:B,AtlasReport_3_Table_1[[#This Row],[Lot ID]],InventTrans!C:C,AtlasReport_3_Table_1[[#This Row],[Ship date]])</f>
        <v>682.5</v>
      </c>
      <c r="I275" s="5" t="s">
        <v>15</v>
      </c>
      <c r="J275" s="5" t="s">
        <v>338</v>
      </c>
    </row>
    <row r="276" spans="1:10" x14ac:dyDescent="0.15">
      <c r="A276" s="5" t="s">
        <v>48</v>
      </c>
      <c r="B276" s="5" t="s">
        <v>339</v>
      </c>
      <c r="C276" s="5" t="s">
        <v>40</v>
      </c>
      <c r="D276" s="5" t="s">
        <v>36</v>
      </c>
      <c r="E276" s="9">
        <v>43556</v>
      </c>
      <c r="F276" s="6">
        <v>15000</v>
      </c>
      <c r="G276" s="5" t="s">
        <v>15</v>
      </c>
      <c r="H276" s="6">
        <f>SUMIFS(InventTrans!F:F,InventTrans!B:B,AtlasReport_3_Table_1[[#This Row],[Lot ID]],InventTrans!C:C,AtlasReport_3_Table_1[[#This Row],[Ship date]])</f>
        <v>15000</v>
      </c>
      <c r="I276" s="5" t="s">
        <v>15</v>
      </c>
      <c r="J276" s="5" t="s">
        <v>340</v>
      </c>
    </row>
    <row r="277" spans="1:10" x14ac:dyDescent="0.15">
      <c r="A277" s="5" t="s">
        <v>48</v>
      </c>
      <c r="B277" s="5" t="s">
        <v>341</v>
      </c>
      <c r="C277" s="5" t="s">
        <v>43</v>
      </c>
      <c r="D277" s="5" t="s">
        <v>38</v>
      </c>
      <c r="E277" s="9">
        <v>43558</v>
      </c>
      <c r="F277" s="6">
        <v>679</v>
      </c>
      <c r="G277" s="5" t="s">
        <v>15</v>
      </c>
      <c r="H277" s="6">
        <f>SUMIFS(InventTrans!F:F,InventTrans!B:B,AtlasReport_3_Table_1[[#This Row],[Lot ID]],InventTrans!C:C,AtlasReport_3_Table_1[[#This Row],[Ship date]])</f>
        <v>679</v>
      </c>
      <c r="I277" s="5" t="s">
        <v>15</v>
      </c>
      <c r="J277" s="5" t="s">
        <v>342</v>
      </c>
    </row>
    <row r="278" spans="1:10" x14ac:dyDescent="0.15">
      <c r="A278" s="5" t="s">
        <v>48</v>
      </c>
      <c r="B278" s="5" t="s">
        <v>343</v>
      </c>
      <c r="C278" s="5" t="s">
        <v>40</v>
      </c>
      <c r="D278" s="5" t="s">
        <v>36</v>
      </c>
      <c r="E278" s="9">
        <v>43559</v>
      </c>
      <c r="F278" s="6">
        <v>5025</v>
      </c>
      <c r="G278" s="5" t="s">
        <v>15</v>
      </c>
      <c r="H278" s="6">
        <f>SUMIFS(InventTrans!F:F,InventTrans!B:B,AtlasReport_3_Table_1[[#This Row],[Lot ID]],InventTrans!C:C,AtlasReport_3_Table_1[[#This Row],[Ship date]])</f>
        <v>5025</v>
      </c>
      <c r="I278" s="5" t="s">
        <v>15</v>
      </c>
      <c r="J278" s="5" t="s">
        <v>344</v>
      </c>
    </row>
    <row r="279" spans="1:10" x14ac:dyDescent="0.15">
      <c r="A279" s="5" t="s">
        <v>48</v>
      </c>
      <c r="B279" s="5" t="s">
        <v>345</v>
      </c>
      <c r="C279" s="5" t="s">
        <v>41</v>
      </c>
      <c r="D279" s="5" t="s">
        <v>36</v>
      </c>
      <c r="E279" s="9">
        <v>43563</v>
      </c>
      <c r="F279" s="6">
        <v>776</v>
      </c>
      <c r="G279" s="5" t="s">
        <v>15</v>
      </c>
      <c r="H279" s="6">
        <f>SUMIFS(InventTrans!F:F,InventTrans!B:B,AtlasReport_3_Table_1[[#This Row],[Lot ID]],InventTrans!C:C,AtlasReport_3_Table_1[[#This Row],[Ship date]])</f>
        <v>776</v>
      </c>
      <c r="I279" s="5" t="s">
        <v>15</v>
      </c>
      <c r="J279" s="5" t="s">
        <v>346</v>
      </c>
    </row>
    <row r="280" spans="1:10" x14ac:dyDescent="0.15">
      <c r="A280" s="5" t="s">
        <v>48</v>
      </c>
      <c r="B280" s="5" t="s">
        <v>345</v>
      </c>
      <c r="C280" s="5" t="s">
        <v>35</v>
      </c>
      <c r="D280" s="5" t="s">
        <v>36</v>
      </c>
      <c r="E280" s="9">
        <v>43563</v>
      </c>
      <c r="F280" s="6">
        <v>3120</v>
      </c>
      <c r="G280" s="5" t="s">
        <v>15</v>
      </c>
      <c r="H280" s="6">
        <f>SUMIFS(InventTrans!F:F,InventTrans!B:B,AtlasReport_3_Table_1[[#This Row],[Lot ID]],InventTrans!C:C,AtlasReport_3_Table_1[[#This Row],[Ship date]])</f>
        <v>3120</v>
      </c>
      <c r="I280" s="5" t="s">
        <v>15</v>
      </c>
      <c r="J280" s="5" t="s">
        <v>347</v>
      </c>
    </row>
    <row r="281" spans="1:10" x14ac:dyDescent="0.15">
      <c r="A281" s="5" t="s">
        <v>48</v>
      </c>
      <c r="B281" s="5" t="s">
        <v>348</v>
      </c>
      <c r="C281" s="5" t="s">
        <v>35</v>
      </c>
      <c r="D281" s="5" t="s">
        <v>36</v>
      </c>
      <c r="E281" s="9">
        <v>43563</v>
      </c>
      <c r="F281" s="6">
        <v>585</v>
      </c>
      <c r="G281" s="5" t="s">
        <v>15</v>
      </c>
      <c r="H281" s="6">
        <f>SUMIFS(InventTrans!F:F,InventTrans!B:B,AtlasReport_3_Table_1[[#This Row],[Lot ID]],InventTrans!C:C,AtlasReport_3_Table_1[[#This Row],[Ship date]])</f>
        <v>585</v>
      </c>
      <c r="I281" s="5" t="s">
        <v>15</v>
      </c>
      <c r="J281" s="5" t="s">
        <v>349</v>
      </c>
    </row>
    <row r="282" spans="1:10" x14ac:dyDescent="0.15">
      <c r="A282" s="5" t="s">
        <v>48</v>
      </c>
      <c r="B282" s="5" t="s">
        <v>348</v>
      </c>
      <c r="C282" s="5" t="s">
        <v>43</v>
      </c>
      <c r="D282" s="5" t="s">
        <v>38</v>
      </c>
      <c r="E282" s="9">
        <v>43563</v>
      </c>
      <c r="F282" s="6">
        <v>485</v>
      </c>
      <c r="G282" s="5" t="s">
        <v>15</v>
      </c>
      <c r="H282" s="6">
        <f>SUMIFS(InventTrans!F:F,InventTrans!B:B,AtlasReport_3_Table_1[[#This Row],[Lot ID]],InventTrans!C:C,AtlasReport_3_Table_1[[#This Row],[Ship date]])</f>
        <v>485</v>
      </c>
      <c r="I282" s="5" t="s">
        <v>15</v>
      </c>
      <c r="J282" s="5" t="s">
        <v>350</v>
      </c>
    </row>
    <row r="283" spans="1:10" x14ac:dyDescent="0.15">
      <c r="A283" s="5" t="s">
        <v>48</v>
      </c>
      <c r="B283" s="5" t="s">
        <v>351</v>
      </c>
      <c r="C283" s="5" t="s">
        <v>42</v>
      </c>
      <c r="D283" s="5" t="s">
        <v>38</v>
      </c>
      <c r="E283" s="9">
        <v>43563</v>
      </c>
      <c r="F283" s="6">
        <v>2700</v>
      </c>
      <c r="G283" s="5" t="s">
        <v>15</v>
      </c>
      <c r="H283" s="6">
        <f>SUMIFS(InventTrans!F:F,InventTrans!B:B,AtlasReport_3_Table_1[[#This Row],[Lot ID]],InventTrans!C:C,AtlasReport_3_Table_1[[#This Row],[Ship date]])</f>
        <v>2700</v>
      </c>
      <c r="I283" s="5" t="s">
        <v>15</v>
      </c>
      <c r="J283" s="5" t="s">
        <v>352</v>
      </c>
    </row>
    <row r="284" spans="1:10" x14ac:dyDescent="0.15">
      <c r="A284" s="5" t="s">
        <v>48</v>
      </c>
      <c r="B284" s="5" t="s">
        <v>353</v>
      </c>
      <c r="C284" s="5" t="s">
        <v>35</v>
      </c>
      <c r="D284" s="5" t="s">
        <v>36</v>
      </c>
      <c r="E284" s="9">
        <v>43567</v>
      </c>
      <c r="F284" s="6">
        <v>487.5</v>
      </c>
      <c r="G284" s="5" t="s">
        <v>15</v>
      </c>
      <c r="H284" s="6">
        <f>SUMIFS(InventTrans!F:F,InventTrans!B:B,AtlasReport_3_Table_1[[#This Row],[Lot ID]],InventTrans!C:C,AtlasReport_3_Table_1[[#This Row],[Ship date]])</f>
        <v>487.5</v>
      </c>
      <c r="I284" s="5" t="s">
        <v>15</v>
      </c>
      <c r="J284" s="5" t="s">
        <v>354</v>
      </c>
    </row>
    <row r="285" spans="1:10" x14ac:dyDescent="0.15">
      <c r="A285" s="5" t="s">
        <v>48</v>
      </c>
      <c r="B285" s="5" t="s">
        <v>355</v>
      </c>
      <c r="C285" s="5" t="s">
        <v>37</v>
      </c>
      <c r="D285" s="5" t="s">
        <v>38</v>
      </c>
      <c r="E285" s="9">
        <v>43570</v>
      </c>
      <c r="F285" s="6">
        <v>195</v>
      </c>
      <c r="G285" s="5" t="s">
        <v>15</v>
      </c>
      <c r="H285" s="6">
        <f>SUMIFS(InventTrans!F:F,InventTrans!B:B,AtlasReport_3_Table_1[[#This Row],[Lot ID]],InventTrans!C:C,AtlasReport_3_Table_1[[#This Row],[Ship date]])</f>
        <v>195</v>
      </c>
      <c r="I285" s="5" t="s">
        <v>15</v>
      </c>
      <c r="J285" s="5" t="s">
        <v>356</v>
      </c>
    </row>
    <row r="286" spans="1:10" x14ac:dyDescent="0.15">
      <c r="A286" s="5" t="s">
        <v>48</v>
      </c>
      <c r="B286" s="5" t="s">
        <v>357</v>
      </c>
      <c r="C286" s="5" t="s">
        <v>40</v>
      </c>
      <c r="D286" s="5" t="s">
        <v>36</v>
      </c>
      <c r="E286" s="9">
        <v>43566</v>
      </c>
      <c r="F286" s="6">
        <v>1125</v>
      </c>
      <c r="G286" s="5" t="s">
        <v>15</v>
      </c>
      <c r="H286" s="6">
        <f>SUMIFS(InventTrans!F:F,InventTrans!B:B,AtlasReport_3_Table_1[[#This Row],[Lot ID]],InventTrans!C:C,AtlasReport_3_Table_1[[#This Row],[Ship date]])</f>
        <v>1125</v>
      </c>
      <c r="I286" s="5" t="s">
        <v>15</v>
      </c>
      <c r="J286" s="5" t="s">
        <v>358</v>
      </c>
    </row>
    <row r="287" spans="1:10" x14ac:dyDescent="0.15">
      <c r="A287" s="5" t="s">
        <v>48</v>
      </c>
      <c r="B287" s="5" t="s">
        <v>359</v>
      </c>
      <c r="C287" s="5" t="s">
        <v>51</v>
      </c>
      <c r="D287" s="5" t="s">
        <v>52</v>
      </c>
      <c r="E287" s="9">
        <v>43570</v>
      </c>
      <c r="F287" s="6">
        <v>2145</v>
      </c>
      <c r="G287" s="5" t="s">
        <v>15</v>
      </c>
      <c r="H287" s="6">
        <f>SUMIFS(InventTrans!F:F,InventTrans!B:B,AtlasReport_3_Table_1[[#This Row],[Lot ID]],InventTrans!C:C,AtlasReport_3_Table_1[[#This Row],[Ship date]])</f>
        <v>2145</v>
      </c>
      <c r="I287" s="5" t="s">
        <v>15</v>
      </c>
      <c r="J287" s="5" t="s">
        <v>360</v>
      </c>
    </row>
    <row r="288" spans="1:10" x14ac:dyDescent="0.15">
      <c r="A288" s="5" t="s">
        <v>48</v>
      </c>
      <c r="B288" s="5" t="s">
        <v>361</v>
      </c>
      <c r="C288" s="5" t="s">
        <v>43</v>
      </c>
      <c r="D288" s="5" t="s">
        <v>38</v>
      </c>
      <c r="E288" s="9">
        <v>43570</v>
      </c>
      <c r="F288" s="6">
        <v>485</v>
      </c>
      <c r="G288" s="5" t="s">
        <v>15</v>
      </c>
      <c r="H288" s="6">
        <f>SUMIFS(InventTrans!F:F,InventTrans!B:B,AtlasReport_3_Table_1[[#This Row],[Lot ID]],InventTrans!C:C,AtlasReport_3_Table_1[[#This Row],[Ship date]])</f>
        <v>485</v>
      </c>
      <c r="I288" s="5" t="s">
        <v>15</v>
      </c>
      <c r="J288" s="5" t="s">
        <v>362</v>
      </c>
    </row>
    <row r="289" spans="1:10" x14ac:dyDescent="0.15">
      <c r="A289" s="5" t="s">
        <v>48</v>
      </c>
      <c r="B289" s="5" t="s">
        <v>361</v>
      </c>
      <c r="C289" s="5" t="s">
        <v>37</v>
      </c>
      <c r="D289" s="5" t="s">
        <v>38</v>
      </c>
      <c r="E289" s="9">
        <v>43570</v>
      </c>
      <c r="F289" s="6">
        <v>10042.5</v>
      </c>
      <c r="G289" s="5" t="s">
        <v>15</v>
      </c>
      <c r="H289" s="6">
        <f>SUMIFS(InventTrans!F:F,InventTrans!B:B,AtlasReport_3_Table_1[[#This Row],[Lot ID]],InventTrans!C:C,AtlasReport_3_Table_1[[#This Row],[Ship date]])</f>
        <v>10042.5</v>
      </c>
      <c r="I289" s="5" t="s">
        <v>15</v>
      </c>
      <c r="J289" s="5" t="s">
        <v>363</v>
      </c>
    </row>
    <row r="290" spans="1:10" x14ac:dyDescent="0.15">
      <c r="A290" s="5" t="s">
        <v>48</v>
      </c>
      <c r="B290" s="5" t="s">
        <v>364</v>
      </c>
      <c r="C290" s="5" t="s">
        <v>64</v>
      </c>
      <c r="D290" s="5" t="s">
        <v>54</v>
      </c>
      <c r="E290" s="9">
        <v>43571</v>
      </c>
      <c r="F290" s="6">
        <v>2550</v>
      </c>
      <c r="G290" s="5" t="s">
        <v>15</v>
      </c>
      <c r="H290" s="6">
        <f>SUMIFS(InventTrans!F:F,InventTrans!B:B,AtlasReport_3_Table_1[[#This Row],[Lot ID]],InventTrans!C:C,AtlasReport_3_Table_1[[#This Row],[Ship date]])</f>
        <v>2550</v>
      </c>
      <c r="I290" s="5" t="s">
        <v>15</v>
      </c>
      <c r="J290" s="5" t="s">
        <v>365</v>
      </c>
    </row>
    <row r="291" spans="1:10" x14ac:dyDescent="0.15">
      <c r="A291" s="5" t="s">
        <v>48</v>
      </c>
      <c r="B291" s="5" t="s">
        <v>364</v>
      </c>
      <c r="C291" s="5" t="s">
        <v>53</v>
      </c>
      <c r="D291" s="5" t="s">
        <v>54</v>
      </c>
      <c r="E291" s="9">
        <v>43571</v>
      </c>
      <c r="F291" s="6">
        <v>390</v>
      </c>
      <c r="G291" s="5" t="s">
        <v>15</v>
      </c>
      <c r="H291" s="6">
        <f>SUMIFS(InventTrans!F:F,InventTrans!B:B,AtlasReport_3_Table_1[[#This Row],[Lot ID]],InventTrans!C:C,AtlasReport_3_Table_1[[#This Row],[Ship date]])</f>
        <v>390</v>
      </c>
      <c r="I291" s="5" t="s">
        <v>15</v>
      </c>
      <c r="J291" s="5" t="s">
        <v>366</v>
      </c>
    </row>
    <row r="292" spans="1:10" x14ac:dyDescent="0.15">
      <c r="A292" s="5" t="s">
        <v>48</v>
      </c>
      <c r="B292" s="5" t="s">
        <v>367</v>
      </c>
      <c r="C292" s="5" t="s">
        <v>43</v>
      </c>
      <c r="D292" s="5" t="s">
        <v>38</v>
      </c>
      <c r="E292" s="9">
        <v>43571</v>
      </c>
      <c r="F292" s="6">
        <v>533.5</v>
      </c>
      <c r="G292" s="5" t="s">
        <v>15</v>
      </c>
      <c r="H292" s="6">
        <f>SUMIFS(InventTrans!F:F,InventTrans!B:B,AtlasReport_3_Table_1[[#This Row],[Lot ID]],InventTrans!C:C,AtlasReport_3_Table_1[[#This Row],[Ship date]])</f>
        <v>533.5</v>
      </c>
      <c r="I292" s="5" t="s">
        <v>15</v>
      </c>
      <c r="J292" s="5" t="s">
        <v>368</v>
      </c>
    </row>
    <row r="293" spans="1:10" x14ac:dyDescent="0.15">
      <c r="A293" s="5" t="s">
        <v>48</v>
      </c>
      <c r="B293" s="5" t="s">
        <v>367</v>
      </c>
      <c r="C293" s="5" t="s">
        <v>42</v>
      </c>
      <c r="D293" s="5" t="s">
        <v>38</v>
      </c>
      <c r="E293" s="9">
        <v>43571</v>
      </c>
      <c r="F293" s="6">
        <v>975</v>
      </c>
      <c r="G293" s="5" t="s">
        <v>15</v>
      </c>
      <c r="H293" s="6">
        <f>SUMIFS(InventTrans!F:F,InventTrans!B:B,AtlasReport_3_Table_1[[#This Row],[Lot ID]],InventTrans!C:C,AtlasReport_3_Table_1[[#This Row],[Ship date]])</f>
        <v>975</v>
      </c>
      <c r="I293" s="5" t="s">
        <v>15</v>
      </c>
      <c r="J293" s="5" t="s">
        <v>369</v>
      </c>
    </row>
    <row r="294" spans="1:10" x14ac:dyDescent="0.15">
      <c r="A294" s="5" t="s">
        <v>48</v>
      </c>
      <c r="B294" s="5" t="s">
        <v>367</v>
      </c>
      <c r="C294" s="5" t="s">
        <v>37</v>
      </c>
      <c r="D294" s="5" t="s">
        <v>38</v>
      </c>
      <c r="E294" s="9">
        <v>43571</v>
      </c>
      <c r="F294" s="6">
        <v>4290</v>
      </c>
      <c r="G294" s="5" t="s">
        <v>15</v>
      </c>
      <c r="H294" s="6">
        <f>SUMIFS(InventTrans!F:F,InventTrans!B:B,AtlasReport_3_Table_1[[#This Row],[Lot ID]],InventTrans!C:C,AtlasReport_3_Table_1[[#This Row],[Ship date]])</f>
        <v>4290</v>
      </c>
      <c r="I294" s="5" t="s">
        <v>15</v>
      </c>
      <c r="J294" s="5" t="s">
        <v>370</v>
      </c>
    </row>
    <row r="295" spans="1:10" x14ac:dyDescent="0.15">
      <c r="A295" s="5" t="s">
        <v>48</v>
      </c>
      <c r="B295" s="5" t="s">
        <v>371</v>
      </c>
      <c r="C295" s="5" t="s">
        <v>35</v>
      </c>
      <c r="D295" s="5" t="s">
        <v>36</v>
      </c>
      <c r="E295" s="9">
        <v>43571</v>
      </c>
      <c r="F295" s="6">
        <v>50700</v>
      </c>
      <c r="G295" s="5" t="s">
        <v>15</v>
      </c>
      <c r="H295" s="6">
        <f>SUMIFS(InventTrans!F:F,InventTrans!B:B,AtlasReport_3_Table_1[[#This Row],[Lot ID]],InventTrans!C:C,AtlasReport_3_Table_1[[#This Row],[Ship date]])</f>
        <v>50700</v>
      </c>
      <c r="I295" s="5" t="s">
        <v>15</v>
      </c>
      <c r="J295" s="5" t="s">
        <v>372</v>
      </c>
    </row>
    <row r="296" spans="1:10" x14ac:dyDescent="0.15">
      <c r="A296" s="5" t="s">
        <v>48</v>
      </c>
      <c r="B296" s="5" t="s">
        <v>373</v>
      </c>
      <c r="C296" s="5" t="s">
        <v>37</v>
      </c>
      <c r="D296" s="5" t="s">
        <v>38</v>
      </c>
      <c r="E296" s="9">
        <v>43571</v>
      </c>
      <c r="F296" s="6">
        <v>50017.5</v>
      </c>
      <c r="G296" s="5" t="s">
        <v>15</v>
      </c>
      <c r="H296" s="6">
        <f>SUMIFS(InventTrans!F:F,InventTrans!B:B,AtlasReport_3_Table_1[[#This Row],[Lot ID]],InventTrans!C:C,AtlasReport_3_Table_1[[#This Row],[Ship date]])</f>
        <v>50017.5</v>
      </c>
      <c r="I296" s="5" t="s">
        <v>15</v>
      </c>
      <c r="J296" s="5" t="s">
        <v>374</v>
      </c>
    </row>
    <row r="297" spans="1:10" x14ac:dyDescent="0.15">
      <c r="A297" s="5" t="s">
        <v>48</v>
      </c>
      <c r="B297" s="5" t="s">
        <v>375</v>
      </c>
      <c r="C297" s="5" t="s">
        <v>43</v>
      </c>
      <c r="D297" s="5" t="s">
        <v>38</v>
      </c>
      <c r="E297" s="9">
        <v>43571</v>
      </c>
      <c r="F297" s="6">
        <v>2667.5</v>
      </c>
      <c r="G297" s="5" t="s">
        <v>15</v>
      </c>
      <c r="H297" s="6">
        <f>SUMIFS(InventTrans!F:F,InventTrans!B:B,AtlasReport_3_Table_1[[#This Row],[Lot ID]],InventTrans!C:C,AtlasReport_3_Table_1[[#This Row],[Ship date]])</f>
        <v>2667.5</v>
      </c>
      <c r="I297" s="5" t="s">
        <v>15</v>
      </c>
      <c r="J297" s="5" t="s">
        <v>376</v>
      </c>
    </row>
    <row r="298" spans="1:10" x14ac:dyDescent="0.15">
      <c r="A298" s="5" t="s">
        <v>48</v>
      </c>
      <c r="B298" s="5" t="s">
        <v>375</v>
      </c>
      <c r="C298" s="5" t="s">
        <v>37</v>
      </c>
      <c r="D298" s="5" t="s">
        <v>38</v>
      </c>
      <c r="E298" s="9">
        <v>43571</v>
      </c>
      <c r="F298" s="6">
        <v>26520</v>
      </c>
      <c r="G298" s="5" t="s">
        <v>15</v>
      </c>
      <c r="H298" s="6">
        <f>SUMIFS(InventTrans!F:F,InventTrans!B:B,AtlasReport_3_Table_1[[#This Row],[Lot ID]],InventTrans!C:C,AtlasReport_3_Table_1[[#This Row],[Ship date]])</f>
        <v>26520</v>
      </c>
      <c r="I298" s="5" t="s">
        <v>15</v>
      </c>
      <c r="J298" s="5" t="s">
        <v>377</v>
      </c>
    </row>
    <row r="299" spans="1:10" x14ac:dyDescent="0.15">
      <c r="A299" s="5" t="s">
        <v>48</v>
      </c>
      <c r="B299" s="5" t="s">
        <v>378</v>
      </c>
      <c r="C299" s="5" t="s">
        <v>41</v>
      </c>
      <c r="D299" s="5" t="s">
        <v>36</v>
      </c>
      <c r="E299" s="9">
        <v>43570</v>
      </c>
      <c r="F299" s="6">
        <v>1164</v>
      </c>
      <c r="G299" s="5" t="s">
        <v>15</v>
      </c>
      <c r="H299" s="6">
        <f>SUMIFS(InventTrans!F:F,InventTrans!B:B,AtlasReport_3_Table_1[[#This Row],[Lot ID]],InventTrans!C:C,AtlasReport_3_Table_1[[#This Row],[Ship date]])</f>
        <v>1164</v>
      </c>
      <c r="I299" s="5" t="s">
        <v>15</v>
      </c>
      <c r="J299" s="5" t="s">
        <v>379</v>
      </c>
    </row>
    <row r="300" spans="1:10" x14ac:dyDescent="0.15">
      <c r="A300" s="5" t="s">
        <v>48</v>
      </c>
      <c r="B300" s="5" t="s">
        <v>378</v>
      </c>
      <c r="C300" s="5" t="s">
        <v>35</v>
      </c>
      <c r="D300" s="5" t="s">
        <v>36</v>
      </c>
      <c r="E300" s="9">
        <v>43570</v>
      </c>
      <c r="F300" s="6">
        <v>2340</v>
      </c>
      <c r="G300" s="5" t="s">
        <v>15</v>
      </c>
      <c r="H300" s="6">
        <f>SUMIFS(InventTrans!F:F,InventTrans!B:B,AtlasReport_3_Table_1[[#This Row],[Lot ID]],InventTrans!C:C,AtlasReport_3_Table_1[[#This Row],[Ship date]])</f>
        <v>2340</v>
      </c>
      <c r="I300" s="5" t="s">
        <v>15</v>
      </c>
      <c r="J300" s="5" t="s">
        <v>380</v>
      </c>
    </row>
    <row r="301" spans="1:10" x14ac:dyDescent="0.15">
      <c r="A301" s="5" t="s">
        <v>48</v>
      </c>
      <c r="B301" s="5" t="s">
        <v>381</v>
      </c>
      <c r="C301" s="5" t="s">
        <v>37</v>
      </c>
      <c r="D301" s="5" t="s">
        <v>38</v>
      </c>
      <c r="E301" s="9">
        <v>43571</v>
      </c>
      <c r="F301" s="6">
        <v>1950</v>
      </c>
      <c r="G301" s="5" t="s">
        <v>15</v>
      </c>
      <c r="H301" s="6">
        <f>SUMIFS(InventTrans!F:F,InventTrans!B:B,AtlasReport_3_Table_1[[#This Row],[Lot ID]],InventTrans!C:C,AtlasReport_3_Table_1[[#This Row],[Ship date]])</f>
        <v>1950</v>
      </c>
      <c r="I301" s="5" t="s">
        <v>15</v>
      </c>
      <c r="J301" s="5" t="s">
        <v>382</v>
      </c>
    </row>
    <row r="302" spans="1:10" x14ac:dyDescent="0.15">
      <c r="A302" s="5" t="s">
        <v>48</v>
      </c>
      <c r="B302" s="5" t="s">
        <v>383</v>
      </c>
      <c r="C302" s="5" t="s">
        <v>35</v>
      </c>
      <c r="D302" s="5" t="s">
        <v>36</v>
      </c>
      <c r="E302" s="9">
        <v>43572</v>
      </c>
      <c r="F302" s="6">
        <v>1267.5</v>
      </c>
      <c r="G302" s="5" t="s">
        <v>15</v>
      </c>
      <c r="H302" s="6">
        <f>SUMIFS(InventTrans!F:F,InventTrans!B:B,AtlasReport_3_Table_1[[#This Row],[Lot ID]],InventTrans!C:C,AtlasReport_3_Table_1[[#This Row],[Ship date]])</f>
        <v>1267.5</v>
      </c>
      <c r="I302" s="5" t="s">
        <v>15</v>
      </c>
      <c r="J302" s="5" t="s">
        <v>384</v>
      </c>
    </row>
    <row r="303" spans="1:10" x14ac:dyDescent="0.15">
      <c r="A303" s="5" t="s">
        <v>48</v>
      </c>
      <c r="B303" s="5" t="s">
        <v>383</v>
      </c>
      <c r="C303" s="5" t="s">
        <v>40</v>
      </c>
      <c r="D303" s="5" t="s">
        <v>36</v>
      </c>
      <c r="E303" s="9">
        <v>43572</v>
      </c>
      <c r="F303" s="6">
        <v>3000</v>
      </c>
      <c r="G303" s="5" t="s">
        <v>15</v>
      </c>
      <c r="H303" s="6">
        <f>SUMIFS(InventTrans!F:F,InventTrans!B:B,AtlasReport_3_Table_1[[#This Row],[Lot ID]],InventTrans!C:C,AtlasReport_3_Table_1[[#This Row],[Ship date]])</f>
        <v>3000</v>
      </c>
      <c r="I303" s="5" t="s">
        <v>15</v>
      </c>
      <c r="J303" s="5" t="s">
        <v>385</v>
      </c>
    </row>
    <row r="304" spans="1:10" x14ac:dyDescent="0.15">
      <c r="A304" s="5" t="s">
        <v>48</v>
      </c>
      <c r="B304" s="5" t="s">
        <v>386</v>
      </c>
      <c r="C304" s="5" t="s">
        <v>35</v>
      </c>
      <c r="D304" s="5" t="s">
        <v>36</v>
      </c>
      <c r="E304" s="9">
        <v>43591</v>
      </c>
      <c r="F304" s="6">
        <v>1950</v>
      </c>
      <c r="G304" s="5" t="s">
        <v>15</v>
      </c>
      <c r="H304" s="6">
        <f>SUMIFS(InventTrans!F:F,InventTrans!B:B,AtlasReport_3_Table_1[[#This Row],[Lot ID]],InventTrans!C:C,AtlasReport_3_Table_1[[#This Row],[Ship date]])</f>
        <v>1950</v>
      </c>
      <c r="I304" s="5" t="s">
        <v>15</v>
      </c>
      <c r="J304" s="5" t="s">
        <v>387</v>
      </c>
    </row>
    <row r="305" spans="1:10" x14ac:dyDescent="0.15">
      <c r="A305" s="5" t="s">
        <v>48</v>
      </c>
      <c r="B305" s="5" t="s">
        <v>386</v>
      </c>
      <c r="C305" s="5" t="s">
        <v>37</v>
      </c>
      <c r="D305" s="5" t="s">
        <v>38</v>
      </c>
      <c r="E305" s="9">
        <v>43591</v>
      </c>
      <c r="F305" s="6">
        <v>3900</v>
      </c>
      <c r="G305" s="5" t="s">
        <v>15</v>
      </c>
      <c r="H305" s="6">
        <f>SUMIFS(InventTrans!F:F,InventTrans!B:B,AtlasReport_3_Table_1[[#This Row],[Lot ID]],InventTrans!C:C,AtlasReport_3_Table_1[[#This Row],[Ship date]])</f>
        <v>3900</v>
      </c>
      <c r="I305" s="5" t="s">
        <v>15</v>
      </c>
      <c r="J305" s="5" t="s">
        <v>388</v>
      </c>
    </row>
    <row r="306" spans="1:10" x14ac:dyDescent="0.15">
      <c r="A306" s="5" t="s">
        <v>48</v>
      </c>
      <c r="B306" s="5" t="s">
        <v>389</v>
      </c>
      <c r="C306" s="5" t="s">
        <v>35</v>
      </c>
      <c r="D306" s="5" t="s">
        <v>36</v>
      </c>
      <c r="E306" s="9">
        <v>43591</v>
      </c>
      <c r="F306" s="6">
        <v>292.5</v>
      </c>
      <c r="G306" s="5" t="s">
        <v>15</v>
      </c>
      <c r="H306" s="6">
        <f>SUMIFS(InventTrans!F:F,InventTrans!B:B,AtlasReport_3_Table_1[[#This Row],[Lot ID]],InventTrans!C:C,AtlasReport_3_Table_1[[#This Row],[Ship date]])</f>
        <v>292.5</v>
      </c>
      <c r="I306" s="5" t="s">
        <v>15</v>
      </c>
      <c r="J306" s="5" t="s">
        <v>390</v>
      </c>
    </row>
    <row r="307" spans="1:10" x14ac:dyDescent="0.15">
      <c r="A307" s="5" t="s">
        <v>48</v>
      </c>
      <c r="B307" s="5" t="s">
        <v>391</v>
      </c>
      <c r="C307" s="5" t="s">
        <v>43</v>
      </c>
      <c r="D307" s="5" t="s">
        <v>38</v>
      </c>
      <c r="E307" s="9">
        <v>43591</v>
      </c>
      <c r="F307" s="6">
        <v>97</v>
      </c>
      <c r="G307" s="5" t="s">
        <v>15</v>
      </c>
      <c r="H307" s="6">
        <f>SUMIFS(InventTrans!F:F,InventTrans!B:B,AtlasReport_3_Table_1[[#This Row],[Lot ID]],InventTrans!C:C,AtlasReport_3_Table_1[[#This Row],[Ship date]])</f>
        <v>97</v>
      </c>
      <c r="I307" s="5" t="s">
        <v>15</v>
      </c>
      <c r="J307" s="5" t="s">
        <v>392</v>
      </c>
    </row>
    <row r="308" spans="1:10" x14ac:dyDescent="0.15">
      <c r="A308" s="5" t="s">
        <v>48</v>
      </c>
      <c r="B308" s="5" t="s">
        <v>391</v>
      </c>
      <c r="C308" s="5" t="s">
        <v>37</v>
      </c>
      <c r="D308" s="5" t="s">
        <v>38</v>
      </c>
      <c r="E308" s="9">
        <v>43591</v>
      </c>
      <c r="F308" s="6">
        <v>682.5</v>
      </c>
      <c r="G308" s="5" t="s">
        <v>15</v>
      </c>
      <c r="H308" s="6">
        <f>SUMIFS(InventTrans!F:F,InventTrans!B:B,AtlasReport_3_Table_1[[#This Row],[Lot ID]],InventTrans!C:C,AtlasReport_3_Table_1[[#This Row],[Ship date]])</f>
        <v>682.5</v>
      </c>
      <c r="I308" s="5" t="s">
        <v>15</v>
      </c>
      <c r="J308" s="5" t="s">
        <v>393</v>
      </c>
    </row>
    <row r="309" spans="1:10" x14ac:dyDescent="0.15">
      <c r="A309" s="5" t="s">
        <v>48</v>
      </c>
      <c r="B309" s="5" t="s">
        <v>394</v>
      </c>
      <c r="C309" s="5" t="s">
        <v>41</v>
      </c>
      <c r="D309" s="5" t="s">
        <v>36</v>
      </c>
      <c r="E309" s="9">
        <v>43591</v>
      </c>
      <c r="F309" s="6">
        <v>2425</v>
      </c>
      <c r="G309" s="5" t="s">
        <v>15</v>
      </c>
      <c r="H309" s="6">
        <f>SUMIFS(InventTrans!F:F,InventTrans!B:B,AtlasReport_3_Table_1[[#This Row],[Lot ID]],InventTrans!C:C,AtlasReport_3_Table_1[[#This Row],[Ship date]])</f>
        <v>2425</v>
      </c>
      <c r="I309" s="5" t="s">
        <v>15</v>
      </c>
      <c r="J309" s="5" t="s">
        <v>395</v>
      </c>
    </row>
    <row r="310" spans="1:10" x14ac:dyDescent="0.15">
      <c r="A310" s="5" t="s">
        <v>48</v>
      </c>
      <c r="B310" s="5" t="s">
        <v>394</v>
      </c>
      <c r="C310" s="5" t="s">
        <v>35</v>
      </c>
      <c r="D310" s="5" t="s">
        <v>36</v>
      </c>
      <c r="E310" s="9">
        <v>43591</v>
      </c>
      <c r="F310" s="6">
        <v>19500</v>
      </c>
      <c r="G310" s="5" t="s">
        <v>15</v>
      </c>
      <c r="H310" s="6">
        <f>SUMIFS(InventTrans!F:F,InventTrans!B:B,AtlasReport_3_Table_1[[#This Row],[Lot ID]],InventTrans!C:C,AtlasReport_3_Table_1[[#This Row],[Ship date]])</f>
        <v>19500</v>
      </c>
      <c r="I310" s="5" t="s">
        <v>15</v>
      </c>
      <c r="J310" s="5" t="s">
        <v>396</v>
      </c>
    </row>
    <row r="311" spans="1:10" x14ac:dyDescent="0.15">
      <c r="A311" s="5" t="s">
        <v>48</v>
      </c>
      <c r="B311" s="5" t="s">
        <v>397</v>
      </c>
      <c r="C311" s="5" t="s">
        <v>43</v>
      </c>
      <c r="D311" s="5" t="s">
        <v>38</v>
      </c>
      <c r="E311" s="9">
        <v>43591</v>
      </c>
      <c r="F311" s="6">
        <v>145.5</v>
      </c>
      <c r="G311" s="5" t="s">
        <v>15</v>
      </c>
      <c r="H311" s="6">
        <f>SUMIFS(InventTrans!F:F,InventTrans!B:B,AtlasReport_3_Table_1[[#This Row],[Lot ID]],InventTrans!C:C,AtlasReport_3_Table_1[[#This Row],[Ship date]])</f>
        <v>145.5</v>
      </c>
      <c r="I311" s="5" t="s">
        <v>15</v>
      </c>
      <c r="J311" s="5" t="s">
        <v>398</v>
      </c>
    </row>
    <row r="312" spans="1:10" x14ac:dyDescent="0.15">
      <c r="A312" s="5" t="s">
        <v>48</v>
      </c>
      <c r="B312" s="5" t="s">
        <v>399</v>
      </c>
      <c r="C312" s="5" t="s">
        <v>35</v>
      </c>
      <c r="D312" s="5" t="s">
        <v>36</v>
      </c>
      <c r="E312" s="9">
        <v>43591</v>
      </c>
      <c r="F312" s="6">
        <v>-1950</v>
      </c>
      <c r="G312" s="5" t="s">
        <v>15</v>
      </c>
      <c r="H312" s="6">
        <f>SUMIFS(InventTrans!F:F,InventTrans!B:B,AtlasReport_3_Table_1[[#This Row],[Lot ID]],InventTrans!C:C,AtlasReport_3_Table_1[[#This Row],[Ship date]])</f>
        <v>-1950</v>
      </c>
      <c r="I312" s="5" t="s">
        <v>15</v>
      </c>
      <c r="J312" s="5" t="s">
        <v>400</v>
      </c>
    </row>
    <row r="313" spans="1:10" x14ac:dyDescent="0.15">
      <c r="A313" s="5" t="s">
        <v>48</v>
      </c>
      <c r="B313" s="5" t="s">
        <v>399</v>
      </c>
      <c r="C313" s="5" t="s">
        <v>37</v>
      </c>
      <c r="D313" s="5" t="s">
        <v>38</v>
      </c>
      <c r="E313" s="9">
        <v>43591</v>
      </c>
      <c r="F313" s="6">
        <v>-3900</v>
      </c>
      <c r="G313" s="5" t="s">
        <v>15</v>
      </c>
      <c r="H313" s="6">
        <f>SUMIFS(InventTrans!F:F,InventTrans!B:B,AtlasReport_3_Table_1[[#This Row],[Lot ID]],InventTrans!C:C,AtlasReport_3_Table_1[[#This Row],[Ship date]])</f>
        <v>-3900</v>
      </c>
      <c r="I313" s="5" t="s">
        <v>15</v>
      </c>
      <c r="J313" s="5" t="s">
        <v>401</v>
      </c>
    </row>
    <row r="314" spans="1:10" x14ac:dyDescent="0.15">
      <c r="A314" s="5" t="s">
        <v>48</v>
      </c>
      <c r="B314" s="5" t="s">
        <v>402</v>
      </c>
      <c r="C314" s="5" t="s">
        <v>35</v>
      </c>
      <c r="D314" s="5" t="s">
        <v>36</v>
      </c>
      <c r="E314" s="9">
        <v>43591</v>
      </c>
      <c r="F314" s="6">
        <v>1950</v>
      </c>
      <c r="G314" s="5" t="s">
        <v>15</v>
      </c>
      <c r="H314" s="6">
        <f>SUMIFS(InventTrans!F:F,InventTrans!B:B,AtlasReport_3_Table_1[[#This Row],[Lot ID]],InventTrans!C:C,AtlasReport_3_Table_1[[#This Row],[Ship date]])</f>
        <v>1950</v>
      </c>
      <c r="I314" s="5" t="s">
        <v>15</v>
      </c>
      <c r="J314" s="5" t="s">
        <v>403</v>
      </c>
    </row>
    <row r="315" spans="1:10" x14ac:dyDescent="0.15">
      <c r="A315" s="5" t="s">
        <v>48</v>
      </c>
      <c r="B315" s="5" t="s">
        <v>402</v>
      </c>
      <c r="C315" s="5" t="s">
        <v>37</v>
      </c>
      <c r="D315" s="5" t="s">
        <v>38</v>
      </c>
      <c r="E315" s="9">
        <v>43591</v>
      </c>
      <c r="F315" s="6">
        <v>3900</v>
      </c>
      <c r="G315" s="5" t="s">
        <v>15</v>
      </c>
      <c r="H315" s="6">
        <f>SUMIFS(InventTrans!F:F,InventTrans!B:B,AtlasReport_3_Table_1[[#This Row],[Lot ID]],InventTrans!C:C,AtlasReport_3_Table_1[[#This Row],[Ship date]])</f>
        <v>3900</v>
      </c>
      <c r="I315" s="5" t="s">
        <v>15</v>
      </c>
      <c r="J315" s="5" t="s">
        <v>404</v>
      </c>
    </row>
    <row r="316" spans="1:10" x14ac:dyDescent="0.15">
      <c r="A316" s="5" t="s">
        <v>48</v>
      </c>
      <c r="B316" s="5" t="s">
        <v>405</v>
      </c>
      <c r="C316" s="5" t="s">
        <v>35</v>
      </c>
      <c r="D316" s="5" t="s">
        <v>36</v>
      </c>
      <c r="E316" s="9">
        <v>43591</v>
      </c>
      <c r="F316" s="6">
        <v>682.5</v>
      </c>
      <c r="G316" s="5" t="s">
        <v>15</v>
      </c>
      <c r="H316" s="6">
        <f>SUMIFS(InventTrans!F:F,InventTrans!B:B,AtlasReport_3_Table_1[[#This Row],[Lot ID]],InventTrans!C:C,AtlasReport_3_Table_1[[#This Row],[Ship date]])</f>
        <v>682.5</v>
      </c>
      <c r="I316" s="5" t="s">
        <v>15</v>
      </c>
      <c r="J316" s="5" t="s">
        <v>406</v>
      </c>
    </row>
    <row r="317" spans="1:10" x14ac:dyDescent="0.15">
      <c r="A317" s="5" t="s">
        <v>48</v>
      </c>
      <c r="B317" s="5" t="s">
        <v>407</v>
      </c>
      <c r="C317" s="5" t="s">
        <v>35</v>
      </c>
      <c r="D317" s="5" t="s">
        <v>36</v>
      </c>
      <c r="E317" s="9">
        <v>43593</v>
      </c>
      <c r="F317" s="6">
        <v>2535</v>
      </c>
      <c r="G317" s="5" t="s">
        <v>15</v>
      </c>
      <c r="H317" s="6">
        <f>SUMIFS(InventTrans!F:F,InventTrans!B:B,AtlasReport_3_Table_1[[#This Row],[Lot ID]],InventTrans!C:C,AtlasReport_3_Table_1[[#This Row],[Ship date]])</f>
        <v>2535</v>
      </c>
      <c r="I317" s="5" t="s">
        <v>15</v>
      </c>
      <c r="J317" s="5" t="s">
        <v>408</v>
      </c>
    </row>
    <row r="318" spans="1:10" x14ac:dyDescent="0.15">
      <c r="A318" s="5" t="s">
        <v>48</v>
      </c>
      <c r="B318" s="5" t="s">
        <v>409</v>
      </c>
      <c r="C318" s="5" t="s">
        <v>35</v>
      </c>
      <c r="D318" s="5" t="s">
        <v>36</v>
      </c>
      <c r="E318" s="9">
        <v>43593</v>
      </c>
      <c r="F318" s="6">
        <v>10042.5</v>
      </c>
      <c r="G318" s="5" t="s">
        <v>15</v>
      </c>
      <c r="H318" s="6">
        <f>SUMIFS(InventTrans!F:F,InventTrans!B:B,AtlasReport_3_Table_1[[#This Row],[Lot ID]],InventTrans!C:C,AtlasReport_3_Table_1[[#This Row],[Ship date]])</f>
        <v>10042.5</v>
      </c>
      <c r="I318" s="5" t="s">
        <v>15</v>
      </c>
      <c r="J318" s="5" t="s">
        <v>410</v>
      </c>
    </row>
    <row r="319" spans="1:10" x14ac:dyDescent="0.15">
      <c r="A319" s="5" t="s">
        <v>48</v>
      </c>
      <c r="B319" s="5" t="s">
        <v>411</v>
      </c>
      <c r="C319" s="5" t="s">
        <v>35</v>
      </c>
      <c r="D319" s="5" t="s">
        <v>36</v>
      </c>
      <c r="E319" s="9">
        <v>43593</v>
      </c>
      <c r="F319" s="6">
        <v>2535</v>
      </c>
      <c r="G319" s="5" t="s">
        <v>15</v>
      </c>
      <c r="H319" s="6">
        <f>SUMIFS(InventTrans!F:F,InventTrans!B:B,AtlasReport_3_Table_1[[#This Row],[Lot ID]],InventTrans!C:C,AtlasReport_3_Table_1[[#This Row],[Ship date]])</f>
        <v>2535</v>
      </c>
      <c r="I319" s="5" t="s">
        <v>15</v>
      </c>
      <c r="J319" s="5" t="s">
        <v>412</v>
      </c>
    </row>
    <row r="320" spans="1:10" x14ac:dyDescent="0.15">
      <c r="A320" s="5" t="s">
        <v>48</v>
      </c>
      <c r="B320" s="5" t="s">
        <v>413</v>
      </c>
      <c r="C320" s="5" t="s">
        <v>51</v>
      </c>
      <c r="D320" s="5" t="s">
        <v>52</v>
      </c>
      <c r="E320" s="9">
        <v>43593</v>
      </c>
      <c r="F320" s="6">
        <v>4290</v>
      </c>
      <c r="G320" s="5" t="s">
        <v>15</v>
      </c>
      <c r="H320" s="6">
        <f>SUMIFS(InventTrans!F:F,InventTrans!B:B,AtlasReport_3_Table_1[[#This Row],[Lot ID]],InventTrans!C:C,AtlasReport_3_Table_1[[#This Row],[Ship date]])</f>
        <v>4290</v>
      </c>
      <c r="I320" s="5" t="s">
        <v>15</v>
      </c>
      <c r="J320" s="5" t="s">
        <v>414</v>
      </c>
    </row>
    <row r="321" spans="1:10" x14ac:dyDescent="0.15">
      <c r="A321" s="5" t="s">
        <v>48</v>
      </c>
      <c r="B321" s="5" t="s">
        <v>415</v>
      </c>
      <c r="C321" s="5" t="s">
        <v>35</v>
      </c>
      <c r="D321" s="5" t="s">
        <v>36</v>
      </c>
      <c r="E321" s="9">
        <v>43593</v>
      </c>
      <c r="F321" s="6">
        <v>97.5</v>
      </c>
      <c r="G321" s="5" t="s">
        <v>15</v>
      </c>
      <c r="H321" s="6">
        <f>SUMIFS(InventTrans!F:F,InventTrans!B:B,AtlasReport_3_Table_1[[#This Row],[Lot ID]],InventTrans!C:C,AtlasReport_3_Table_1[[#This Row],[Ship date]])</f>
        <v>97.5</v>
      </c>
      <c r="I321" s="5" t="s">
        <v>15</v>
      </c>
      <c r="J321" s="5" t="s">
        <v>416</v>
      </c>
    </row>
    <row r="322" spans="1:10" x14ac:dyDescent="0.15">
      <c r="A322" s="5" t="s">
        <v>48</v>
      </c>
      <c r="B322" s="5" t="s">
        <v>417</v>
      </c>
      <c r="C322" s="5" t="s">
        <v>37</v>
      </c>
      <c r="D322" s="5" t="s">
        <v>38</v>
      </c>
      <c r="E322" s="9">
        <v>43594</v>
      </c>
      <c r="F322" s="6">
        <v>195</v>
      </c>
      <c r="G322" s="5" t="s">
        <v>15</v>
      </c>
      <c r="H322" s="6">
        <f>SUMIFS(InventTrans!F:F,InventTrans!B:B,AtlasReport_3_Table_1[[#This Row],[Lot ID]],InventTrans!C:C,AtlasReport_3_Table_1[[#This Row],[Ship date]])</f>
        <v>195</v>
      </c>
      <c r="I322" s="5" t="s">
        <v>15</v>
      </c>
      <c r="J322" s="5" t="s">
        <v>418</v>
      </c>
    </row>
    <row r="323" spans="1:10" x14ac:dyDescent="0.15">
      <c r="A323" s="5" t="s">
        <v>48</v>
      </c>
      <c r="B323" s="5" t="s">
        <v>419</v>
      </c>
      <c r="C323" s="5" t="s">
        <v>35</v>
      </c>
      <c r="D323" s="5" t="s">
        <v>36</v>
      </c>
      <c r="E323" s="9">
        <v>43595</v>
      </c>
      <c r="F323" s="6">
        <v>1950</v>
      </c>
      <c r="G323" s="5" t="s">
        <v>15</v>
      </c>
      <c r="H323" s="6">
        <f>SUMIFS(InventTrans!F:F,InventTrans!B:B,AtlasReport_3_Table_1[[#This Row],[Lot ID]],InventTrans!C:C,AtlasReport_3_Table_1[[#This Row],[Ship date]])</f>
        <v>1950</v>
      </c>
      <c r="I323" s="5" t="s">
        <v>15</v>
      </c>
      <c r="J323" s="5" t="s">
        <v>420</v>
      </c>
    </row>
    <row r="324" spans="1:10" x14ac:dyDescent="0.15">
      <c r="A324" s="5" t="s">
        <v>48</v>
      </c>
      <c r="B324" s="5" t="s">
        <v>419</v>
      </c>
      <c r="C324" s="5" t="s">
        <v>37</v>
      </c>
      <c r="D324" s="5" t="s">
        <v>38</v>
      </c>
      <c r="E324" s="9">
        <v>43595</v>
      </c>
      <c r="F324" s="6">
        <v>3900</v>
      </c>
      <c r="G324" s="5" t="s">
        <v>15</v>
      </c>
      <c r="H324" s="6">
        <f>SUMIFS(InventTrans!F:F,InventTrans!B:B,AtlasReport_3_Table_1[[#This Row],[Lot ID]],InventTrans!C:C,AtlasReport_3_Table_1[[#This Row],[Ship date]])</f>
        <v>3900</v>
      </c>
      <c r="I324" s="5" t="s">
        <v>15</v>
      </c>
      <c r="J324" s="5" t="s">
        <v>421</v>
      </c>
    </row>
    <row r="325" spans="1:10" x14ac:dyDescent="0.15">
      <c r="A325" s="5" t="s">
        <v>48</v>
      </c>
      <c r="B325" s="5" t="s">
        <v>422</v>
      </c>
      <c r="C325" s="5" t="s">
        <v>51</v>
      </c>
      <c r="D325" s="5" t="s">
        <v>52</v>
      </c>
      <c r="E325" s="9">
        <v>43595</v>
      </c>
      <c r="F325" s="6">
        <v>195</v>
      </c>
      <c r="G325" s="5" t="s">
        <v>15</v>
      </c>
      <c r="H325" s="6">
        <f>SUMIFS(InventTrans!F:F,InventTrans!B:B,AtlasReport_3_Table_1[[#This Row],[Lot ID]],InventTrans!C:C,AtlasReport_3_Table_1[[#This Row],[Ship date]])</f>
        <v>195</v>
      </c>
      <c r="I325" s="5" t="s">
        <v>15</v>
      </c>
      <c r="J325" s="5" t="s">
        <v>423</v>
      </c>
    </row>
    <row r="326" spans="1:10" x14ac:dyDescent="0.15">
      <c r="A326" s="5" t="s">
        <v>48</v>
      </c>
      <c r="B326" s="5" t="s">
        <v>424</v>
      </c>
      <c r="C326" s="5" t="s">
        <v>158</v>
      </c>
      <c r="D326" s="5" t="s">
        <v>159</v>
      </c>
      <c r="E326" s="9">
        <v>43595</v>
      </c>
      <c r="F326" s="6">
        <v>780</v>
      </c>
      <c r="G326" s="5" t="s">
        <v>15</v>
      </c>
      <c r="H326" s="6">
        <f>SUMIFS(InventTrans!F:F,InventTrans!B:B,AtlasReport_3_Table_1[[#This Row],[Lot ID]],InventTrans!C:C,AtlasReport_3_Table_1[[#This Row],[Ship date]])</f>
        <v>780</v>
      </c>
      <c r="I326" s="5" t="s">
        <v>15</v>
      </c>
      <c r="J326" s="5" t="s">
        <v>425</v>
      </c>
    </row>
    <row r="327" spans="1:10" x14ac:dyDescent="0.15">
      <c r="A327" s="5" t="s">
        <v>48</v>
      </c>
      <c r="B327" s="5" t="s">
        <v>426</v>
      </c>
      <c r="C327" s="5" t="s">
        <v>37</v>
      </c>
      <c r="D327" s="5" t="s">
        <v>38</v>
      </c>
      <c r="E327" s="9">
        <v>43598</v>
      </c>
      <c r="F327" s="6">
        <v>682.5</v>
      </c>
      <c r="G327" s="5" t="s">
        <v>15</v>
      </c>
      <c r="H327" s="6">
        <f>SUMIFS(InventTrans!F:F,InventTrans!B:B,AtlasReport_3_Table_1[[#This Row],[Lot ID]],InventTrans!C:C,AtlasReport_3_Table_1[[#This Row],[Ship date]])</f>
        <v>682.5</v>
      </c>
      <c r="I327" s="5" t="s">
        <v>15</v>
      </c>
      <c r="J327" s="5" t="s">
        <v>427</v>
      </c>
    </row>
    <row r="328" spans="1:10" x14ac:dyDescent="0.15">
      <c r="A328" s="5" t="s">
        <v>48</v>
      </c>
      <c r="B328" s="5" t="s">
        <v>428</v>
      </c>
      <c r="C328" s="5" t="s">
        <v>43</v>
      </c>
      <c r="D328" s="5" t="s">
        <v>38</v>
      </c>
      <c r="E328" s="9">
        <v>43598</v>
      </c>
      <c r="F328" s="6">
        <v>1552</v>
      </c>
      <c r="G328" s="5" t="s">
        <v>15</v>
      </c>
      <c r="H328" s="6">
        <f>SUMIFS(InventTrans!F:F,InventTrans!B:B,AtlasReport_3_Table_1[[#This Row],[Lot ID]],InventTrans!C:C,AtlasReport_3_Table_1[[#This Row],[Ship date]])</f>
        <v>1552</v>
      </c>
      <c r="I328" s="5" t="s">
        <v>15</v>
      </c>
      <c r="J328" s="5" t="s">
        <v>429</v>
      </c>
    </row>
    <row r="329" spans="1:10" ht="27" x14ac:dyDescent="0.15">
      <c r="A329" s="5" t="s">
        <v>48</v>
      </c>
      <c r="B329" s="5" t="s">
        <v>428</v>
      </c>
      <c r="C329" s="5" t="s">
        <v>49</v>
      </c>
      <c r="D329" s="7" t="s">
        <v>50</v>
      </c>
      <c r="E329" s="9">
        <v>43598</v>
      </c>
      <c r="F329" s="6">
        <v>194</v>
      </c>
      <c r="G329" s="5" t="s">
        <v>15</v>
      </c>
      <c r="H329" s="6">
        <f>SUMIFS(InventTrans!F:F,InventTrans!B:B,AtlasReport_3_Table_1[[#This Row],[Lot ID]],InventTrans!C:C,AtlasReport_3_Table_1[[#This Row],[Ship date]])</f>
        <v>194</v>
      </c>
      <c r="I329" s="5" t="s">
        <v>15</v>
      </c>
      <c r="J329" s="5" t="s">
        <v>430</v>
      </c>
    </row>
    <row r="330" spans="1:10" x14ac:dyDescent="0.15">
      <c r="A330" s="5" t="s">
        <v>48</v>
      </c>
      <c r="B330" s="5" t="s">
        <v>431</v>
      </c>
      <c r="C330" s="5" t="s">
        <v>42</v>
      </c>
      <c r="D330" s="5" t="s">
        <v>38</v>
      </c>
      <c r="E330" s="9">
        <v>43598</v>
      </c>
      <c r="F330" s="6">
        <v>6000</v>
      </c>
      <c r="G330" s="5" t="s">
        <v>15</v>
      </c>
      <c r="H330" s="6">
        <f>SUMIFS(InventTrans!F:F,InventTrans!B:B,AtlasReport_3_Table_1[[#This Row],[Lot ID]],InventTrans!C:C,AtlasReport_3_Table_1[[#This Row],[Ship date]])</f>
        <v>6000</v>
      </c>
      <c r="I330" s="5" t="s">
        <v>15</v>
      </c>
      <c r="J330" s="5" t="s">
        <v>432</v>
      </c>
    </row>
    <row r="331" spans="1:10" x14ac:dyDescent="0.15">
      <c r="A331" s="5" t="s">
        <v>48</v>
      </c>
      <c r="B331" s="5" t="s">
        <v>431</v>
      </c>
      <c r="C331" s="5" t="s">
        <v>42</v>
      </c>
      <c r="D331" s="5" t="s">
        <v>38</v>
      </c>
      <c r="E331" s="9">
        <v>43599</v>
      </c>
      <c r="F331" s="6">
        <v>6000</v>
      </c>
      <c r="G331" s="5" t="s">
        <v>15</v>
      </c>
      <c r="H331" s="6">
        <f>SUMIFS(InventTrans!F:F,InventTrans!B:B,AtlasReport_3_Table_1[[#This Row],[Lot ID]],InventTrans!C:C,AtlasReport_3_Table_1[[#This Row],[Ship date]])</f>
        <v>6000</v>
      </c>
      <c r="I331" s="5" t="s">
        <v>15</v>
      </c>
      <c r="J331" s="5" t="s">
        <v>433</v>
      </c>
    </row>
    <row r="332" spans="1:10" x14ac:dyDescent="0.15">
      <c r="A332" s="5" t="s">
        <v>48</v>
      </c>
      <c r="B332" s="5" t="s">
        <v>434</v>
      </c>
      <c r="C332" s="5" t="s">
        <v>41</v>
      </c>
      <c r="D332" s="5" t="s">
        <v>36</v>
      </c>
      <c r="E332" s="9">
        <v>43598</v>
      </c>
      <c r="F332" s="6">
        <v>-3880</v>
      </c>
      <c r="G332" s="5" t="s">
        <v>15</v>
      </c>
      <c r="H332" s="6">
        <f>SUMIFS(InventTrans!F:F,InventTrans!B:B,AtlasReport_3_Table_1[[#This Row],[Lot ID]],InventTrans!C:C,AtlasReport_3_Table_1[[#This Row],[Ship date]])</f>
        <v>-3880</v>
      </c>
      <c r="I332" s="5" t="s">
        <v>15</v>
      </c>
      <c r="J332" s="5" t="s">
        <v>1527</v>
      </c>
    </row>
    <row r="333" spans="1:10" x14ac:dyDescent="0.15">
      <c r="A333" s="5" t="s">
        <v>48</v>
      </c>
      <c r="B333" s="5" t="s">
        <v>434</v>
      </c>
      <c r="C333" s="5" t="s">
        <v>40</v>
      </c>
      <c r="D333" s="5" t="s">
        <v>36</v>
      </c>
      <c r="E333" s="9">
        <v>43598</v>
      </c>
      <c r="F333" s="6">
        <v>-6000</v>
      </c>
      <c r="G333" s="5" t="s">
        <v>15</v>
      </c>
      <c r="H333" s="6">
        <f>SUMIFS(InventTrans!F:F,InventTrans!B:B,AtlasReport_3_Table_1[[#This Row],[Lot ID]],InventTrans!C:C,AtlasReport_3_Table_1[[#This Row],[Ship date]])</f>
        <v>-6000</v>
      </c>
      <c r="I333" s="5" t="s">
        <v>15</v>
      </c>
      <c r="J333" s="5" t="s">
        <v>1528</v>
      </c>
    </row>
    <row r="334" spans="1:10" x14ac:dyDescent="0.15">
      <c r="A334" s="5" t="s">
        <v>48</v>
      </c>
      <c r="B334" s="5" t="s">
        <v>434</v>
      </c>
      <c r="C334" s="5" t="s">
        <v>35</v>
      </c>
      <c r="D334" s="5" t="s">
        <v>36</v>
      </c>
      <c r="E334" s="9">
        <v>43598</v>
      </c>
      <c r="F334" s="6">
        <v>-13650</v>
      </c>
      <c r="G334" s="5" t="s">
        <v>15</v>
      </c>
      <c r="H334" s="6">
        <f>SUMIFS(InventTrans!F:F,InventTrans!B:B,AtlasReport_3_Table_1[[#This Row],[Lot ID]],InventTrans!C:C,AtlasReport_3_Table_1[[#This Row],[Ship date]])</f>
        <v>-13650</v>
      </c>
      <c r="I334" s="5" t="s">
        <v>15</v>
      </c>
      <c r="J334" s="5" t="s">
        <v>1529</v>
      </c>
    </row>
    <row r="335" spans="1:10" x14ac:dyDescent="0.15">
      <c r="A335" s="5" t="s">
        <v>48</v>
      </c>
      <c r="B335" s="5" t="s">
        <v>435</v>
      </c>
      <c r="C335" s="5" t="s">
        <v>51</v>
      </c>
      <c r="D335" s="5" t="s">
        <v>52</v>
      </c>
      <c r="E335" s="9">
        <v>43601</v>
      </c>
      <c r="F335" s="6">
        <v>5265</v>
      </c>
      <c r="G335" s="5" t="s">
        <v>15</v>
      </c>
      <c r="H335" s="6">
        <f>SUMIFS(InventTrans!F:F,InventTrans!B:B,AtlasReport_3_Table_1[[#This Row],[Lot ID]],InventTrans!C:C,AtlasReport_3_Table_1[[#This Row],[Ship date]])</f>
        <v>5265</v>
      </c>
      <c r="I335" s="5" t="s">
        <v>15</v>
      </c>
      <c r="J335" s="5" t="s">
        <v>436</v>
      </c>
    </row>
    <row r="336" spans="1:10" x14ac:dyDescent="0.15">
      <c r="A336" s="5" t="s">
        <v>48</v>
      </c>
      <c r="B336" s="5" t="s">
        <v>437</v>
      </c>
      <c r="C336" s="5" t="s">
        <v>53</v>
      </c>
      <c r="D336" s="5" t="s">
        <v>54</v>
      </c>
      <c r="E336" s="9">
        <v>43605</v>
      </c>
      <c r="F336" s="6">
        <v>15600</v>
      </c>
      <c r="G336" s="5" t="s">
        <v>15</v>
      </c>
      <c r="H336" s="6">
        <f>SUMIFS(InventTrans!F:F,InventTrans!B:B,AtlasReport_3_Table_1[[#This Row],[Lot ID]],InventTrans!C:C,AtlasReport_3_Table_1[[#This Row],[Ship date]])</f>
        <v>15600</v>
      </c>
      <c r="I336" s="5" t="s">
        <v>15</v>
      </c>
      <c r="J336" s="5" t="s">
        <v>438</v>
      </c>
    </row>
    <row r="337" spans="1:10" x14ac:dyDescent="0.15">
      <c r="A337" s="5" t="s">
        <v>48</v>
      </c>
      <c r="B337" s="5" t="s">
        <v>437</v>
      </c>
      <c r="C337" s="5" t="s">
        <v>51</v>
      </c>
      <c r="D337" s="5" t="s">
        <v>52</v>
      </c>
      <c r="E337" s="9">
        <v>43605</v>
      </c>
      <c r="F337" s="6">
        <v>2925</v>
      </c>
      <c r="G337" s="5" t="s">
        <v>15</v>
      </c>
      <c r="H337" s="6">
        <f>SUMIFS(InventTrans!F:F,InventTrans!B:B,AtlasReport_3_Table_1[[#This Row],[Lot ID]],InventTrans!C:C,AtlasReport_3_Table_1[[#This Row],[Ship date]])</f>
        <v>2925</v>
      </c>
      <c r="I337" s="5" t="s">
        <v>15</v>
      </c>
      <c r="J337" s="5" t="s">
        <v>439</v>
      </c>
    </row>
    <row r="338" spans="1:10" x14ac:dyDescent="0.15">
      <c r="A338" s="5" t="s">
        <v>48</v>
      </c>
      <c r="B338" s="5" t="s">
        <v>440</v>
      </c>
      <c r="C338" s="5" t="s">
        <v>35</v>
      </c>
      <c r="D338" s="5" t="s">
        <v>36</v>
      </c>
      <c r="E338" s="9">
        <v>43602</v>
      </c>
      <c r="F338" s="6">
        <v>975</v>
      </c>
      <c r="G338" s="5" t="s">
        <v>15</v>
      </c>
      <c r="H338" s="6">
        <f>SUMIFS(InventTrans!F:F,InventTrans!B:B,AtlasReport_3_Table_1[[#This Row],[Lot ID]],InventTrans!C:C,AtlasReport_3_Table_1[[#This Row],[Ship date]])</f>
        <v>975</v>
      </c>
      <c r="I338" s="5" t="s">
        <v>15</v>
      </c>
      <c r="J338" s="5" t="s">
        <v>441</v>
      </c>
    </row>
    <row r="339" spans="1:10" x14ac:dyDescent="0.15">
      <c r="A339" s="5" t="s">
        <v>48</v>
      </c>
      <c r="B339" s="5" t="s">
        <v>442</v>
      </c>
      <c r="C339" s="5" t="s">
        <v>37</v>
      </c>
      <c r="D339" s="5" t="s">
        <v>38</v>
      </c>
      <c r="E339" s="9">
        <v>43607</v>
      </c>
      <c r="F339" s="6">
        <v>6337.5</v>
      </c>
      <c r="G339" s="5" t="s">
        <v>15</v>
      </c>
      <c r="H339" s="6">
        <f>SUMIFS(InventTrans!F:F,InventTrans!B:B,AtlasReport_3_Table_1[[#This Row],[Lot ID]],InventTrans!C:C,AtlasReport_3_Table_1[[#This Row],[Ship date]])</f>
        <v>6337.5</v>
      </c>
      <c r="I339" s="5" t="s">
        <v>15</v>
      </c>
      <c r="J339" s="5" t="s">
        <v>443</v>
      </c>
    </row>
    <row r="340" spans="1:10" x14ac:dyDescent="0.15">
      <c r="A340" s="5" t="s">
        <v>48</v>
      </c>
      <c r="B340" s="5" t="s">
        <v>444</v>
      </c>
      <c r="C340" s="5" t="s">
        <v>43</v>
      </c>
      <c r="D340" s="5" t="s">
        <v>38</v>
      </c>
      <c r="E340" s="9">
        <v>43608</v>
      </c>
      <c r="F340" s="6">
        <v>582</v>
      </c>
      <c r="G340" s="5" t="s">
        <v>15</v>
      </c>
      <c r="H340" s="6">
        <f>SUMIFS(InventTrans!F:F,InventTrans!B:B,AtlasReport_3_Table_1[[#This Row],[Lot ID]],InventTrans!C:C,AtlasReport_3_Table_1[[#This Row],[Ship date]])</f>
        <v>582</v>
      </c>
      <c r="I340" s="5" t="s">
        <v>15</v>
      </c>
      <c r="J340" s="5" t="s">
        <v>445</v>
      </c>
    </row>
    <row r="341" spans="1:10" x14ac:dyDescent="0.15">
      <c r="A341" s="5" t="s">
        <v>48</v>
      </c>
      <c r="B341" s="5" t="s">
        <v>446</v>
      </c>
      <c r="C341" s="5" t="s">
        <v>35</v>
      </c>
      <c r="D341" s="5" t="s">
        <v>36</v>
      </c>
      <c r="E341" s="9">
        <v>43608</v>
      </c>
      <c r="F341" s="6">
        <v>5167.5</v>
      </c>
      <c r="G341" s="5" t="s">
        <v>15</v>
      </c>
      <c r="H341" s="6">
        <f>SUMIFS(InventTrans!F:F,InventTrans!B:B,AtlasReport_3_Table_1[[#This Row],[Lot ID]],InventTrans!C:C,AtlasReport_3_Table_1[[#This Row],[Ship date]])</f>
        <v>5167.5</v>
      </c>
      <c r="I341" s="5" t="s">
        <v>15</v>
      </c>
      <c r="J341" s="5" t="s">
        <v>447</v>
      </c>
    </row>
    <row r="342" spans="1:10" x14ac:dyDescent="0.15">
      <c r="A342" s="5" t="s">
        <v>48</v>
      </c>
      <c r="B342" s="5" t="s">
        <v>448</v>
      </c>
      <c r="C342" s="5" t="s">
        <v>43</v>
      </c>
      <c r="D342" s="5" t="s">
        <v>38</v>
      </c>
      <c r="E342" s="9">
        <v>43608</v>
      </c>
      <c r="F342" s="6">
        <v>2716</v>
      </c>
      <c r="G342" s="5" t="s">
        <v>15</v>
      </c>
      <c r="H342" s="6">
        <f>SUMIFS(InventTrans!F:F,InventTrans!B:B,AtlasReport_3_Table_1[[#This Row],[Lot ID]],InventTrans!C:C,AtlasReport_3_Table_1[[#This Row],[Ship date]])</f>
        <v>2716</v>
      </c>
      <c r="I342" s="5" t="s">
        <v>15</v>
      </c>
      <c r="J342" s="5" t="s">
        <v>449</v>
      </c>
    </row>
    <row r="343" spans="1:10" x14ac:dyDescent="0.15">
      <c r="A343" s="5" t="s">
        <v>48</v>
      </c>
      <c r="B343" s="5" t="s">
        <v>450</v>
      </c>
      <c r="C343" s="5" t="s">
        <v>158</v>
      </c>
      <c r="D343" s="5" t="s">
        <v>159</v>
      </c>
      <c r="E343" s="9">
        <v>43609</v>
      </c>
      <c r="F343" s="6">
        <v>5070</v>
      </c>
      <c r="G343" s="5" t="s">
        <v>15</v>
      </c>
      <c r="H343" s="6">
        <f>SUMIFS(InventTrans!F:F,InventTrans!B:B,AtlasReport_3_Table_1[[#This Row],[Lot ID]],InventTrans!C:C,AtlasReport_3_Table_1[[#This Row],[Ship date]])</f>
        <v>5070</v>
      </c>
      <c r="I343" s="5" t="s">
        <v>15</v>
      </c>
      <c r="J343" s="5" t="s">
        <v>451</v>
      </c>
    </row>
    <row r="344" spans="1:10" x14ac:dyDescent="0.15">
      <c r="A344" s="5" t="s">
        <v>48</v>
      </c>
      <c r="B344" s="5" t="s">
        <v>452</v>
      </c>
      <c r="C344" s="5" t="s">
        <v>42</v>
      </c>
      <c r="D344" s="5" t="s">
        <v>38</v>
      </c>
      <c r="E344" s="9">
        <v>43609</v>
      </c>
      <c r="F344" s="6">
        <v>2025</v>
      </c>
      <c r="G344" s="5" t="s">
        <v>15</v>
      </c>
      <c r="H344" s="6">
        <f>SUMIFS(InventTrans!F:F,InventTrans!B:B,AtlasReport_3_Table_1[[#This Row],[Lot ID]],InventTrans!C:C,AtlasReport_3_Table_1[[#This Row],[Ship date]])</f>
        <v>2025</v>
      </c>
      <c r="I344" s="5" t="s">
        <v>15</v>
      </c>
      <c r="J344" s="5" t="s">
        <v>453</v>
      </c>
    </row>
    <row r="345" spans="1:10" x14ac:dyDescent="0.15">
      <c r="A345" s="5" t="s">
        <v>48</v>
      </c>
      <c r="B345" s="5" t="s">
        <v>454</v>
      </c>
      <c r="C345" s="5" t="s">
        <v>35</v>
      </c>
      <c r="D345" s="5" t="s">
        <v>36</v>
      </c>
      <c r="E345" s="9">
        <v>43613</v>
      </c>
      <c r="F345" s="6">
        <v>-4095</v>
      </c>
      <c r="G345" s="5" t="s">
        <v>15</v>
      </c>
      <c r="H345" s="6">
        <f>SUMIFS(InventTrans!F:F,InventTrans!B:B,AtlasReport_3_Table_1[[#This Row],[Lot ID]],InventTrans!C:C,AtlasReport_3_Table_1[[#This Row],[Ship date]])</f>
        <v>-4095</v>
      </c>
      <c r="I345" s="5" t="s">
        <v>15</v>
      </c>
      <c r="J345" s="5" t="s">
        <v>455</v>
      </c>
    </row>
    <row r="346" spans="1:10" x14ac:dyDescent="0.15">
      <c r="A346" s="5" t="s">
        <v>48</v>
      </c>
      <c r="B346" s="5" t="s">
        <v>456</v>
      </c>
      <c r="C346" s="5" t="s">
        <v>35</v>
      </c>
      <c r="D346" s="5" t="s">
        <v>36</v>
      </c>
      <c r="E346" s="9">
        <v>43613</v>
      </c>
      <c r="F346" s="6">
        <v>4095</v>
      </c>
      <c r="G346" s="5" t="s">
        <v>15</v>
      </c>
      <c r="H346" s="6">
        <f>SUMIFS(InventTrans!F:F,InventTrans!B:B,AtlasReport_3_Table_1[[#This Row],[Lot ID]],InventTrans!C:C,AtlasReport_3_Table_1[[#This Row],[Ship date]])</f>
        <v>4095</v>
      </c>
      <c r="I346" s="5" t="s">
        <v>15</v>
      </c>
      <c r="J346" s="5" t="s">
        <v>457</v>
      </c>
    </row>
    <row r="347" spans="1:10" x14ac:dyDescent="0.15">
      <c r="A347" s="5" t="s">
        <v>48</v>
      </c>
      <c r="B347" s="5" t="s">
        <v>458</v>
      </c>
      <c r="C347" s="5" t="s">
        <v>41</v>
      </c>
      <c r="D347" s="5" t="s">
        <v>36</v>
      </c>
      <c r="E347" s="9">
        <v>43606</v>
      </c>
      <c r="F347" s="6">
        <v>2182.5</v>
      </c>
      <c r="G347" s="5" t="s">
        <v>15</v>
      </c>
      <c r="H347" s="6">
        <f>SUMIFS(InventTrans!F:F,InventTrans!B:B,AtlasReport_3_Table_1[[#This Row],[Lot ID]],InventTrans!C:C,AtlasReport_3_Table_1[[#This Row],[Ship date]])</f>
        <v>2182.5</v>
      </c>
      <c r="I347" s="5" t="s">
        <v>15</v>
      </c>
      <c r="J347" s="5" t="s">
        <v>459</v>
      </c>
    </row>
    <row r="348" spans="1:10" x14ac:dyDescent="0.15">
      <c r="A348" s="5" t="s">
        <v>48</v>
      </c>
      <c r="B348" s="5" t="s">
        <v>458</v>
      </c>
      <c r="C348" s="5" t="s">
        <v>35</v>
      </c>
      <c r="D348" s="5" t="s">
        <v>36</v>
      </c>
      <c r="E348" s="9">
        <v>43606</v>
      </c>
      <c r="F348" s="6">
        <v>4875</v>
      </c>
      <c r="G348" s="5" t="s">
        <v>15</v>
      </c>
      <c r="H348" s="6">
        <f>SUMIFS(InventTrans!F:F,InventTrans!B:B,AtlasReport_3_Table_1[[#This Row],[Lot ID]],InventTrans!C:C,AtlasReport_3_Table_1[[#This Row],[Ship date]])</f>
        <v>4875</v>
      </c>
      <c r="I348" s="5" t="s">
        <v>15</v>
      </c>
      <c r="J348" s="5" t="s">
        <v>460</v>
      </c>
    </row>
    <row r="349" spans="1:10" x14ac:dyDescent="0.15">
      <c r="A349" s="5" t="s">
        <v>48</v>
      </c>
      <c r="B349" s="5" t="s">
        <v>67</v>
      </c>
      <c r="C349" s="5" t="s">
        <v>58</v>
      </c>
      <c r="D349" s="5" t="s">
        <v>59</v>
      </c>
      <c r="E349" s="9">
        <v>43612</v>
      </c>
      <c r="F349" s="6">
        <v>150</v>
      </c>
      <c r="G349" s="5" t="s">
        <v>15</v>
      </c>
      <c r="H349" s="6">
        <f>SUMIFS(InventTrans!F:F,InventTrans!B:B,AtlasReport_3_Table_1[[#This Row],[Lot ID]],InventTrans!C:C,AtlasReport_3_Table_1[[#This Row],[Ship date]])</f>
        <v>150</v>
      </c>
      <c r="I349" s="5" t="s">
        <v>15</v>
      </c>
      <c r="J349" s="5" t="s">
        <v>461</v>
      </c>
    </row>
    <row r="350" spans="1:10" x14ac:dyDescent="0.15">
      <c r="A350" s="5" t="s">
        <v>48</v>
      </c>
      <c r="B350" s="5" t="s">
        <v>462</v>
      </c>
      <c r="C350" s="5" t="s">
        <v>37</v>
      </c>
      <c r="D350" s="5" t="s">
        <v>38</v>
      </c>
      <c r="E350" s="9">
        <v>43613</v>
      </c>
      <c r="F350" s="6">
        <v>585</v>
      </c>
      <c r="G350" s="5" t="s">
        <v>15</v>
      </c>
      <c r="H350" s="6">
        <f>SUMIFS(InventTrans!F:F,InventTrans!B:B,AtlasReport_3_Table_1[[#This Row],[Lot ID]],InventTrans!C:C,AtlasReport_3_Table_1[[#This Row],[Ship date]])</f>
        <v>585</v>
      </c>
      <c r="I350" s="5" t="s">
        <v>15</v>
      </c>
      <c r="J350" s="5" t="s">
        <v>463</v>
      </c>
    </row>
    <row r="351" spans="1:10" x14ac:dyDescent="0.15">
      <c r="A351" s="5" t="s">
        <v>48</v>
      </c>
      <c r="B351" s="5" t="s">
        <v>464</v>
      </c>
      <c r="C351" s="5" t="s">
        <v>43</v>
      </c>
      <c r="D351" s="5" t="s">
        <v>38</v>
      </c>
      <c r="E351" s="9">
        <v>43619</v>
      </c>
      <c r="F351" s="6">
        <v>921.5</v>
      </c>
      <c r="G351" s="5" t="s">
        <v>15</v>
      </c>
      <c r="H351" s="6">
        <f>SUMIFS(InventTrans!F:F,InventTrans!B:B,AtlasReport_3_Table_1[[#This Row],[Lot ID]],InventTrans!C:C,AtlasReport_3_Table_1[[#This Row],[Ship date]])</f>
        <v>921.5</v>
      </c>
      <c r="I351" s="5" t="s">
        <v>15</v>
      </c>
      <c r="J351" s="5" t="s">
        <v>465</v>
      </c>
    </row>
    <row r="352" spans="1:10" x14ac:dyDescent="0.15">
      <c r="A352" s="5" t="s">
        <v>48</v>
      </c>
      <c r="B352" s="5" t="s">
        <v>464</v>
      </c>
      <c r="C352" s="5" t="s">
        <v>37</v>
      </c>
      <c r="D352" s="5" t="s">
        <v>38</v>
      </c>
      <c r="E352" s="9">
        <v>43619</v>
      </c>
      <c r="F352" s="6">
        <v>2730</v>
      </c>
      <c r="G352" s="5" t="s">
        <v>15</v>
      </c>
      <c r="H352" s="6">
        <f>SUMIFS(InventTrans!F:F,InventTrans!B:B,AtlasReport_3_Table_1[[#This Row],[Lot ID]],InventTrans!C:C,AtlasReport_3_Table_1[[#This Row],[Ship date]])</f>
        <v>2730</v>
      </c>
      <c r="I352" s="5" t="s">
        <v>15</v>
      </c>
      <c r="J352" s="5" t="s">
        <v>466</v>
      </c>
    </row>
    <row r="353" spans="1:10" x14ac:dyDescent="0.15">
      <c r="A353" s="5" t="s">
        <v>48</v>
      </c>
      <c r="B353" s="5" t="s">
        <v>467</v>
      </c>
      <c r="C353" s="5" t="s">
        <v>35</v>
      </c>
      <c r="D353" s="5" t="s">
        <v>36</v>
      </c>
      <c r="E353" s="9">
        <v>43619</v>
      </c>
      <c r="F353" s="6">
        <v>1365</v>
      </c>
      <c r="G353" s="5" t="s">
        <v>15</v>
      </c>
      <c r="H353" s="6">
        <f>SUMIFS(InventTrans!F:F,InventTrans!B:B,AtlasReport_3_Table_1[[#This Row],[Lot ID]],InventTrans!C:C,AtlasReport_3_Table_1[[#This Row],[Ship date]])</f>
        <v>1365</v>
      </c>
      <c r="I353" s="5" t="s">
        <v>15</v>
      </c>
      <c r="J353" s="5" t="s">
        <v>468</v>
      </c>
    </row>
    <row r="354" spans="1:10" x14ac:dyDescent="0.15">
      <c r="A354" s="5" t="s">
        <v>48</v>
      </c>
      <c r="B354" s="5" t="s">
        <v>469</v>
      </c>
      <c r="C354" s="5" t="s">
        <v>37</v>
      </c>
      <c r="D354" s="5" t="s">
        <v>38</v>
      </c>
      <c r="E354" s="9">
        <v>43619</v>
      </c>
      <c r="F354" s="6">
        <v>5362.5</v>
      </c>
      <c r="G354" s="5" t="s">
        <v>15</v>
      </c>
      <c r="H354" s="6">
        <f>SUMIFS(InventTrans!F:F,InventTrans!B:B,AtlasReport_3_Table_1[[#This Row],[Lot ID]],InventTrans!C:C,AtlasReport_3_Table_1[[#This Row],[Ship date]])</f>
        <v>5362.5</v>
      </c>
      <c r="I354" s="5" t="s">
        <v>15</v>
      </c>
      <c r="J354" s="5" t="s">
        <v>470</v>
      </c>
    </row>
    <row r="355" spans="1:10" x14ac:dyDescent="0.15">
      <c r="A355" s="5" t="s">
        <v>48</v>
      </c>
      <c r="B355" s="5" t="s">
        <v>471</v>
      </c>
      <c r="C355" s="5" t="s">
        <v>37</v>
      </c>
      <c r="D355" s="5" t="s">
        <v>38</v>
      </c>
      <c r="E355" s="9">
        <v>43620</v>
      </c>
      <c r="F355" s="6">
        <v>195</v>
      </c>
      <c r="G355" s="5" t="s">
        <v>15</v>
      </c>
      <c r="H355" s="6">
        <f>SUMIFS(InventTrans!F:F,InventTrans!B:B,AtlasReport_3_Table_1[[#This Row],[Lot ID]],InventTrans!C:C,AtlasReport_3_Table_1[[#This Row],[Ship date]])</f>
        <v>195</v>
      </c>
      <c r="I355" s="5" t="s">
        <v>15</v>
      </c>
      <c r="J355" s="5" t="s">
        <v>472</v>
      </c>
    </row>
    <row r="356" spans="1:10" x14ac:dyDescent="0.15">
      <c r="A356" s="5" t="s">
        <v>48</v>
      </c>
      <c r="B356" s="5" t="s">
        <v>473</v>
      </c>
      <c r="C356" s="5" t="s">
        <v>35</v>
      </c>
      <c r="D356" s="5" t="s">
        <v>36</v>
      </c>
      <c r="E356" s="9">
        <v>43621</v>
      </c>
      <c r="F356" s="6">
        <v>3217.5</v>
      </c>
      <c r="G356" s="5" t="s">
        <v>15</v>
      </c>
      <c r="H356" s="6">
        <f>SUMIFS(InventTrans!F:F,InventTrans!B:B,AtlasReport_3_Table_1[[#This Row],[Lot ID]],InventTrans!C:C,AtlasReport_3_Table_1[[#This Row],[Ship date]])</f>
        <v>3217.5</v>
      </c>
      <c r="I356" s="5" t="s">
        <v>15</v>
      </c>
      <c r="J356" s="5" t="s">
        <v>474</v>
      </c>
    </row>
    <row r="357" spans="1:10" x14ac:dyDescent="0.15">
      <c r="A357" s="5" t="s">
        <v>48</v>
      </c>
      <c r="B357" s="5" t="s">
        <v>475</v>
      </c>
      <c r="C357" s="5" t="s">
        <v>43</v>
      </c>
      <c r="D357" s="5" t="s">
        <v>38</v>
      </c>
      <c r="E357" s="9">
        <v>43621</v>
      </c>
      <c r="F357" s="6">
        <v>2522</v>
      </c>
      <c r="G357" s="5" t="s">
        <v>15</v>
      </c>
      <c r="H357" s="6">
        <f>SUMIFS(InventTrans!F:F,InventTrans!B:B,AtlasReport_3_Table_1[[#This Row],[Lot ID]],InventTrans!C:C,AtlasReport_3_Table_1[[#This Row],[Ship date]])</f>
        <v>2522</v>
      </c>
      <c r="I357" s="5" t="s">
        <v>15</v>
      </c>
      <c r="J357" s="5" t="s">
        <v>476</v>
      </c>
    </row>
    <row r="358" spans="1:10" x14ac:dyDescent="0.15">
      <c r="A358" s="5" t="s">
        <v>48</v>
      </c>
      <c r="B358" s="5" t="s">
        <v>477</v>
      </c>
      <c r="C358" s="5" t="s">
        <v>40</v>
      </c>
      <c r="D358" s="5" t="s">
        <v>36</v>
      </c>
      <c r="E358" s="9">
        <v>43621</v>
      </c>
      <c r="F358" s="6">
        <v>1050</v>
      </c>
      <c r="G358" s="5" t="s">
        <v>15</v>
      </c>
      <c r="H358" s="6">
        <f>SUMIFS(InventTrans!F:F,InventTrans!B:B,AtlasReport_3_Table_1[[#This Row],[Lot ID]],InventTrans!C:C,AtlasReport_3_Table_1[[#This Row],[Ship date]])</f>
        <v>1050</v>
      </c>
      <c r="I358" s="5" t="s">
        <v>15</v>
      </c>
      <c r="J358" s="5" t="s">
        <v>478</v>
      </c>
    </row>
    <row r="359" spans="1:10" x14ac:dyDescent="0.15">
      <c r="A359" s="5" t="s">
        <v>48</v>
      </c>
      <c r="B359" s="5" t="s">
        <v>477</v>
      </c>
      <c r="C359" s="5" t="s">
        <v>35</v>
      </c>
      <c r="D359" s="5" t="s">
        <v>36</v>
      </c>
      <c r="E359" s="9">
        <v>43621</v>
      </c>
      <c r="F359" s="6">
        <v>487.5</v>
      </c>
      <c r="G359" s="5" t="s">
        <v>15</v>
      </c>
      <c r="H359" s="6">
        <f>SUMIFS(InventTrans!F:F,InventTrans!B:B,AtlasReport_3_Table_1[[#This Row],[Lot ID]],InventTrans!C:C,AtlasReport_3_Table_1[[#This Row],[Ship date]])</f>
        <v>487.5</v>
      </c>
      <c r="I359" s="5" t="s">
        <v>15</v>
      </c>
      <c r="J359" s="5" t="s">
        <v>479</v>
      </c>
    </row>
    <row r="360" spans="1:10" x14ac:dyDescent="0.15">
      <c r="A360" s="5" t="s">
        <v>48</v>
      </c>
      <c r="B360" s="5" t="s">
        <v>480</v>
      </c>
      <c r="C360" s="5" t="s">
        <v>42</v>
      </c>
      <c r="D360" s="5" t="s">
        <v>38</v>
      </c>
      <c r="E360" s="9">
        <v>43621</v>
      </c>
      <c r="F360" s="6">
        <v>1800</v>
      </c>
      <c r="G360" s="5" t="s">
        <v>15</v>
      </c>
      <c r="H360" s="6">
        <f>SUMIFS(InventTrans!F:F,InventTrans!B:B,AtlasReport_3_Table_1[[#This Row],[Lot ID]],InventTrans!C:C,AtlasReport_3_Table_1[[#This Row],[Ship date]])</f>
        <v>1800</v>
      </c>
      <c r="I360" s="5" t="s">
        <v>15</v>
      </c>
      <c r="J360" s="5" t="s">
        <v>481</v>
      </c>
    </row>
    <row r="361" spans="1:10" x14ac:dyDescent="0.15">
      <c r="A361" s="5" t="s">
        <v>48</v>
      </c>
      <c r="B361" s="5" t="s">
        <v>480</v>
      </c>
      <c r="C361" s="5" t="s">
        <v>37</v>
      </c>
      <c r="D361" s="5" t="s">
        <v>38</v>
      </c>
      <c r="E361" s="9">
        <v>43621</v>
      </c>
      <c r="F361" s="6">
        <v>7020</v>
      </c>
      <c r="G361" s="5" t="s">
        <v>15</v>
      </c>
      <c r="H361" s="6">
        <f>SUMIFS(InventTrans!F:F,InventTrans!B:B,AtlasReport_3_Table_1[[#This Row],[Lot ID]],InventTrans!C:C,AtlasReport_3_Table_1[[#This Row],[Ship date]])</f>
        <v>7020</v>
      </c>
      <c r="I361" s="5" t="s">
        <v>15</v>
      </c>
      <c r="J361" s="5" t="s">
        <v>482</v>
      </c>
    </row>
    <row r="362" spans="1:10" x14ac:dyDescent="0.15">
      <c r="A362" s="5" t="s">
        <v>48</v>
      </c>
      <c r="B362" s="5" t="s">
        <v>483</v>
      </c>
      <c r="C362" s="5" t="s">
        <v>37</v>
      </c>
      <c r="D362" s="5" t="s">
        <v>38</v>
      </c>
      <c r="E362" s="9">
        <v>43622</v>
      </c>
      <c r="F362" s="6">
        <v>15600</v>
      </c>
      <c r="G362" s="5" t="s">
        <v>15</v>
      </c>
      <c r="H362" s="6">
        <f>SUMIFS(InventTrans!F:F,InventTrans!B:B,AtlasReport_3_Table_1[[#This Row],[Lot ID]],InventTrans!C:C,AtlasReport_3_Table_1[[#This Row],[Ship date]])</f>
        <v>15600</v>
      </c>
      <c r="I362" s="5" t="s">
        <v>15</v>
      </c>
      <c r="J362" s="5" t="s">
        <v>484</v>
      </c>
    </row>
    <row r="363" spans="1:10" x14ac:dyDescent="0.15">
      <c r="A363" s="5" t="s">
        <v>48</v>
      </c>
      <c r="B363" s="5" t="s">
        <v>68</v>
      </c>
      <c r="C363" s="5" t="s">
        <v>35</v>
      </c>
      <c r="D363" s="5" t="s">
        <v>36</v>
      </c>
      <c r="E363" s="9">
        <v>43622</v>
      </c>
      <c r="F363" s="6">
        <v>585</v>
      </c>
      <c r="G363" s="5" t="s">
        <v>15</v>
      </c>
      <c r="H363" s="6">
        <f>SUMIFS(InventTrans!F:F,InventTrans!B:B,AtlasReport_3_Table_1[[#This Row],[Lot ID]],InventTrans!C:C,AtlasReport_3_Table_1[[#This Row],[Ship date]])</f>
        <v>585</v>
      </c>
      <c r="I363" s="5" t="s">
        <v>15</v>
      </c>
      <c r="J363" s="5" t="s">
        <v>485</v>
      </c>
    </row>
    <row r="364" spans="1:10" x14ac:dyDescent="0.15">
      <c r="A364" s="5" t="s">
        <v>48</v>
      </c>
      <c r="B364" s="5" t="s">
        <v>486</v>
      </c>
      <c r="C364" s="5" t="s">
        <v>37</v>
      </c>
      <c r="D364" s="5" t="s">
        <v>38</v>
      </c>
      <c r="E364" s="9">
        <v>43626</v>
      </c>
      <c r="F364" s="6">
        <v>877.5</v>
      </c>
      <c r="G364" s="5" t="s">
        <v>15</v>
      </c>
      <c r="H364" s="6">
        <f>SUMIFS(InventTrans!F:F,InventTrans!B:B,AtlasReport_3_Table_1[[#This Row],[Lot ID]],InventTrans!C:C,AtlasReport_3_Table_1[[#This Row],[Ship date]])</f>
        <v>877.5</v>
      </c>
      <c r="I364" s="5" t="s">
        <v>15</v>
      </c>
      <c r="J364" s="5" t="s">
        <v>487</v>
      </c>
    </row>
    <row r="365" spans="1:10" x14ac:dyDescent="0.15">
      <c r="A365" s="5" t="s">
        <v>48</v>
      </c>
      <c r="B365" s="5" t="s">
        <v>488</v>
      </c>
      <c r="C365" s="5" t="s">
        <v>43</v>
      </c>
      <c r="D365" s="5" t="s">
        <v>38</v>
      </c>
      <c r="E365" s="9">
        <v>43626</v>
      </c>
      <c r="F365" s="6">
        <v>776</v>
      </c>
      <c r="G365" s="5" t="s">
        <v>15</v>
      </c>
      <c r="H365" s="6">
        <f>SUMIFS(InventTrans!F:F,InventTrans!B:B,AtlasReport_3_Table_1[[#This Row],[Lot ID]],InventTrans!C:C,AtlasReport_3_Table_1[[#This Row],[Ship date]])</f>
        <v>776</v>
      </c>
      <c r="I365" s="5" t="s">
        <v>15</v>
      </c>
      <c r="J365" s="5" t="s">
        <v>489</v>
      </c>
    </row>
    <row r="366" spans="1:10" x14ac:dyDescent="0.15">
      <c r="A366" s="5" t="s">
        <v>48</v>
      </c>
      <c r="B366" s="5" t="s">
        <v>488</v>
      </c>
      <c r="C366" s="5" t="s">
        <v>37</v>
      </c>
      <c r="D366" s="5" t="s">
        <v>38</v>
      </c>
      <c r="E366" s="9">
        <v>43626</v>
      </c>
      <c r="F366" s="6">
        <v>2535</v>
      </c>
      <c r="G366" s="5" t="s">
        <v>15</v>
      </c>
      <c r="H366" s="6">
        <f>SUMIFS(InventTrans!F:F,InventTrans!B:B,AtlasReport_3_Table_1[[#This Row],[Lot ID]],InventTrans!C:C,AtlasReport_3_Table_1[[#This Row],[Ship date]])</f>
        <v>2535</v>
      </c>
      <c r="I366" s="5" t="s">
        <v>15</v>
      </c>
      <c r="J366" s="5" t="s">
        <v>490</v>
      </c>
    </row>
    <row r="367" spans="1:10" x14ac:dyDescent="0.15">
      <c r="A367" s="5" t="s">
        <v>48</v>
      </c>
      <c r="B367" s="5" t="s">
        <v>491</v>
      </c>
      <c r="C367" s="5" t="s">
        <v>37</v>
      </c>
      <c r="D367" s="5" t="s">
        <v>38</v>
      </c>
      <c r="E367" s="9">
        <v>43626</v>
      </c>
      <c r="F367" s="6">
        <v>19207.5</v>
      </c>
      <c r="G367" s="5" t="s">
        <v>15</v>
      </c>
      <c r="H367" s="6">
        <f>SUMIFS(InventTrans!F:F,InventTrans!B:B,AtlasReport_3_Table_1[[#This Row],[Lot ID]],InventTrans!C:C,AtlasReport_3_Table_1[[#This Row],[Ship date]])</f>
        <v>19207.5</v>
      </c>
      <c r="I367" s="5" t="s">
        <v>15</v>
      </c>
      <c r="J367" s="5" t="s">
        <v>492</v>
      </c>
    </row>
    <row r="368" spans="1:10" x14ac:dyDescent="0.15">
      <c r="A368" s="5" t="s">
        <v>48</v>
      </c>
      <c r="B368" s="5" t="s">
        <v>493</v>
      </c>
      <c r="C368" s="5" t="s">
        <v>42</v>
      </c>
      <c r="D368" s="5" t="s">
        <v>38</v>
      </c>
      <c r="E368" s="9">
        <v>43627</v>
      </c>
      <c r="F368" s="6">
        <v>900</v>
      </c>
      <c r="G368" s="5" t="s">
        <v>15</v>
      </c>
      <c r="H368" s="6">
        <f>SUMIFS(InventTrans!F:F,InventTrans!B:B,AtlasReport_3_Table_1[[#This Row],[Lot ID]],InventTrans!C:C,AtlasReport_3_Table_1[[#This Row],[Ship date]])</f>
        <v>900</v>
      </c>
      <c r="I368" s="5" t="s">
        <v>15</v>
      </c>
      <c r="J368" s="5" t="s">
        <v>494</v>
      </c>
    </row>
    <row r="369" spans="1:10" x14ac:dyDescent="0.15">
      <c r="A369" s="5" t="s">
        <v>48</v>
      </c>
      <c r="B369" s="5" t="s">
        <v>493</v>
      </c>
      <c r="C369" s="5" t="s">
        <v>37</v>
      </c>
      <c r="D369" s="5" t="s">
        <v>38</v>
      </c>
      <c r="E369" s="9">
        <v>43627</v>
      </c>
      <c r="F369" s="6">
        <v>585</v>
      </c>
      <c r="G369" s="5" t="s">
        <v>15</v>
      </c>
      <c r="H369" s="6">
        <f>SUMIFS(InventTrans!F:F,InventTrans!B:B,AtlasReport_3_Table_1[[#This Row],[Lot ID]],InventTrans!C:C,AtlasReport_3_Table_1[[#This Row],[Ship date]])</f>
        <v>585</v>
      </c>
      <c r="I369" s="5" t="s">
        <v>15</v>
      </c>
      <c r="J369" s="5" t="s">
        <v>495</v>
      </c>
    </row>
    <row r="370" spans="1:10" x14ac:dyDescent="0.15">
      <c r="A370" s="5" t="s">
        <v>48</v>
      </c>
      <c r="B370" s="5" t="s">
        <v>496</v>
      </c>
      <c r="C370" s="5" t="s">
        <v>43</v>
      </c>
      <c r="D370" s="5" t="s">
        <v>38</v>
      </c>
      <c r="E370" s="9">
        <v>43627</v>
      </c>
      <c r="F370" s="6">
        <v>388</v>
      </c>
      <c r="G370" s="5" t="s">
        <v>15</v>
      </c>
      <c r="H370" s="6">
        <f>SUMIFS(InventTrans!F:F,InventTrans!B:B,AtlasReport_3_Table_1[[#This Row],[Lot ID]],InventTrans!C:C,AtlasReport_3_Table_1[[#This Row],[Ship date]])</f>
        <v>388</v>
      </c>
      <c r="I370" s="5" t="s">
        <v>15</v>
      </c>
      <c r="J370" s="5" t="s">
        <v>497</v>
      </c>
    </row>
    <row r="371" spans="1:10" x14ac:dyDescent="0.15">
      <c r="A371" s="5" t="s">
        <v>48</v>
      </c>
      <c r="B371" s="5" t="s">
        <v>498</v>
      </c>
      <c r="C371" s="5" t="s">
        <v>35</v>
      </c>
      <c r="D371" s="5" t="s">
        <v>36</v>
      </c>
      <c r="E371" s="9">
        <v>43628</v>
      </c>
      <c r="F371" s="6">
        <v>975</v>
      </c>
      <c r="G371" s="5" t="s">
        <v>15</v>
      </c>
      <c r="H371" s="6">
        <f>SUMIFS(InventTrans!F:F,InventTrans!B:B,AtlasReport_3_Table_1[[#This Row],[Lot ID]],InventTrans!C:C,AtlasReport_3_Table_1[[#This Row],[Ship date]])</f>
        <v>975</v>
      </c>
      <c r="I371" s="5" t="s">
        <v>15</v>
      </c>
      <c r="J371" s="5" t="s">
        <v>499</v>
      </c>
    </row>
    <row r="372" spans="1:10" x14ac:dyDescent="0.15">
      <c r="A372" s="5" t="s">
        <v>48</v>
      </c>
      <c r="B372" s="5" t="s">
        <v>500</v>
      </c>
      <c r="C372" s="5" t="s">
        <v>35</v>
      </c>
      <c r="D372" s="5" t="s">
        <v>36</v>
      </c>
      <c r="E372" s="9">
        <v>43627</v>
      </c>
      <c r="F372" s="6">
        <v>13260</v>
      </c>
      <c r="G372" s="5" t="s">
        <v>15</v>
      </c>
      <c r="H372" s="6">
        <f>SUMIFS(InventTrans!F:F,InventTrans!B:B,AtlasReport_3_Table_1[[#This Row],[Lot ID]],InventTrans!C:C,AtlasReport_3_Table_1[[#This Row],[Ship date]])</f>
        <v>13260</v>
      </c>
      <c r="I372" s="5" t="s">
        <v>15</v>
      </c>
      <c r="J372" s="5" t="s">
        <v>501</v>
      </c>
    </row>
    <row r="373" spans="1:10" x14ac:dyDescent="0.15">
      <c r="A373" s="5" t="s">
        <v>48</v>
      </c>
      <c r="B373" s="5" t="s">
        <v>502</v>
      </c>
      <c r="C373" s="5" t="s">
        <v>37</v>
      </c>
      <c r="D373" s="5" t="s">
        <v>38</v>
      </c>
      <c r="E373" s="9">
        <v>43628</v>
      </c>
      <c r="F373" s="6">
        <v>9750</v>
      </c>
      <c r="G373" s="5" t="s">
        <v>15</v>
      </c>
      <c r="H373" s="6">
        <f>SUMIFS(InventTrans!F:F,InventTrans!B:B,AtlasReport_3_Table_1[[#This Row],[Lot ID]],InventTrans!C:C,AtlasReport_3_Table_1[[#This Row],[Ship date]])</f>
        <v>9750</v>
      </c>
      <c r="I373" s="5" t="s">
        <v>15</v>
      </c>
      <c r="J373" s="5" t="s">
        <v>503</v>
      </c>
    </row>
    <row r="374" spans="1:10" x14ac:dyDescent="0.15">
      <c r="A374" s="5" t="s">
        <v>48</v>
      </c>
      <c r="B374" s="5" t="s">
        <v>69</v>
      </c>
      <c r="C374" s="5" t="s">
        <v>43</v>
      </c>
      <c r="D374" s="5" t="s">
        <v>38</v>
      </c>
      <c r="E374" s="9">
        <v>43629</v>
      </c>
      <c r="F374" s="6">
        <v>2522</v>
      </c>
      <c r="G374" s="5" t="s">
        <v>15</v>
      </c>
      <c r="H374" s="6">
        <f>SUMIFS(InventTrans!F:F,InventTrans!B:B,AtlasReport_3_Table_1[[#This Row],[Lot ID]],InventTrans!C:C,AtlasReport_3_Table_1[[#This Row],[Ship date]])</f>
        <v>2522</v>
      </c>
      <c r="I374" s="5" t="s">
        <v>15</v>
      </c>
      <c r="J374" s="5" t="s">
        <v>504</v>
      </c>
    </row>
    <row r="375" spans="1:10" x14ac:dyDescent="0.15">
      <c r="A375" s="5" t="s">
        <v>48</v>
      </c>
      <c r="B375" s="5" t="s">
        <v>69</v>
      </c>
      <c r="C375" s="5" t="s">
        <v>37</v>
      </c>
      <c r="D375" s="5" t="s">
        <v>38</v>
      </c>
      <c r="E375" s="9">
        <v>43629</v>
      </c>
      <c r="F375" s="6">
        <v>15210</v>
      </c>
      <c r="G375" s="5" t="s">
        <v>15</v>
      </c>
      <c r="H375" s="6">
        <f>SUMIFS(InventTrans!F:F,InventTrans!B:B,AtlasReport_3_Table_1[[#This Row],[Lot ID]],InventTrans!C:C,AtlasReport_3_Table_1[[#This Row],[Ship date]])</f>
        <v>15210</v>
      </c>
      <c r="I375" s="5" t="s">
        <v>15</v>
      </c>
      <c r="J375" s="5" t="s">
        <v>505</v>
      </c>
    </row>
    <row r="376" spans="1:10" x14ac:dyDescent="0.15">
      <c r="A376" s="5" t="s">
        <v>48</v>
      </c>
      <c r="B376" s="5" t="s">
        <v>506</v>
      </c>
      <c r="C376" s="5" t="s">
        <v>37</v>
      </c>
      <c r="D376" s="5" t="s">
        <v>38</v>
      </c>
      <c r="E376" s="9">
        <v>43630</v>
      </c>
      <c r="F376" s="6">
        <v>3900</v>
      </c>
      <c r="G376" s="5" t="s">
        <v>15</v>
      </c>
      <c r="H376" s="6">
        <f>SUMIFS(InventTrans!F:F,InventTrans!B:B,AtlasReport_3_Table_1[[#This Row],[Lot ID]],InventTrans!C:C,AtlasReport_3_Table_1[[#This Row],[Ship date]])</f>
        <v>3900</v>
      </c>
      <c r="I376" s="5" t="s">
        <v>15</v>
      </c>
      <c r="J376" s="5" t="s">
        <v>507</v>
      </c>
    </row>
    <row r="377" spans="1:10" x14ac:dyDescent="0.15">
      <c r="A377" s="5" t="s">
        <v>48</v>
      </c>
      <c r="B377" s="5" t="s">
        <v>508</v>
      </c>
      <c r="C377" s="5" t="s">
        <v>37</v>
      </c>
      <c r="D377" s="5" t="s">
        <v>38</v>
      </c>
      <c r="E377" s="9">
        <v>43630</v>
      </c>
      <c r="F377" s="6">
        <v>1950</v>
      </c>
      <c r="G377" s="5" t="s">
        <v>15</v>
      </c>
      <c r="H377" s="6">
        <f>SUMIFS(InventTrans!F:F,InventTrans!B:B,AtlasReport_3_Table_1[[#This Row],[Lot ID]],InventTrans!C:C,AtlasReport_3_Table_1[[#This Row],[Ship date]])</f>
        <v>1950</v>
      </c>
      <c r="I377" s="5" t="s">
        <v>15</v>
      </c>
      <c r="J377" s="5" t="s">
        <v>509</v>
      </c>
    </row>
    <row r="378" spans="1:10" ht="27" x14ac:dyDescent="0.15">
      <c r="A378" s="5" t="s">
        <v>48</v>
      </c>
      <c r="B378" s="5" t="s">
        <v>508</v>
      </c>
      <c r="C378" s="5" t="s">
        <v>49</v>
      </c>
      <c r="D378" s="7" t="s">
        <v>50</v>
      </c>
      <c r="E378" s="9">
        <v>43630</v>
      </c>
      <c r="F378" s="6">
        <v>1500</v>
      </c>
      <c r="G378" s="5" t="s">
        <v>15</v>
      </c>
      <c r="H378" s="6">
        <f>SUMIFS(InventTrans!F:F,InventTrans!B:B,AtlasReport_3_Table_1[[#This Row],[Lot ID]],InventTrans!C:C,AtlasReport_3_Table_1[[#This Row],[Ship date]])</f>
        <v>1500</v>
      </c>
      <c r="I378" s="5" t="s">
        <v>15</v>
      </c>
      <c r="J378" s="5" t="s">
        <v>510</v>
      </c>
    </row>
    <row r="379" spans="1:10" x14ac:dyDescent="0.15">
      <c r="A379" s="5" t="s">
        <v>48</v>
      </c>
      <c r="B379" s="5" t="s">
        <v>511</v>
      </c>
      <c r="C379" s="5" t="s">
        <v>35</v>
      </c>
      <c r="D379" s="5" t="s">
        <v>36</v>
      </c>
      <c r="E379" s="9">
        <v>43630</v>
      </c>
      <c r="F379" s="6">
        <v>2535</v>
      </c>
      <c r="G379" s="5" t="s">
        <v>15</v>
      </c>
      <c r="H379" s="6">
        <f>SUMIFS(InventTrans!F:F,InventTrans!B:B,AtlasReport_3_Table_1[[#This Row],[Lot ID]],InventTrans!C:C,AtlasReport_3_Table_1[[#This Row],[Ship date]])</f>
        <v>2535</v>
      </c>
      <c r="I379" s="5" t="s">
        <v>15</v>
      </c>
      <c r="J379" s="5" t="s">
        <v>512</v>
      </c>
    </row>
    <row r="380" spans="1:10" x14ac:dyDescent="0.15">
      <c r="A380" s="5" t="s">
        <v>48</v>
      </c>
      <c r="B380" s="5" t="s">
        <v>511</v>
      </c>
      <c r="C380" s="5" t="s">
        <v>51</v>
      </c>
      <c r="D380" s="5" t="s">
        <v>52</v>
      </c>
      <c r="E380" s="9">
        <v>43630</v>
      </c>
      <c r="F380" s="6">
        <v>7800</v>
      </c>
      <c r="G380" s="5" t="s">
        <v>15</v>
      </c>
      <c r="H380" s="6">
        <f>SUMIFS(InventTrans!F:F,InventTrans!B:B,AtlasReport_3_Table_1[[#This Row],[Lot ID]],InventTrans!C:C,AtlasReport_3_Table_1[[#This Row],[Ship date]])</f>
        <v>7800</v>
      </c>
      <c r="I380" s="5" t="s">
        <v>15</v>
      </c>
      <c r="J380" s="5" t="s">
        <v>513</v>
      </c>
    </row>
    <row r="381" spans="1:10" x14ac:dyDescent="0.15">
      <c r="A381" s="5" t="s">
        <v>48</v>
      </c>
      <c r="B381" s="5" t="s">
        <v>514</v>
      </c>
      <c r="C381" s="5" t="s">
        <v>37</v>
      </c>
      <c r="D381" s="5" t="s">
        <v>38</v>
      </c>
      <c r="E381" s="9">
        <v>43633</v>
      </c>
      <c r="F381" s="6">
        <v>877.5</v>
      </c>
      <c r="G381" s="5" t="s">
        <v>15</v>
      </c>
      <c r="H381" s="6">
        <f>SUMIFS(InventTrans!F:F,InventTrans!B:B,AtlasReport_3_Table_1[[#This Row],[Lot ID]],InventTrans!C:C,AtlasReport_3_Table_1[[#This Row],[Ship date]])</f>
        <v>877.5</v>
      </c>
      <c r="I381" s="5" t="s">
        <v>15</v>
      </c>
      <c r="J381" s="5" t="s">
        <v>515</v>
      </c>
    </row>
    <row r="382" spans="1:10" x14ac:dyDescent="0.15">
      <c r="A382" s="5" t="s">
        <v>48</v>
      </c>
      <c r="B382" s="5" t="s">
        <v>516</v>
      </c>
      <c r="C382" s="5" t="s">
        <v>35</v>
      </c>
      <c r="D382" s="5" t="s">
        <v>36</v>
      </c>
      <c r="E382" s="9">
        <v>43634</v>
      </c>
      <c r="F382" s="6">
        <v>97.5</v>
      </c>
      <c r="G382" s="5" t="s">
        <v>15</v>
      </c>
      <c r="H382" s="6">
        <f>SUMIFS(InventTrans!F:F,InventTrans!B:B,AtlasReport_3_Table_1[[#This Row],[Lot ID]],InventTrans!C:C,AtlasReport_3_Table_1[[#This Row],[Ship date]])</f>
        <v>97.5</v>
      </c>
      <c r="I382" s="5" t="s">
        <v>15</v>
      </c>
      <c r="J382" s="5" t="s">
        <v>517</v>
      </c>
    </row>
    <row r="383" spans="1:10" x14ac:dyDescent="0.15">
      <c r="A383" s="5" t="s">
        <v>48</v>
      </c>
      <c r="B383" s="5" t="s">
        <v>518</v>
      </c>
      <c r="C383" s="5" t="s">
        <v>37</v>
      </c>
      <c r="D383" s="5" t="s">
        <v>38</v>
      </c>
      <c r="E383" s="9">
        <v>43640</v>
      </c>
      <c r="F383" s="6">
        <v>3900</v>
      </c>
      <c r="G383" s="5" t="s">
        <v>15</v>
      </c>
      <c r="H383" s="6">
        <f>SUMIFS(InventTrans!F:F,InventTrans!B:B,AtlasReport_3_Table_1[[#This Row],[Lot ID]],InventTrans!C:C,AtlasReport_3_Table_1[[#This Row],[Ship date]])</f>
        <v>3900</v>
      </c>
      <c r="I383" s="5" t="s">
        <v>15</v>
      </c>
      <c r="J383" s="5" t="s">
        <v>519</v>
      </c>
    </row>
    <row r="384" spans="1:10" x14ac:dyDescent="0.15">
      <c r="A384" s="5" t="s">
        <v>48</v>
      </c>
      <c r="B384" s="5" t="s">
        <v>70</v>
      </c>
      <c r="C384" s="5" t="s">
        <v>43</v>
      </c>
      <c r="D384" s="5" t="s">
        <v>38</v>
      </c>
      <c r="E384" s="9">
        <v>43640</v>
      </c>
      <c r="F384" s="6">
        <v>7808.5</v>
      </c>
      <c r="G384" s="5" t="s">
        <v>15</v>
      </c>
      <c r="H384" s="6">
        <f>SUMIFS(InventTrans!F:F,InventTrans!B:B,AtlasReport_3_Table_1[[#This Row],[Lot ID]],InventTrans!C:C,AtlasReport_3_Table_1[[#This Row],[Ship date]])</f>
        <v>7808.5</v>
      </c>
      <c r="I384" s="5" t="s">
        <v>15</v>
      </c>
      <c r="J384" s="5" t="s">
        <v>520</v>
      </c>
    </row>
    <row r="385" spans="1:10" x14ac:dyDescent="0.15">
      <c r="A385" s="5" t="s">
        <v>48</v>
      </c>
      <c r="B385" s="5" t="s">
        <v>70</v>
      </c>
      <c r="C385" s="5" t="s">
        <v>37</v>
      </c>
      <c r="D385" s="5" t="s">
        <v>38</v>
      </c>
      <c r="E385" s="9">
        <v>43640</v>
      </c>
      <c r="F385" s="6">
        <v>12285</v>
      </c>
      <c r="G385" s="5" t="s">
        <v>15</v>
      </c>
      <c r="H385" s="6">
        <f>SUMIFS(InventTrans!F:F,InventTrans!B:B,AtlasReport_3_Table_1[[#This Row],[Lot ID]],InventTrans!C:C,AtlasReport_3_Table_1[[#This Row],[Ship date]])</f>
        <v>12285</v>
      </c>
      <c r="I385" s="5" t="s">
        <v>15</v>
      </c>
      <c r="J385" s="5" t="s">
        <v>521</v>
      </c>
    </row>
    <row r="386" spans="1:10" x14ac:dyDescent="0.15">
      <c r="A386" s="5" t="s">
        <v>48</v>
      </c>
      <c r="B386" s="5" t="s">
        <v>522</v>
      </c>
      <c r="C386" s="5" t="s">
        <v>37</v>
      </c>
      <c r="D386" s="5" t="s">
        <v>38</v>
      </c>
      <c r="E386" s="9">
        <v>43640</v>
      </c>
      <c r="F386" s="6">
        <v>9750</v>
      </c>
      <c r="G386" s="5" t="s">
        <v>15</v>
      </c>
      <c r="H386" s="6">
        <f>SUMIFS(InventTrans!F:F,InventTrans!B:B,AtlasReport_3_Table_1[[#This Row],[Lot ID]],InventTrans!C:C,AtlasReport_3_Table_1[[#This Row],[Ship date]])</f>
        <v>9750</v>
      </c>
      <c r="I386" s="5" t="s">
        <v>15</v>
      </c>
      <c r="J386" s="5" t="s">
        <v>523</v>
      </c>
    </row>
    <row r="387" spans="1:10" x14ac:dyDescent="0.15">
      <c r="A387" s="5" t="s">
        <v>48</v>
      </c>
      <c r="B387" s="5" t="s">
        <v>524</v>
      </c>
      <c r="C387" s="5" t="s">
        <v>37</v>
      </c>
      <c r="D387" s="5" t="s">
        <v>38</v>
      </c>
      <c r="E387" s="9">
        <v>43640</v>
      </c>
      <c r="F387" s="6">
        <v>-19305</v>
      </c>
      <c r="G387" s="5" t="s">
        <v>15</v>
      </c>
      <c r="H387" s="6">
        <f>SUMIFS(InventTrans!F:F,InventTrans!B:B,AtlasReport_3_Table_1[[#This Row],[Lot ID]],InventTrans!C:C,AtlasReport_3_Table_1[[#This Row],[Ship date]])</f>
        <v>-19305</v>
      </c>
      <c r="I387" s="5" t="s">
        <v>15</v>
      </c>
      <c r="J387" s="5" t="s">
        <v>1530</v>
      </c>
    </row>
    <row r="388" spans="1:10" x14ac:dyDescent="0.15">
      <c r="A388" s="5" t="s">
        <v>48</v>
      </c>
      <c r="B388" s="5" t="s">
        <v>524</v>
      </c>
      <c r="C388" s="5" t="s">
        <v>43</v>
      </c>
      <c r="D388" s="5" t="s">
        <v>38</v>
      </c>
      <c r="E388" s="9">
        <v>43640</v>
      </c>
      <c r="F388" s="6">
        <v>-4268</v>
      </c>
      <c r="G388" s="5" t="s">
        <v>15</v>
      </c>
      <c r="H388" s="6">
        <f>SUMIFS(InventTrans!F:F,InventTrans!B:B,AtlasReport_3_Table_1[[#This Row],[Lot ID]],InventTrans!C:C,AtlasReport_3_Table_1[[#This Row],[Ship date]])</f>
        <v>-4268</v>
      </c>
      <c r="I388" s="5" t="s">
        <v>15</v>
      </c>
      <c r="J388" s="5" t="s">
        <v>1531</v>
      </c>
    </row>
    <row r="389" spans="1:10" x14ac:dyDescent="0.15">
      <c r="A389" s="5" t="s">
        <v>48</v>
      </c>
      <c r="B389" s="5" t="s">
        <v>524</v>
      </c>
      <c r="C389" s="5" t="s">
        <v>57</v>
      </c>
      <c r="D389" s="5" t="s">
        <v>54</v>
      </c>
      <c r="E389" s="9">
        <v>43640</v>
      </c>
      <c r="F389" s="6">
        <v>-2134</v>
      </c>
      <c r="G389" s="5" t="s">
        <v>15</v>
      </c>
      <c r="H389" s="6">
        <f>SUMIFS(InventTrans!F:F,InventTrans!B:B,AtlasReport_3_Table_1[[#This Row],[Lot ID]],InventTrans!C:C,AtlasReport_3_Table_1[[#This Row],[Ship date]])</f>
        <v>-2134</v>
      </c>
      <c r="I389" s="5" t="s">
        <v>15</v>
      </c>
      <c r="J389" s="5" t="s">
        <v>1532</v>
      </c>
    </row>
    <row r="390" spans="1:10" x14ac:dyDescent="0.15">
      <c r="A390" s="5" t="s">
        <v>48</v>
      </c>
      <c r="B390" s="5" t="s">
        <v>524</v>
      </c>
      <c r="C390" s="5" t="s">
        <v>41</v>
      </c>
      <c r="D390" s="5" t="s">
        <v>36</v>
      </c>
      <c r="E390" s="9">
        <v>43640</v>
      </c>
      <c r="F390" s="6">
        <v>-2134</v>
      </c>
      <c r="G390" s="5" t="s">
        <v>15</v>
      </c>
      <c r="H390" s="6">
        <f>SUMIFS(InventTrans!F:F,InventTrans!B:B,AtlasReport_3_Table_1[[#This Row],[Lot ID]],InventTrans!C:C,AtlasReport_3_Table_1[[#This Row],[Ship date]])</f>
        <v>-2134</v>
      </c>
      <c r="I390" s="5" t="s">
        <v>15</v>
      </c>
      <c r="J390" s="5" t="s">
        <v>1533</v>
      </c>
    </row>
    <row r="391" spans="1:10" x14ac:dyDescent="0.15">
      <c r="A391" s="5" t="s">
        <v>48</v>
      </c>
      <c r="B391" s="5" t="s">
        <v>525</v>
      </c>
      <c r="C391" s="5" t="s">
        <v>37</v>
      </c>
      <c r="D391" s="5" t="s">
        <v>38</v>
      </c>
      <c r="E391" s="9">
        <v>43640</v>
      </c>
      <c r="F391" s="6">
        <v>4680</v>
      </c>
      <c r="G391" s="5" t="s">
        <v>15</v>
      </c>
      <c r="H391" s="6">
        <f>SUMIFS(InventTrans!F:F,InventTrans!B:B,AtlasReport_3_Table_1[[#This Row],[Lot ID]],InventTrans!C:C,AtlasReport_3_Table_1[[#This Row],[Ship date]])</f>
        <v>4680</v>
      </c>
      <c r="I391" s="5" t="s">
        <v>15</v>
      </c>
      <c r="J391" s="5" t="s">
        <v>526</v>
      </c>
    </row>
    <row r="392" spans="1:10" x14ac:dyDescent="0.15">
      <c r="A392" s="5" t="s">
        <v>48</v>
      </c>
      <c r="B392" s="5" t="s">
        <v>527</v>
      </c>
      <c r="C392" s="5" t="s">
        <v>35</v>
      </c>
      <c r="D392" s="5" t="s">
        <v>36</v>
      </c>
      <c r="E392" s="9">
        <v>43640</v>
      </c>
      <c r="F392" s="6">
        <v>585</v>
      </c>
      <c r="G392" s="5" t="s">
        <v>15</v>
      </c>
      <c r="H392" s="6">
        <f>SUMIFS(InventTrans!F:F,InventTrans!B:B,AtlasReport_3_Table_1[[#This Row],[Lot ID]],InventTrans!C:C,AtlasReport_3_Table_1[[#This Row],[Ship date]])</f>
        <v>585</v>
      </c>
      <c r="I392" s="5" t="s">
        <v>15</v>
      </c>
      <c r="J392" s="5" t="s">
        <v>528</v>
      </c>
    </row>
    <row r="393" spans="1:10" x14ac:dyDescent="0.15">
      <c r="A393" s="5" t="s">
        <v>48</v>
      </c>
      <c r="B393" s="5" t="s">
        <v>529</v>
      </c>
      <c r="C393" s="5" t="s">
        <v>37</v>
      </c>
      <c r="D393" s="5" t="s">
        <v>38</v>
      </c>
      <c r="E393" s="9">
        <v>43641</v>
      </c>
      <c r="F393" s="6">
        <v>6240</v>
      </c>
      <c r="G393" s="5" t="s">
        <v>15</v>
      </c>
      <c r="H393" s="6">
        <f>SUMIFS(InventTrans!F:F,InventTrans!B:B,AtlasReport_3_Table_1[[#This Row],[Lot ID]],InventTrans!C:C,AtlasReport_3_Table_1[[#This Row],[Ship date]])</f>
        <v>6240</v>
      </c>
      <c r="I393" s="5" t="s">
        <v>15</v>
      </c>
      <c r="J393" s="5" t="s">
        <v>530</v>
      </c>
    </row>
    <row r="394" spans="1:10" x14ac:dyDescent="0.15">
      <c r="A394" s="5" t="s">
        <v>48</v>
      </c>
      <c r="B394" s="5" t="s">
        <v>531</v>
      </c>
      <c r="C394" s="5" t="s">
        <v>51</v>
      </c>
      <c r="D394" s="5" t="s">
        <v>52</v>
      </c>
      <c r="E394" s="9">
        <v>43643</v>
      </c>
      <c r="F394" s="6">
        <v>15600</v>
      </c>
      <c r="G394" s="5" t="s">
        <v>15</v>
      </c>
      <c r="H394" s="6">
        <f>SUMIFS(InventTrans!F:F,InventTrans!B:B,AtlasReport_3_Table_1[[#This Row],[Lot ID]],InventTrans!C:C,AtlasReport_3_Table_1[[#This Row],[Ship date]])</f>
        <v>15600</v>
      </c>
      <c r="I394" s="5" t="s">
        <v>15</v>
      </c>
      <c r="J394" s="5" t="s">
        <v>532</v>
      </c>
    </row>
    <row r="395" spans="1:10" x14ac:dyDescent="0.15">
      <c r="A395" s="5" t="s">
        <v>48</v>
      </c>
      <c r="B395" s="5" t="s">
        <v>531</v>
      </c>
      <c r="C395" s="5" t="s">
        <v>53</v>
      </c>
      <c r="D395" s="5" t="s">
        <v>54</v>
      </c>
      <c r="E395" s="9">
        <v>43643</v>
      </c>
      <c r="F395" s="6">
        <v>3900</v>
      </c>
      <c r="G395" s="5" t="s">
        <v>15</v>
      </c>
      <c r="H395" s="6">
        <f>SUMIFS(InventTrans!F:F,InventTrans!B:B,AtlasReport_3_Table_1[[#This Row],[Lot ID]],InventTrans!C:C,AtlasReport_3_Table_1[[#This Row],[Ship date]])</f>
        <v>3900</v>
      </c>
      <c r="I395" s="5" t="s">
        <v>15</v>
      </c>
      <c r="J395" s="5" t="s">
        <v>533</v>
      </c>
    </row>
    <row r="396" spans="1:10" x14ac:dyDescent="0.15">
      <c r="A396" s="5" t="s">
        <v>48</v>
      </c>
      <c r="B396" s="5" t="s">
        <v>531</v>
      </c>
      <c r="C396" s="5" t="s">
        <v>51</v>
      </c>
      <c r="D396" s="5" t="s">
        <v>52</v>
      </c>
      <c r="E396" s="9">
        <v>43643</v>
      </c>
      <c r="F396" s="6">
        <v>1950</v>
      </c>
      <c r="G396" s="5" t="s">
        <v>15</v>
      </c>
      <c r="H396" s="6">
        <f>SUMIFS(InventTrans!F:F,InventTrans!B:B,AtlasReport_3_Table_1[[#This Row],[Lot ID]],InventTrans!C:C,AtlasReport_3_Table_1[[#This Row],[Ship date]])</f>
        <v>1950</v>
      </c>
      <c r="I396" s="5" t="s">
        <v>15</v>
      </c>
      <c r="J396" s="5" t="s">
        <v>534</v>
      </c>
    </row>
    <row r="397" spans="1:10" x14ac:dyDescent="0.15">
      <c r="A397" s="5" t="s">
        <v>48</v>
      </c>
      <c r="B397" s="5" t="s">
        <v>535</v>
      </c>
      <c r="C397" s="5" t="s">
        <v>35</v>
      </c>
      <c r="D397" s="5" t="s">
        <v>36</v>
      </c>
      <c r="E397" s="9">
        <v>43647</v>
      </c>
      <c r="F397" s="6">
        <v>3607.5</v>
      </c>
      <c r="G397" s="5" t="s">
        <v>15</v>
      </c>
      <c r="H397" s="6">
        <f>SUMIFS(InventTrans!F:F,InventTrans!B:B,AtlasReport_3_Table_1[[#This Row],[Lot ID]],InventTrans!C:C,AtlasReport_3_Table_1[[#This Row],[Ship date]])</f>
        <v>3607.5</v>
      </c>
      <c r="I397" s="5" t="s">
        <v>15</v>
      </c>
      <c r="J397" s="5" t="s">
        <v>536</v>
      </c>
    </row>
    <row r="398" spans="1:10" x14ac:dyDescent="0.15">
      <c r="A398" s="5" t="s">
        <v>48</v>
      </c>
      <c r="B398" s="5" t="s">
        <v>537</v>
      </c>
      <c r="C398" s="5" t="s">
        <v>37</v>
      </c>
      <c r="D398" s="5" t="s">
        <v>38</v>
      </c>
      <c r="E398" s="9">
        <v>43662</v>
      </c>
      <c r="F398" s="6">
        <v>3900</v>
      </c>
      <c r="G398" s="5" t="s">
        <v>15</v>
      </c>
      <c r="H398" s="6">
        <f>SUMIFS(InventTrans!F:F,InventTrans!B:B,AtlasReport_3_Table_1[[#This Row],[Lot ID]],InventTrans!C:C,AtlasReport_3_Table_1[[#This Row],[Ship date]])</f>
        <v>3900</v>
      </c>
      <c r="I398" s="5" t="s">
        <v>15</v>
      </c>
      <c r="J398" s="5" t="s">
        <v>538</v>
      </c>
    </row>
    <row r="399" spans="1:10" x14ac:dyDescent="0.15">
      <c r="A399" s="5" t="s">
        <v>48</v>
      </c>
      <c r="B399" s="5" t="s">
        <v>71</v>
      </c>
      <c r="C399" s="5" t="s">
        <v>42</v>
      </c>
      <c r="D399" s="5" t="s">
        <v>38</v>
      </c>
      <c r="E399" s="9">
        <v>43647</v>
      </c>
      <c r="F399" s="6">
        <v>1350</v>
      </c>
      <c r="G399" s="5" t="s">
        <v>15</v>
      </c>
      <c r="H399" s="6">
        <f>SUMIFS(InventTrans!F:F,InventTrans!B:B,AtlasReport_3_Table_1[[#This Row],[Lot ID]],InventTrans!C:C,AtlasReport_3_Table_1[[#This Row],[Ship date]])</f>
        <v>1350</v>
      </c>
      <c r="I399" s="5" t="s">
        <v>15</v>
      </c>
      <c r="J399" s="5" t="s">
        <v>539</v>
      </c>
    </row>
    <row r="400" spans="1:10" x14ac:dyDescent="0.15">
      <c r="A400" s="5" t="s">
        <v>48</v>
      </c>
      <c r="B400" s="5" t="s">
        <v>71</v>
      </c>
      <c r="C400" s="5" t="s">
        <v>37</v>
      </c>
      <c r="D400" s="5" t="s">
        <v>38</v>
      </c>
      <c r="E400" s="9">
        <v>43647</v>
      </c>
      <c r="F400" s="6">
        <v>1755</v>
      </c>
      <c r="G400" s="5" t="s">
        <v>15</v>
      </c>
      <c r="H400" s="6">
        <f>SUMIFS(InventTrans!F:F,InventTrans!B:B,AtlasReport_3_Table_1[[#This Row],[Lot ID]],InventTrans!C:C,AtlasReport_3_Table_1[[#This Row],[Ship date]])</f>
        <v>1755</v>
      </c>
      <c r="I400" s="5" t="s">
        <v>15</v>
      </c>
      <c r="J400" s="5" t="s">
        <v>540</v>
      </c>
    </row>
    <row r="401" spans="1:10" x14ac:dyDescent="0.15">
      <c r="A401" s="5" t="s">
        <v>48</v>
      </c>
      <c r="B401" s="5" t="s">
        <v>541</v>
      </c>
      <c r="C401" s="5" t="s">
        <v>37</v>
      </c>
      <c r="D401" s="5" t="s">
        <v>38</v>
      </c>
      <c r="E401" s="9">
        <v>43647</v>
      </c>
      <c r="F401" s="6">
        <v>11700</v>
      </c>
      <c r="G401" s="5" t="s">
        <v>15</v>
      </c>
      <c r="H401" s="6">
        <f>SUMIFS(InventTrans!F:F,InventTrans!B:B,AtlasReport_3_Table_1[[#This Row],[Lot ID]],InventTrans!C:C,AtlasReport_3_Table_1[[#This Row],[Ship date]])</f>
        <v>11700</v>
      </c>
      <c r="I401" s="5" t="s">
        <v>15</v>
      </c>
      <c r="J401" s="5" t="s">
        <v>542</v>
      </c>
    </row>
    <row r="402" spans="1:10" x14ac:dyDescent="0.15">
      <c r="A402" s="5" t="s">
        <v>48</v>
      </c>
      <c r="B402" s="5" t="s">
        <v>72</v>
      </c>
      <c r="C402" s="5" t="s">
        <v>35</v>
      </c>
      <c r="D402" s="5" t="s">
        <v>36</v>
      </c>
      <c r="E402" s="9">
        <v>43648</v>
      </c>
      <c r="F402" s="6">
        <v>22425</v>
      </c>
      <c r="G402" s="5" t="s">
        <v>15</v>
      </c>
      <c r="H402" s="6">
        <f>SUMIFS(InventTrans!F:F,InventTrans!B:B,AtlasReport_3_Table_1[[#This Row],[Lot ID]],InventTrans!C:C,AtlasReport_3_Table_1[[#This Row],[Ship date]])</f>
        <v>22425</v>
      </c>
      <c r="I402" s="5" t="s">
        <v>15</v>
      </c>
      <c r="J402" s="5" t="s">
        <v>543</v>
      </c>
    </row>
    <row r="403" spans="1:10" x14ac:dyDescent="0.15">
      <c r="A403" s="5" t="s">
        <v>48</v>
      </c>
      <c r="B403" s="5" t="s">
        <v>544</v>
      </c>
      <c r="C403" s="5" t="s">
        <v>35</v>
      </c>
      <c r="D403" s="5" t="s">
        <v>36</v>
      </c>
      <c r="E403" s="9">
        <v>43648</v>
      </c>
      <c r="F403" s="6">
        <v>11992.5</v>
      </c>
      <c r="G403" s="5" t="s">
        <v>15</v>
      </c>
      <c r="H403" s="6">
        <f>SUMIFS(InventTrans!F:F,InventTrans!B:B,AtlasReport_3_Table_1[[#This Row],[Lot ID]],InventTrans!C:C,AtlasReport_3_Table_1[[#This Row],[Ship date]])</f>
        <v>11992.5</v>
      </c>
      <c r="I403" s="5" t="s">
        <v>15</v>
      </c>
      <c r="J403" s="5" t="s">
        <v>545</v>
      </c>
    </row>
    <row r="404" spans="1:10" x14ac:dyDescent="0.15">
      <c r="A404" s="5" t="s">
        <v>48</v>
      </c>
      <c r="B404" s="5" t="s">
        <v>544</v>
      </c>
      <c r="C404" s="5" t="s">
        <v>55</v>
      </c>
      <c r="D404" s="5" t="s">
        <v>56</v>
      </c>
      <c r="E404" s="9">
        <v>43648</v>
      </c>
      <c r="F404" s="6">
        <v>550</v>
      </c>
      <c r="G404" s="5" t="s">
        <v>15</v>
      </c>
      <c r="H404" s="6">
        <f>SUMIFS(InventTrans!F:F,InventTrans!B:B,AtlasReport_3_Table_1[[#This Row],[Lot ID]],InventTrans!C:C,AtlasReport_3_Table_1[[#This Row],[Ship date]])</f>
        <v>550</v>
      </c>
      <c r="I404" s="5" t="s">
        <v>15</v>
      </c>
      <c r="J404" s="5" t="s">
        <v>546</v>
      </c>
    </row>
    <row r="405" spans="1:10" x14ac:dyDescent="0.15">
      <c r="A405" s="5" t="s">
        <v>48</v>
      </c>
      <c r="B405" s="5" t="s">
        <v>73</v>
      </c>
      <c r="C405" s="5" t="s">
        <v>37</v>
      </c>
      <c r="D405" s="5" t="s">
        <v>38</v>
      </c>
      <c r="E405" s="9">
        <v>43649</v>
      </c>
      <c r="F405" s="6">
        <v>487.5</v>
      </c>
      <c r="G405" s="5" t="s">
        <v>15</v>
      </c>
      <c r="H405" s="6">
        <f>SUMIFS(InventTrans!F:F,InventTrans!B:B,AtlasReport_3_Table_1[[#This Row],[Lot ID]],InventTrans!C:C,AtlasReport_3_Table_1[[#This Row],[Ship date]])</f>
        <v>487.5</v>
      </c>
      <c r="I405" s="5" t="s">
        <v>15</v>
      </c>
      <c r="J405" s="5" t="s">
        <v>547</v>
      </c>
    </row>
    <row r="406" spans="1:10" x14ac:dyDescent="0.15">
      <c r="A406" s="5" t="s">
        <v>48</v>
      </c>
      <c r="B406" s="5" t="s">
        <v>73</v>
      </c>
      <c r="C406" s="5" t="s">
        <v>37</v>
      </c>
      <c r="D406" s="5" t="s">
        <v>38</v>
      </c>
      <c r="E406" s="9">
        <v>43649</v>
      </c>
      <c r="F406" s="6">
        <v>-487.5</v>
      </c>
      <c r="G406" s="5" t="s">
        <v>15</v>
      </c>
      <c r="H406" s="6">
        <f>SUMIFS(InventTrans!F:F,InventTrans!B:B,AtlasReport_3_Table_1[[#This Row],[Lot ID]],InventTrans!C:C,AtlasReport_3_Table_1[[#This Row],[Ship date]])</f>
        <v>-487.5</v>
      </c>
      <c r="I406" s="5" t="s">
        <v>15</v>
      </c>
      <c r="J406" s="5" t="s">
        <v>548</v>
      </c>
    </row>
    <row r="407" spans="1:10" x14ac:dyDescent="0.15">
      <c r="A407" s="5" t="s">
        <v>48</v>
      </c>
      <c r="B407" s="5" t="s">
        <v>549</v>
      </c>
      <c r="C407" s="5" t="s">
        <v>37</v>
      </c>
      <c r="D407" s="5" t="s">
        <v>38</v>
      </c>
      <c r="E407" s="9">
        <v>43649</v>
      </c>
      <c r="F407" s="6">
        <v>4485</v>
      </c>
      <c r="G407" s="5" t="s">
        <v>15</v>
      </c>
      <c r="H407" s="6">
        <f>SUMIFS(InventTrans!F:F,InventTrans!B:B,AtlasReport_3_Table_1[[#This Row],[Lot ID]],InventTrans!C:C,AtlasReport_3_Table_1[[#This Row],[Ship date]])</f>
        <v>4485</v>
      </c>
      <c r="I407" s="5" t="s">
        <v>15</v>
      </c>
      <c r="J407" s="5" t="s">
        <v>550</v>
      </c>
    </row>
    <row r="408" spans="1:10" x14ac:dyDescent="0.15">
      <c r="A408" s="5" t="s">
        <v>48</v>
      </c>
      <c r="B408" s="5" t="s">
        <v>551</v>
      </c>
      <c r="C408" s="5" t="s">
        <v>43</v>
      </c>
      <c r="D408" s="5" t="s">
        <v>38</v>
      </c>
      <c r="E408" s="9">
        <v>43649</v>
      </c>
      <c r="F408" s="6">
        <v>485</v>
      </c>
      <c r="G408" s="5" t="s">
        <v>15</v>
      </c>
      <c r="H408" s="6">
        <f>SUMIFS(InventTrans!F:F,InventTrans!B:B,AtlasReport_3_Table_1[[#This Row],[Lot ID]],InventTrans!C:C,AtlasReport_3_Table_1[[#This Row],[Ship date]])</f>
        <v>485</v>
      </c>
      <c r="I408" s="5" t="s">
        <v>15</v>
      </c>
      <c r="J408" s="5" t="s">
        <v>552</v>
      </c>
    </row>
    <row r="409" spans="1:10" x14ac:dyDescent="0.15">
      <c r="A409" s="5" t="s">
        <v>48</v>
      </c>
      <c r="B409" s="5" t="s">
        <v>553</v>
      </c>
      <c r="C409" s="5" t="s">
        <v>53</v>
      </c>
      <c r="D409" s="5" t="s">
        <v>54</v>
      </c>
      <c r="E409" s="9">
        <v>43650</v>
      </c>
      <c r="F409" s="6">
        <v>97.5</v>
      </c>
      <c r="G409" s="5" t="s">
        <v>15</v>
      </c>
      <c r="H409" s="6">
        <f>SUMIFS(InventTrans!F:F,InventTrans!B:B,AtlasReport_3_Table_1[[#This Row],[Lot ID]],InventTrans!C:C,AtlasReport_3_Table_1[[#This Row],[Ship date]])</f>
        <v>97.5</v>
      </c>
      <c r="I409" s="5" t="s">
        <v>15</v>
      </c>
      <c r="J409" s="5" t="s">
        <v>554</v>
      </c>
    </row>
    <row r="410" spans="1:10" x14ac:dyDescent="0.15">
      <c r="A410" s="5" t="s">
        <v>48</v>
      </c>
      <c r="B410" s="5" t="s">
        <v>555</v>
      </c>
      <c r="C410" s="5" t="s">
        <v>35</v>
      </c>
      <c r="D410" s="5" t="s">
        <v>36</v>
      </c>
      <c r="E410" s="9">
        <v>43651</v>
      </c>
      <c r="F410" s="6">
        <v>97.5</v>
      </c>
      <c r="G410" s="5" t="s">
        <v>15</v>
      </c>
      <c r="H410" s="6">
        <f>SUMIFS(InventTrans!F:F,InventTrans!B:B,AtlasReport_3_Table_1[[#This Row],[Lot ID]],InventTrans!C:C,AtlasReport_3_Table_1[[#This Row],[Ship date]])</f>
        <v>97.5</v>
      </c>
      <c r="I410" s="5" t="s">
        <v>15</v>
      </c>
      <c r="J410" s="5" t="s">
        <v>556</v>
      </c>
    </row>
    <row r="411" spans="1:10" x14ac:dyDescent="0.15">
      <c r="A411" s="5" t="s">
        <v>48</v>
      </c>
      <c r="B411" s="5" t="s">
        <v>557</v>
      </c>
      <c r="C411" s="5" t="s">
        <v>41</v>
      </c>
      <c r="D411" s="5" t="s">
        <v>36</v>
      </c>
      <c r="E411" s="9">
        <v>43654</v>
      </c>
      <c r="F411" s="6">
        <v>3686</v>
      </c>
      <c r="G411" s="5" t="s">
        <v>15</v>
      </c>
      <c r="H411" s="6">
        <f>SUMIFS(InventTrans!F:F,InventTrans!B:B,AtlasReport_3_Table_1[[#This Row],[Lot ID]],InventTrans!C:C,AtlasReport_3_Table_1[[#This Row],[Ship date]])</f>
        <v>3686</v>
      </c>
      <c r="I411" s="5" t="s">
        <v>15</v>
      </c>
      <c r="J411" s="5" t="s">
        <v>558</v>
      </c>
    </row>
    <row r="412" spans="1:10" x14ac:dyDescent="0.15">
      <c r="A412" s="5" t="s">
        <v>48</v>
      </c>
      <c r="B412" s="5" t="s">
        <v>559</v>
      </c>
      <c r="C412" s="5" t="s">
        <v>37</v>
      </c>
      <c r="D412" s="5" t="s">
        <v>38</v>
      </c>
      <c r="E412" s="9">
        <v>43654</v>
      </c>
      <c r="F412" s="6">
        <v>9750</v>
      </c>
      <c r="G412" s="5" t="s">
        <v>15</v>
      </c>
      <c r="H412" s="6">
        <f>SUMIFS(InventTrans!F:F,InventTrans!B:B,AtlasReport_3_Table_1[[#This Row],[Lot ID]],InventTrans!C:C,AtlasReport_3_Table_1[[#This Row],[Ship date]])</f>
        <v>9750</v>
      </c>
      <c r="I412" s="5" t="s">
        <v>15</v>
      </c>
      <c r="J412" s="5" t="s">
        <v>560</v>
      </c>
    </row>
    <row r="413" spans="1:10" x14ac:dyDescent="0.15">
      <c r="A413" s="5" t="s">
        <v>48</v>
      </c>
      <c r="B413" s="5" t="s">
        <v>561</v>
      </c>
      <c r="C413" s="5" t="s">
        <v>37</v>
      </c>
      <c r="D413" s="5" t="s">
        <v>38</v>
      </c>
      <c r="E413" s="9">
        <v>43654</v>
      </c>
      <c r="F413" s="6">
        <v>3997.5</v>
      </c>
      <c r="G413" s="5" t="s">
        <v>15</v>
      </c>
      <c r="H413" s="6">
        <f>SUMIFS(InventTrans!F:F,InventTrans!B:B,AtlasReport_3_Table_1[[#This Row],[Lot ID]],InventTrans!C:C,AtlasReport_3_Table_1[[#This Row],[Ship date]])</f>
        <v>3997.5</v>
      </c>
      <c r="I413" s="5" t="s">
        <v>15</v>
      </c>
      <c r="J413" s="5" t="s">
        <v>562</v>
      </c>
    </row>
    <row r="414" spans="1:10" x14ac:dyDescent="0.15">
      <c r="A414" s="5" t="s">
        <v>48</v>
      </c>
      <c r="B414" s="5" t="s">
        <v>563</v>
      </c>
      <c r="C414" s="5" t="s">
        <v>37</v>
      </c>
      <c r="D414" s="5" t="s">
        <v>38</v>
      </c>
      <c r="E414" s="9">
        <v>43654</v>
      </c>
      <c r="F414" s="6">
        <v>3997.5</v>
      </c>
      <c r="G414" s="5" t="s">
        <v>15</v>
      </c>
      <c r="H414" s="6">
        <f>SUMIFS(InventTrans!F:F,InventTrans!B:B,AtlasReport_3_Table_1[[#This Row],[Lot ID]],InventTrans!C:C,AtlasReport_3_Table_1[[#This Row],[Ship date]])</f>
        <v>3997.5</v>
      </c>
      <c r="I414" s="5" t="s">
        <v>15</v>
      </c>
      <c r="J414" s="5" t="s">
        <v>564</v>
      </c>
    </row>
    <row r="415" spans="1:10" x14ac:dyDescent="0.15">
      <c r="A415" s="5" t="s">
        <v>48</v>
      </c>
      <c r="B415" s="5" t="s">
        <v>563</v>
      </c>
      <c r="C415" s="5" t="s">
        <v>42</v>
      </c>
      <c r="D415" s="5" t="s">
        <v>38</v>
      </c>
      <c r="E415" s="9">
        <v>43654</v>
      </c>
      <c r="F415" s="6">
        <v>2025</v>
      </c>
      <c r="G415" s="5" t="s">
        <v>15</v>
      </c>
      <c r="H415" s="6">
        <f>SUMIFS(InventTrans!F:F,InventTrans!B:B,AtlasReport_3_Table_1[[#This Row],[Lot ID]],InventTrans!C:C,AtlasReport_3_Table_1[[#This Row],[Ship date]])</f>
        <v>2025</v>
      </c>
      <c r="I415" s="5" t="s">
        <v>15</v>
      </c>
      <c r="J415" s="5" t="s">
        <v>565</v>
      </c>
    </row>
    <row r="416" spans="1:10" x14ac:dyDescent="0.15">
      <c r="A416" s="5" t="s">
        <v>48</v>
      </c>
      <c r="B416" s="5" t="s">
        <v>74</v>
      </c>
      <c r="C416" s="5" t="s">
        <v>37</v>
      </c>
      <c r="D416" s="5" t="s">
        <v>38</v>
      </c>
      <c r="E416" s="9">
        <v>43654</v>
      </c>
      <c r="F416" s="6">
        <v>390</v>
      </c>
      <c r="G416" s="5" t="s">
        <v>15</v>
      </c>
      <c r="H416" s="6">
        <f>SUMIFS(InventTrans!F:F,InventTrans!B:B,AtlasReport_3_Table_1[[#This Row],[Lot ID]],InventTrans!C:C,AtlasReport_3_Table_1[[#This Row],[Ship date]])</f>
        <v>390</v>
      </c>
      <c r="I416" s="5" t="s">
        <v>15</v>
      </c>
      <c r="J416" s="5" t="s">
        <v>566</v>
      </c>
    </row>
    <row r="417" spans="1:10" x14ac:dyDescent="0.15">
      <c r="A417" s="5" t="s">
        <v>48</v>
      </c>
      <c r="B417" s="5" t="s">
        <v>75</v>
      </c>
      <c r="C417" s="5" t="s">
        <v>37</v>
      </c>
      <c r="D417" s="5" t="s">
        <v>38</v>
      </c>
      <c r="E417" s="9">
        <v>43654</v>
      </c>
      <c r="F417" s="6">
        <v>1950</v>
      </c>
      <c r="G417" s="5" t="s">
        <v>15</v>
      </c>
      <c r="H417" s="6">
        <f>SUMIFS(InventTrans!F:F,InventTrans!B:B,AtlasReport_3_Table_1[[#This Row],[Lot ID]],InventTrans!C:C,AtlasReport_3_Table_1[[#This Row],[Ship date]])</f>
        <v>1950</v>
      </c>
      <c r="I417" s="5" t="s">
        <v>15</v>
      </c>
      <c r="J417" s="5" t="s">
        <v>567</v>
      </c>
    </row>
    <row r="418" spans="1:10" x14ac:dyDescent="0.15">
      <c r="A418" s="5" t="s">
        <v>48</v>
      </c>
      <c r="B418" s="5" t="s">
        <v>75</v>
      </c>
      <c r="C418" s="5" t="s">
        <v>43</v>
      </c>
      <c r="D418" s="5" t="s">
        <v>38</v>
      </c>
      <c r="E418" s="9">
        <v>43654</v>
      </c>
      <c r="F418" s="6">
        <v>970</v>
      </c>
      <c r="G418" s="5" t="s">
        <v>15</v>
      </c>
      <c r="H418" s="6">
        <f>SUMIFS(InventTrans!F:F,InventTrans!B:B,AtlasReport_3_Table_1[[#This Row],[Lot ID]],InventTrans!C:C,AtlasReport_3_Table_1[[#This Row],[Ship date]])</f>
        <v>970</v>
      </c>
      <c r="I418" s="5" t="s">
        <v>15</v>
      </c>
      <c r="J418" s="5" t="s">
        <v>568</v>
      </c>
    </row>
    <row r="419" spans="1:10" x14ac:dyDescent="0.15">
      <c r="A419" s="5" t="s">
        <v>48</v>
      </c>
      <c r="B419" s="5" t="s">
        <v>569</v>
      </c>
      <c r="C419" s="5" t="s">
        <v>43</v>
      </c>
      <c r="D419" s="5" t="s">
        <v>38</v>
      </c>
      <c r="E419" s="9">
        <v>43655</v>
      </c>
      <c r="F419" s="6">
        <v>485</v>
      </c>
      <c r="G419" s="5" t="s">
        <v>15</v>
      </c>
      <c r="H419" s="6">
        <f>SUMIFS(InventTrans!F:F,InventTrans!B:B,AtlasReport_3_Table_1[[#This Row],[Lot ID]],InventTrans!C:C,AtlasReport_3_Table_1[[#This Row],[Ship date]])</f>
        <v>485</v>
      </c>
      <c r="I419" s="5" t="s">
        <v>15</v>
      </c>
      <c r="J419" s="5" t="s">
        <v>570</v>
      </c>
    </row>
    <row r="420" spans="1:10" x14ac:dyDescent="0.15">
      <c r="A420" s="5" t="s">
        <v>48</v>
      </c>
      <c r="B420" s="5" t="s">
        <v>569</v>
      </c>
      <c r="C420" s="5" t="s">
        <v>37</v>
      </c>
      <c r="D420" s="5" t="s">
        <v>38</v>
      </c>
      <c r="E420" s="9">
        <v>43655</v>
      </c>
      <c r="F420" s="6">
        <v>1950</v>
      </c>
      <c r="G420" s="5" t="s">
        <v>15</v>
      </c>
      <c r="H420" s="6">
        <f>SUMIFS(InventTrans!F:F,InventTrans!B:B,AtlasReport_3_Table_1[[#This Row],[Lot ID]],InventTrans!C:C,AtlasReport_3_Table_1[[#This Row],[Ship date]])</f>
        <v>1950</v>
      </c>
      <c r="I420" s="5" t="s">
        <v>15</v>
      </c>
      <c r="J420" s="5" t="s">
        <v>571</v>
      </c>
    </row>
    <row r="421" spans="1:10" x14ac:dyDescent="0.15">
      <c r="A421" s="5" t="s">
        <v>48</v>
      </c>
      <c r="B421" s="5" t="s">
        <v>1534</v>
      </c>
      <c r="C421" s="5" t="s">
        <v>44</v>
      </c>
      <c r="D421" s="5" t="s">
        <v>45</v>
      </c>
      <c r="E421" s="9">
        <v>43655</v>
      </c>
      <c r="F421" s="6">
        <v>-5850</v>
      </c>
      <c r="G421" s="5" t="s">
        <v>15</v>
      </c>
      <c r="H421" s="6">
        <f>SUMIFS(InventTrans!F:F,InventTrans!B:B,AtlasReport_3_Table_1[[#This Row],[Lot ID]],InventTrans!C:C,AtlasReport_3_Table_1[[#This Row],[Ship date]])</f>
        <v>-5850</v>
      </c>
      <c r="I421" s="5" t="s">
        <v>15</v>
      </c>
      <c r="J421" s="5" t="s">
        <v>1535</v>
      </c>
    </row>
    <row r="422" spans="1:10" x14ac:dyDescent="0.15">
      <c r="A422" s="5" t="s">
        <v>48</v>
      </c>
      <c r="B422" s="5" t="s">
        <v>1534</v>
      </c>
      <c r="C422" s="5" t="s">
        <v>148</v>
      </c>
      <c r="D422" s="5" t="s">
        <v>59</v>
      </c>
      <c r="E422" s="9">
        <v>43655</v>
      </c>
      <c r="F422" s="6">
        <v>-8730</v>
      </c>
      <c r="G422" s="5" t="s">
        <v>15</v>
      </c>
      <c r="H422" s="6">
        <f>SUMIFS(InventTrans!F:F,InventTrans!B:B,AtlasReport_3_Table_1[[#This Row],[Lot ID]],InventTrans!C:C,AtlasReport_3_Table_1[[#This Row],[Ship date]])</f>
        <v>-8730</v>
      </c>
      <c r="I422" s="5" t="s">
        <v>15</v>
      </c>
      <c r="J422" s="5" t="s">
        <v>1536</v>
      </c>
    </row>
    <row r="423" spans="1:10" x14ac:dyDescent="0.15">
      <c r="A423" s="5" t="s">
        <v>48</v>
      </c>
      <c r="B423" s="5" t="s">
        <v>76</v>
      </c>
      <c r="C423" s="5" t="s">
        <v>37</v>
      </c>
      <c r="D423" s="5" t="s">
        <v>38</v>
      </c>
      <c r="E423" s="9">
        <v>43655</v>
      </c>
      <c r="F423" s="6">
        <v>487.5</v>
      </c>
      <c r="G423" s="5" t="s">
        <v>15</v>
      </c>
      <c r="H423" s="6">
        <f>SUMIFS(InventTrans!F:F,InventTrans!B:B,AtlasReport_3_Table_1[[#This Row],[Lot ID]],InventTrans!C:C,AtlasReport_3_Table_1[[#This Row],[Ship date]])</f>
        <v>487.5</v>
      </c>
      <c r="I423" s="5" t="s">
        <v>15</v>
      </c>
      <c r="J423" s="5" t="s">
        <v>572</v>
      </c>
    </row>
    <row r="424" spans="1:10" x14ac:dyDescent="0.15">
      <c r="A424" s="5" t="s">
        <v>48</v>
      </c>
      <c r="B424" s="5" t="s">
        <v>573</v>
      </c>
      <c r="C424" s="5" t="s">
        <v>35</v>
      </c>
      <c r="D424" s="5" t="s">
        <v>36</v>
      </c>
      <c r="E424" s="9">
        <v>43656</v>
      </c>
      <c r="F424" s="6">
        <v>3900</v>
      </c>
      <c r="G424" s="5" t="s">
        <v>15</v>
      </c>
      <c r="H424" s="6">
        <f>SUMIFS(InventTrans!F:F,InventTrans!B:B,AtlasReport_3_Table_1[[#This Row],[Lot ID]],InventTrans!C:C,AtlasReport_3_Table_1[[#This Row],[Ship date]])</f>
        <v>3900</v>
      </c>
      <c r="I424" s="5" t="s">
        <v>15</v>
      </c>
      <c r="J424" s="5" t="s">
        <v>574</v>
      </c>
    </row>
    <row r="425" spans="1:10" x14ac:dyDescent="0.15">
      <c r="A425" s="5" t="s">
        <v>48</v>
      </c>
      <c r="B425" s="5" t="s">
        <v>77</v>
      </c>
      <c r="C425" s="5" t="s">
        <v>43</v>
      </c>
      <c r="D425" s="5" t="s">
        <v>38</v>
      </c>
      <c r="E425" s="9">
        <v>43656</v>
      </c>
      <c r="F425" s="6">
        <v>436.5</v>
      </c>
      <c r="G425" s="5" t="s">
        <v>15</v>
      </c>
      <c r="H425" s="6">
        <f>SUMIFS(InventTrans!F:F,InventTrans!B:B,AtlasReport_3_Table_1[[#This Row],[Lot ID]],InventTrans!C:C,AtlasReport_3_Table_1[[#This Row],[Ship date]])</f>
        <v>436.5</v>
      </c>
      <c r="I425" s="5" t="s">
        <v>15</v>
      </c>
      <c r="J425" s="5" t="s">
        <v>575</v>
      </c>
    </row>
    <row r="426" spans="1:10" x14ac:dyDescent="0.15">
      <c r="A426" s="5" t="s">
        <v>48</v>
      </c>
      <c r="B426" s="5" t="s">
        <v>77</v>
      </c>
      <c r="C426" s="5" t="s">
        <v>35</v>
      </c>
      <c r="D426" s="5" t="s">
        <v>36</v>
      </c>
      <c r="E426" s="9">
        <v>43656</v>
      </c>
      <c r="F426" s="6">
        <v>873</v>
      </c>
      <c r="G426" s="5" t="s">
        <v>15</v>
      </c>
      <c r="H426" s="6">
        <f>SUMIFS(InventTrans!F:F,InventTrans!B:B,AtlasReport_3_Table_1[[#This Row],[Lot ID]],InventTrans!C:C,AtlasReport_3_Table_1[[#This Row],[Ship date]])</f>
        <v>873</v>
      </c>
      <c r="I426" s="5" t="s">
        <v>15</v>
      </c>
      <c r="J426" s="5" t="s">
        <v>576</v>
      </c>
    </row>
    <row r="427" spans="1:10" x14ac:dyDescent="0.15">
      <c r="A427" s="5" t="s">
        <v>48</v>
      </c>
      <c r="B427" s="5" t="s">
        <v>577</v>
      </c>
      <c r="C427" s="5" t="s">
        <v>37</v>
      </c>
      <c r="D427" s="5" t="s">
        <v>38</v>
      </c>
      <c r="E427" s="9">
        <v>43657</v>
      </c>
      <c r="F427" s="6">
        <v>5850</v>
      </c>
      <c r="G427" s="5" t="s">
        <v>15</v>
      </c>
      <c r="H427" s="6">
        <f>SUMIFS(InventTrans!F:F,InventTrans!B:B,AtlasReport_3_Table_1[[#This Row],[Lot ID]],InventTrans!C:C,AtlasReport_3_Table_1[[#This Row],[Ship date]])</f>
        <v>5850</v>
      </c>
      <c r="I427" s="5" t="s">
        <v>15</v>
      </c>
      <c r="J427" s="5" t="s">
        <v>578</v>
      </c>
    </row>
    <row r="428" spans="1:10" x14ac:dyDescent="0.15">
      <c r="A428" s="5" t="s">
        <v>48</v>
      </c>
      <c r="B428" s="5" t="s">
        <v>579</v>
      </c>
      <c r="C428" s="5" t="s">
        <v>37</v>
      </c>
      <c r="D428" s="5" t="s">
        <v>38</v>
      </c>
      <c r="E428" s="9">
        <v>43658</v>
      </c>
      <c r="F428" s="6">
        <v>1950</v>
      </c>
      <c r="G428" s="5" t="s">
        <v>15</v>
      </c>
      <c r="H428" s="6">
        <f>SUMIFS(InventTrans!F:F,InventTrans!B:B,AtlasReport_3_Table_1[[#This Row],[Lot ID]],InventTrans!C:C,AtlasReport_3_Table_1[[#This Row],[Ship date]])</f>
        <v>1950</v>
      </c>
      <c r="I428" s="5" t="s">
        <v>15</v>
      </c>
      <c r="J428" s="5" t="s">
        <v>580</v>
      </c>
    </row>
    <row r="429" spans="1:10" x14ac:dyDescent="0.15">
      <c r="A429" s="5" t="s">
        <v>48</v>
      </c>
      <c r="B429" s="5" t="s">
        <v>581</v>
      </c>
      <c r="C429" s="5" t="s">
        <v>53</v>
      </c>
      <c r="D429" s="5" t="s">
        <v>54</v>
      </c>
      <c r="E429" s="9">
        <v>43658</v>
      </c>
      <c r="F429" s="6">
        <v>5947.5</v>
      </c>
      <c r="G429" s="5" t="s">
        <v>15</v>
      </c>
      <c r="H429" s="6">
        <f>SUMIFS(InventTrans!F:F,InventTrans!B:B,AtlasReport_3_Table_1[[#This Row],[Lot ID]],InventTrans!C:C,AtlasReport_3_Table_1[[#This Row],[Ship date]])</f>
        <v>5947.5</v>
      </c>
      <c r="I429" s="5" t="s">
        <v>15</v>
      </c>
      <c r="J429" s="5" t="s">
        <v>582</v>
      </c>
    </row>
    <row r="430" spans="1:10" x14ac:dyDescent="0.15">
      <c r="A430" s="5" t="s">
        <v>48</v>
      </c>
      <c r="B430" s="5" t="s">
        <v>581</v>
      </c>
      <c r="C430" s="5" t="s">
        <v>64</v>
      </c>
      <c r="D430" s="5" t="s">
        <v>54</v>
      </c>
      <c r="E430" s="9">
        <v>43658</v>
      </c>
      <c r="F430" s="6">
        <v>9075</v>
      </c>
      <c r="G430" s="5" t="s">
        <v>15</v>
      </c>
      <c r="H430" s="6">
        <f>SUMIFS(InventTrans!F:F,InventTrans!B:B,AtlasReport_3_Table_1[[#This Row],[Lot ID]],InventTrans!C:C,AtlasReport_3_Table_1[[#This Row],[Ship date]])</f>
        <v>9075</v>
      </c>
      <c r="I430" s="5" t="s">
        <v>15</v>
      </c>
      <c r="J430" s="5" t="s">
        <v>583</v>
      </c>
    </row>
    <row r="431" spans="1:10" x14ac:dyDescent="0.15">
      <c r="A431" s="5" t="s">
        <v>48</v>
      </c>
      <c r="B431" s="5" t="s">
        <v>581</v>
      </c>
      <c r="C431" s="5" t="s">
        <v>57</v>
      </c>
      <c r="D431" s="5" t="s">
        <v>54</v>
      </c>
      <c r="E431" s="9">
        <v>43658</v>
      </c>
      <c r="F431" s="6">
        <v>1503.5</v>
      </c>
      <c r="G431" s="5" t="s">
        <v>15</v>
      </c>
      <c r="H431" s="6">
        <f>SUMIFS(InventTrans!F:F,InventTrans!B:B,AtlasReport_3_Table_1[[#This Row],[Lot ID]],InventTrans!C:C,AtlasReport_3_Table_1[[#This Row],[Ship date]])</f>
        <v>1503.5</v>
      </c>
      <c r="I431" s="5" t="s">
        <v>15</v>
      </c>
      <c r="J431" s="5" t="s">
        <v>584</v>
      </c>
    </row>
    <row r="432" spans="1:10" ht="27" x14ac:dyDescent="0.15">
      <c r="A432" s="5" t="s">
        <v>48</v>
      </c>
      <c r="B432" s="5" t="s">
        <v>581</v>
      </c>
      <c r="C432" s="5" t="s">
        <v>49</v>
      </c>
      <c r="D432" s="7" t="s">
        <v>50</v>
      </c>
      <c r="E432" s="9">
        <v>43658</v>
      </c>
      <c r="F432" s="6">
        <v>1500</v>
      </c>
      <c r="G432" s="5" t="s">
        <v>15</v>
      </c>
      <c r="H432" s="6">
        <f>SUMIFS(InventTrans!F:F,InventTrans!B:B,AtlasReport_3_Table_1[[#This Row],[Lot ID]],InventTrans!C:C,AtlasReport_3_Table_1[[#This Row],[Ship date]])</f>
        <v>1500</v>
      </c>
      <c r="I432" s="5" t="s">
        <v>15</v>
      </c>
      <c r="J432" s="5" t="s">
        <v>585</v>
      </c>
    </row>
    <row r="433" spans="1:10" x14ac:dyDescent="0.15">
      <c r="A433" s="5" t="s">
        <v>48</v>
      </c>
      <c r="B433" s="5" t="s">
        <v>586</v>
      </c>
      <c r="C433" s="5" t="s">
        <v>37</v>
      </c>
      <c r="D433" s="5" t="s">
        <v>38</v>
      </c>
      <c r="E433" s="9">
        <v>43658</v>
      </c>
      <c r="F433" s="6">
        <v>5167.5</v>
      </c>
      <c r="G433" s="5" t="s">
        <v>15</v>
      </c>
      <c r="H433" s="6">
        <f>SUMIFS(InventTrans!F:F,InventTrans!B:B,AtlasReport_3_Table_1[[#This Row],[Lot ID]],InventTrans!C:C,AtlasReport_3_Table_1[[#This Row],[Ship date]])</f>
        <v>5167.5</v>
      </c>
      <c r="I433" s="5" t="s">
        <v>15</v>
      </c>
      <c r="J433" s="5" t="s">
        <v>587</v>
      </c>
    </row>
    <row r="434" spans="1:10" x14ac:dyDescent="0.15">
      <c r="A434" s="5" t="s">
        <v>48</v>
      </c>
      <c r="B434" s="5" t="s">
        <v>588</v>
      </c>
      <c r="C434" s="5" t="s">
        <v>37</v>
      </c>
      <c r="D434" s="5" t="s">
        <v>38</v>
      </c>
      <c r="E434" s="9">
        <v>43658</v>
      </c>
      <c r="F434" s="6">
        <v>5070</v>
      </c>
      <c r="G434" s="5" t="s">
        <v>15</v>
      </c>
      <c r="H434" s="6">
        <f>SUMIFS(InventTrans!F:F,InventTrans!B:B,AtlasReport_3_Table_1[[#This Row],[Lot ID]],InventTrans!C:C,AtlasReport_3_Table_1[[#This Row],[Ship date]])</f>
        <v>5070</v>
      </c>
      <c r="I434" s="5" t="s">
        <v>15</v>
      </c>
      <c r="J434" s="5" t="s">
        <v>589</v>
      </c>
    </row>
    <row r="435" spans="1:10" x14ac:dyDescent="0.15">
      <c r="A435" s="5" t="s">
        <v>48</v>
      </c>
      <c r="B435" s="5" t="s">
        <v>78</v>
      </c>
      <c r="C435" s="5" t="s">
        <v>44</v>
      </c>
      <c r="D435" s="5" t="s">
        <v>45</v>
      </c>
      <c r="E435" s="9">
        <v>43661</v>
      </c>
      <c r="F435" s="6">
        <v>487.5</v>
      </c>
      <c r="G435" s="5" t="s">
        <v>15</v>
      </c>
      <c r="H435" s="6">
        <f>SUMIFS(InventTrans!F:F,InventTrans!B:B,AtlasReport_3_Table_1[[#This Row],[Lot ID]],InventTrans!C:C,AtlasReport_3_Table_1[[#This Row],[Ship date]])</f>
        <v>487.5</v>
      </c>
      <c r="I435" s="5" t="s">
        <v>15</v>
      </c>
      <c r="J435" s="5" t="s">
        <v>590</v>
      </c>
    </row>
    <row r="436" spans="1:10" x14ac:dyDescent="0.15">
      <c r="A436" s="5" t="s">
        <v>48</v>
      </c>
      <c r="B436" s="5" t="s">
        <v>591</v>
      </c>
      <c r="C436" s="5" t="s">
        <v>44</v>
      </c>
      <c r="D436" s="5" t="s">
        <v>45</v>
      </c>
      <c r="E436" s="9">
        <v>43661</v>
      </c>
      <c r="F436" s="6">
        <v>97.5</v>
      </c>
      <c r="G436" s="5" t="s">
        <v>15</v>
      </c>
      <c r="H436" s="6">
        <f>SUMIFS(InventTrans!F:F,InventTrans!B:B,AtlasReport_3_Table_1[[#This Row],[Lot ID]],InventTrans!C:C,AtlasReport_3_Table_1[[#This Row],[Ship date]])</f>
        <v>97.5</v>
      </c>
      <c r="I436" s="5" t="s">
        <v>15</v>
      </c>
      <c r="J436" s="5" t="s">
        <v>592</v>
      </c>
    </row>
    <row r="437" spans="1:10" x14ac:dyDescent="0.15">
      <c r="A437" s="5" t="s">
        <v>48</v>
      </c>
      <c r="B437" s="5" t="s">
        <v>79</v>
      </c>
      <c r="C437" s="5" t="s">
        <v>37</v>
      </c>
      <c r="D437" s="5" t="s">
        <v>38</v>
      </c>
      <c r="E437" s="9">
        <v>43662</v>
      </c>
      <c r="F437" s="6">
        <v>25057.5</v>
      </c>
      <c r="G437" s="5" t="s">
        <v>15</v>
      </c>
      <c r="H437" s="6">
        <f>SUMIFS(InventTrans!F:F,InventTrans!B:B,AtlasReport_3_Table_1[[#This Row],[Lot ID]],InventTrans!C:C,AtlasReport_3_Table_1[[#This Row],[Ship date]])</f>
        <v>25057.5</v>
      </c>
      <c r="I437" s="5" t="s">
        <v>15</v>
      </c>
      <c r="J437" s="5" t="s">
        <v>593</v>
      </c>
    </row>
    <row r="438" spans="1:10" x14ac:dyDescent="0.15">
      <c r="A438" s="5" t="s">
        <v>48</v>
      </c>
      <c r="B438" s="5" t="s">
        <v>80</v>
      </c>
      <c r="C438" s="5" t="s">
        <v>35</v>
      </c>
      <c r="D438" s="5" t="s">
        <v>36</v>
      </c>
      <c r="E438" s="9">
        <v>43662</v>
      </c>
      <c r="F438" s="6">
        <v>975</v>
      </c>
      <c r="G438" s="5" t="s">
        <v>15</v>
      </c>
      <c r="H438" s="6">
        <f>SUMIFS(InventTrans!F:F,InventTrans!B:B,AtlasReport_3_Table_1[[#This Row],[Lot ID]],InventTrans!C:C,AtlasReport_3_Table_1[[#This Row],[Ship date]])</f>
        <v>975</v>
      </c>
      <c r="I438" s="5" t="s">
        <v>15</v>
      </c>
      <c r="J438" s="5" t="s">
        <v>594</v>
      </c>
    </row>
    <row r="439" spans="1:10" x14ac:dyDescent="0.15">
      <c r="A439" s="5" t="s">
        <v>48</v>
      </c>
      <c r="B439" s="5" t="s">
        <v>595</v>
      </c>
      <c r="C439" s="5" t="s">
        <v>41</v>
      </c>
      <c r="D439" s="5" t="s">
        <v>36</v>
      </c>
      <c r="E439" s="9">
        <v>43663</v>
      </c>
      <c r="F439" s="6">
        <v>1697.5</v>
      </c>
      <c r="G439" s="5" t="s">
        <v>15</v>
      </c>
      <c r="H439" s="6">
        <f>SUMIFS(InventTrans!F:F,InventTrans!B:B,AtlasReport_3_Table_1[[#This Row],[Lot ID]],InventTrans!C:C,AtlasReport_3_Table_1[[#This Row],[Ship date]])</f>
        <v>1697.5</v>
      </c>
      <c r="I439" s="5" t="s">
        <v>15</v>
      </c>
      <c r="J439" s="5" t="s">
        <v>596</v>
      </c>
    </row>
    <row r="440" spans="1:10" x14ac:dyDescent="0.15">
      <c r="A440" s="5" t="s">
        <v>48</v>
      </c>
      <c r="B440" s="5" t="s">
        <v>595</v>
      </c>
      <c r="C440" s="5" t="s">
        <v>40</v>
      </c>
      <c r="D440" s="5" t="s">
        <v>36</v>
      </c>
      <c r="E440" s="9">
        <v>43663</v>
      </c>
      <c r="F440" s="6">
        <v>3975</v>
      </c>
      <c r="G440" s="5" t="s">
        <v>15</v>
      </c>
      <c r="H440" s="6">
        <f>SUMIFS(InventTrans!F:F,InventTrans!B:B,AtlasReport_3_Table_1[[#This Row],[Lot ID]],InventTrans!C:C,AtlasReport_3_Table_1[[#This Row],[Ship date]])</f>
        <v>3975</v>
      </c>
      <c r="I440" s="5" t="s">
        <v>15</v>
      </c>
      <c r="J440" s="5" t="s">
        <v>597</v>
      </c>
    </row>
    <row r="441" spans="1:10" x14ac:dyDescent="0.15">
      <c r="A441" s="5" t="s">
        <v>48</v>
      </c>
      <c r="B441" s="5" t="s">
        <v>595</v>
      </c>
      <c r="C441" s="5" t="s">
        <v>35</v>
      </c>
      <c r="D441" s="5" t="s">
        <v>36</v>
      </c>
      <c r="E441" s="9">
        <v>43663</v>
      </c>
      <c r="F441" s="6">
        <v>6922.5</v>
      </c>
      <c r="G441" s="5" t="s">
        <v>15</v>
      </c>
      <c r="H441" s="6">
        <f>SUMIFS(InventTrans!F:F,InventTrans!B:B,AtlasReport_3_Table_1[[#This Row],[Lot ID]],InventTrans!C:C,AtlasReport_3_Table_1[[#This Row],[Ship date]])</f>
        <v>6922.5</v>
      </c>
      <c r="I441" s="5" t="s">
        <v>15</v>
      </c>
      <c r="J441" s="5" t="s">
        <v>598</v>
      </c>
    </row>
    <row r="442" spans="1:10" x14ac:dyDescent="0.15">
      <c r="A442" s="5" t="s">
        <v>48</v>
      </c>
      <c r="B442" s="5" t="s">
        <v>81</v>
      </c>
      <c r="C442" s="5" t="s">
        <v>40</v>
      </c>
      <c r="D442" s="5" t="s">
        <v>36</v>
      </c>
      <c r="E442" s="9">
        <v>43663</v>
      </c>
      <c r="F442" s="6">
        <v>4050</v>
      </c>
      <c r="G442" s="5" t="s">
        <v>15</v>
      </c>
      <c r="H442" s="6">
        <f>SUMIFS(InventTrans!F:F,InventTrans!B:B,AtlasReport_3_Table_1[[#This Row],[Lot ID]],InventTrans!C:C,AtlasReport_3_Table_1[[#This Row],[Ship date]])</f>
        <v>4050</v>
      </c>
      <c r="I442" s="5" t="s">
        <v>15</v>
      </c>
      <c r="J442" s="5" t="s">
        <v>599</v>
      </c>
    </row>
    <row r="443" spans="1:10" x14ac:dyDescent="0.15">
      <c r="A443" s="5" t="s">
        <v>48</v>
      </c>
      <c r="B443" s="5" t="s">
        <v>600</v>
      </c>
      <c r="C443" s="5" t="s">
        <v>43</v>
      </c>
      <c r="D443" s="5" t="s">
        <v>38</v>
      </c>
      <c r="E443" s="9">
        <v>43663</v>
      </c>
      <c r="F443" s="6">
        <v>533.5</v>
      </c>
      <c r="G443" s="5" t="s">
        <v>15</v>
      </c>
      <c r="H443" s="6">
        <f>SUMIFS(InventTrans!F:F,InventTrans!B:B,AtlasReport_3_Table_1[[#This Row],[Lot ID]],InventTrans!C:C,AtlasReport_3_Table_1[[#This Row],[Ship date]])</f>
        <v>533.5</v>
      </c>
      <c r="I443" s="5" t="s">
        <v>15</v>
      </c>
      <c r="J443" s="5" t="s">
        <v>601</v>
      </c>
    </row>
    <row r="444" spans="1:10" x14ac:dyDescent="0.15">
      <c r="A444" s="5" t="s">
        <v>48</v>
      </c>
      <c r="B444" s="5" t="s">
        <v>600</v>
      </c>
      <c r="C444" s="5" t="s">
        <v>37</v>
      </c>
      <c r="D444" s="5" t="s">
        <v>38</v>
      </c>
      <c r="E444" s="9">
        <v>43663</v>
      </c>
      <c r="F444" s="6">
        <v>5752.5</v>
      </c>
      <c r="G444" s="5" t="s">
        <v>15</v>
      </c>
      <c r="H444" s="6">
        <f>SUMIFS(InventTrans!F:F,InventTrans!B:B,AtlasReport_3_Table_1[[#This Row],[Lot ID]],InventTrans!C:C,AtlasReport_3_Table_1[[#This Row],[Ship date]])</f>
        <v>5752.5</v>
      </c>
      <c r="I444" s="5" t="s">
        <v>15</v>
      </c>
      <c r="J444" s="5" t="s">
        <v>602</v>
      </c>
    </row>
    <row r="445" spans="1:10" x14ac:dyDescent="0.15">
      <c r="A445" s="5" t="s">
        <v>48</v>
      </c>
      <c r="B445" s="5" t="s">
        <v>603</v>
      </c>
      <c r="C445" s="5" t="s">
        <v>35</v>
      </c>
      <c r="D445" s="5" t="s">
        <v>36</v>
      </c>
      <c r="E445" s="9">
        <v>43664</v>
      </c>
      <c r="F445" s="6">
        <v>97.5</v>
      </c>
      <c r="G445" s="5" t="s">
        <v>15</v>
      </c>
      <c r="H445" s="6">
        <f>SUMIFS(InventTrans!F:F,InventTrans!B:B,AtlasReport_3_Table_1[[#This Row],[Lot ID]],InventTrans!C:C,AtlasReport_3_Table_1[[#This Row],[Ship date]])</f>
        <v>97.5</v>
      </c>
      <c r="I445" s="5" t="s">
        <v>15</v>
      </c>
      <c r="J445" s="5" t="s">
        <v>604</v>
      </c>
    </row>
    <row r="446" spans="1:10" x14ac:dyDescent="0.15">
      <c r="A446" s="5" t="s">
        <v>48</v>
      </c>
      <c r="B446" s="5" t="s">
        <v>82</v>
      </c>
      <c r="C446" s="5" t="s">
        <v>43</v>
      </c>
      <c r="D446" s="5" t="s">
        <v>38</v>
      </c>
      <c r="E446" s="9">
        <v>43664</v>
      </c>
      <c r="F446" s="6">
        <v>48.5</v>
      </c>
      <c r="G446" s="5" t="s">
        <v>15</v>
      </c>
      <c r="H446" s="6">
        <f>SUMIFS(InventTrans!F:F,InventTrans!B:B,AtlasReport_3_Table_1[[#This Row],[Lot ID]],InventTrans!C:C,AtlasReport_3_Table_1[[#This Row],[Ship date]])</f>
        <v>48.5</v>
      </c>
      <c r="I446" s="5" t="s">
        <v>15</v>
      </c>
      <c r="J446" s="5" t="s">
        <v>605</v>
      </c>
    </row>
    <row r="447" spans="1:10" ht="27" x14ac:dyDescent="0.15">
      <c r="A447" s="5" t="s">
        <v>48</v>
      </c>
      <c r="B447" s="5" t="s">
        <v>606</v>
      </c>
      <c r="C447" s="5" t="s">
        <v>49</v>
      </c>
      <c r="D447" s="7" t="s">
        <v>50</v>
      </c>
      <c r="E447" s="9">
        <v>43665</v>
      </c>
      <c r="F447" s="6">
        <v>100</v>
      </c>
      <c r="G447" s="5" t="s">
        <v>15</v>
      </c>
      <c r="H447" s="6">
        <f>SUMIFS(InventTrans!F:F,InventTrans!B:B,AtlasReport_3_Table_1[[#This Row],[Lot ID]],InventTrans!C:C,AtlasReport_3_Table_1[[#This Row],[Ship date]])</f>
        <v>100</v>
      </c>
      <c r="I447" s="5" t="s">
        <v>15</v>
      </c>
      <c r="J447" s="5" t="s">
        <v>607</v>
      </c>
    </row>
    <row r="448" spans="1:10" x14ac:dyDescent="0.15">
      <c r="A448" s="5" t="s">
        <v>48</v>
      </c>
      <c r="B448" s="5" t="s">
        <v>608</v>
      </c>
      <c r="C448" s="5" t="s">
        <v>37</v>
      </c>
      <c r="D448" s="5" t="s">
        <v>38</v>
      </c>
      <c r="E448" s="9">
        <v>43664</v>
      </c>
      <c r="F448" s="6">
        <v>195</v>
      </c>
      <c r="G448" s="5" t="s">
        <v>15</v>
      </c>
      <c r="H448" s="6">
        <f>SUMIFS(InventTrans!F:F,InventTrans!B:B,AtlasReport_3_Table_1[[#This Row],[Lot ID]],InventTrans!C:C,AtlasReport_3_Table_1[[#This Row],[Ship date]])</f>
        <v>195</v>
      </c>
      <c r="I448" s="5" t="s">
        <v>15</v>
      </c>
      <c r="J448" s="5" t="s">
        <v>609</v>
      </c>
    </row>
    <row r="449" spans="1:10" x14ac:dyDescent="0.15">
      <c r="A449" s="5" t="s">
        <v>48</v>
      </c>
      <c r="B449" s="5" t="s">
        <v>610</v>
      </c>
      <c r="C449" s="5" t="s">
        <v>43</v>
      </c>
      <c r="D449" s="5" t="s">
        <v>38</v>
      </c>
      <c r="E449" s="9">
        <v>43668</v>
      </c>
      <c r="F449" s="6">
        <v>6062.5</v>
      </c>
      <c r="G449" s="5" t="s">
        <v>15</v>
      </c>
      <c r="H449" s="6">
        <f>SUMIFS(InventTrans!F:F,InventTrans!B:B,AtlasReport_3_Table_1[[#This Row],[Lot ID]],InventTrans!C:C,AtlasReport_3_Table_1[[#This Row],[Ship date]])</f>
        <v>6062.5</v>
      </c>
      <c r="I449" s="5" t="s">
        <v>15</v>
      </c>
      <c r="J449" s="5" t="s">
        <v>611</v>
      </c>
    </row>
    <row r="450" spans="1:10" x14ac:dyDescent="0.15">
      <c r="A450" s="5" t="s">
        <v>48</v>
      </c>
      <c r="B450" s="5" t="s">
        <v>610</v>
      </c>
      <c r="C450" s="5" t="s">
        <v>42</v>
      </c>
      <c r="D450" s="5" t="s">
        <v>38</v>
      </c>
      <c r="E450" s="9">
        <v>43668</v>
      </c>
      <c r="F450" s="6">
        <v>4650</v>
      </c>
      <c r="G450" s="5" t="s">
        <v>15</v>
      </c>
      <c r="H450" s="6">
        <f>SUMIFS(InventTrans!F:F,InventTrans!B:B,AtlasReport_3_Table_1[[#This Row],[Lot ID]],InventTrans!C:C,AtlasReport_3_Table_1[[#This Row],[Ship date]])</f>
        <v>4650</v>
      </c>
      <c r="I450" s="5" t="s">
        <v>15</v>
      </c>
      <c r="J450" s="5" t="s">
        <v>612</v>
      </c>
    </row>
    <row r="451" spans="1:10" x14ac:dyDescent="0.15">
      <c r="A451" s="5" t="s">
        <v>48</v>
      </c>
      <c r="B451" s="5" t="s">
        <v>610</v>
      </c>
      <c r="C451" s="5" t="s">
        <v>37</v>
      </c>
      <c r="D451" s="5" t="s">
        <v>38</v>
      </c>
      <c r="E451" s="9">
        <v>43668</v>
      </c>
      <c r="F451" s="6">
        <v>6045</v>
      </c>
      <c r="G451" s="5" t="s">
        <v>15</v>
      </c>
      <c r="H451" s="6">
        <f>SUMIFS(InventTrans!F:F,InventTrans!B:B,AtlasReport_3_Table_1[[#This Row],[Lot ID]],InventTrans!C:C,AtlasReport_3_Table_1[[#This Row],[Ship date]])</f>
        <v>6045</v>
      </c>
      <c r="I451" s="5" t="s">
        <v>15</v>
      </c>
      <c r="J451" s="5" t="s">
        <v>613</v>
      </c>
    </row>
    <row r="452" spans="1:10" x14ac:dyDescent="0.15">
      <c r="A452" s="5" t="s">
        <v>48</v>
      </c>
      <c r="B452" s="5" t="s">
        <v>614</v>
      </c>
      <c r="C452" s="5" t="s">
        <v>43</v>
      </c>
      <c r="D452" s="5" t="s">
        <v>38</v>
      </c>
      <c r="E452" s="9">
        <v>43668</v>
      </c>
      <c r="F452" s="6">
        <v>1843</v>
      </c>
      <c r="G452" s="5" t="s">
        <v>15</v>
      </c>
      <c r="H452" s="6">
        <f>SUMIFS(InventTrans!F:F,InventTrans!B:B,AtlasReport_3_Table_1[[#This Row],[Lot ID]],InventTrans!C:C,AtlasReport_3_Table_1[[#This Row],[Ship date]])</f>
        <v>1843</v>
      </c>
      <c r="I452" s="5" t="s">
        <v>15</v>
      </c>
      <c r="J452" s="5" t="s">
        <v>615</v>
      </c>
    </row>
    <row r="453" spans="1:10" x14ac:dyDescent="0.15">
      <c r="A453" s="5" t="s">
        <v>48</v>
      </c>
      <c r="B453" s="5" t="s">
        <v>83</v>
      </c>
      <c r="C453" s="5" t="s">
        <v>44</v>
      </c>
      <c r="D453" s="5" t="s">
        <v>45</v>
      </c>
      <c r="E453" s="9">
        <v>43668</v>
      </c>
      <c r="F453" s="6">
        <v>10042.5</v>
      </c>
      <c r="G453" s="5" t="s">
        <v>15</v>
      </c>
      <c r="H453" s="6">
        <f>SUMIFS(InventTrans!F:F,InventTrans!B:B,AtlasReport_3_Table_1[[#This Row],[Lot ID]],InventTrans!C:C,AtlasReport_3_Table_1[[#This Row],[Ship date]])</f>
        <v>10042.5</v>
      </c>
      <c r="I453" s="5" t="s">
        <v>15</v>
      </c>
      <c r="J453" s="5" t="s">
        <v>616</v>
      </c>
    </row>
    <row r="454" spans="1:10" x14ac:dyDescent="0.15">
      <c r="A454" s="5" t="s">
        <v>48</v>
      </c>
      <c r="B454" s="5" t="s">
        <v>617</v>
      </c>
      <c r="C454" s="5" t="s">
        <v>37</v>
      </c>
      <c r="D454" s="5" t="s">
        <v>38</v>
      </c>
      <c r="E454" s="9">
        <v>43670</v>
      </c>
      <c r="F454" s="6">
        <v>10042.5</v>
      </c>
      <c r="G454" s="5" t="s">
        <v>15</v>
      </c>
      <c r="H454" s="6">
        <f>SUMIFS(InventTrans!F:F,InventTrans!B:B,AtlasReport_3_Table_1[[#This Row],[Lot ID]],InventTrans!C:C,AtlasReport_3_Table_1[[#This Row],[Ship date]])</f>
        <v>10042.5</v>
      </c>
      <c r="I454" s="5" t="s">
        <v>15</v>
      </c>
      <c r="J454" s="5" t="s">
        <v>618</v>
      </c>
    </row>
    <row r="455" spans="1:10" x14ac:dyDescent="0.15">
      <c r="A455" s="5" t="s">
        <v>48</v>
      </c>
      <c r="B455" s="5" t="s">
        <v>617</v>
      </c>
      <c r="C455" s="5" t="s">
        <v>40</v>
      </c>
      <c r="D455" s="5" t="s">
        <v>36</v>
      </c>
      <c r="E455" s="9">
        <v>43670</v>
      </c>
      <c r="F455" s="6">
        <v>6000</v>
      </c>
      <c r="G455" s="5" t="s">
        <v>15</v>
      </c>
      <c r="H455" s="6">
        <f>SUMIFS(InventTrans!F:F,InventTrans!B:B,AtlasReport_3_Table_1[[#This Row],[Lot ID]],InventTrans!C:C,AtlasReport_3_Table_1[[#This Row],[Ship date]])</f>
        <v>6000</v>
      </c>
      <c r="I455" s="5" t="s">
        <v>15</v>
      </c>
      <c r="J455" s="5" t="s">
        <v>619</v>
      </c>
    </row>
    <row r="456" spans="1:10" x14ac:dyDescent="0.15">
      <c r="A456" s="5" t="s">
        <v>48</v>
      </c>
      <c r="B456" s="5" t="s">
        <v>617</v>
      </c>
      <c r="C456" s="5" t="s">
        <v>35</v>
      </c>
      <c r="D456" s="5" t="s">
        <v>36</v>
      </c>
      <c r="E456" s="9">
        <v>43670</v>
      </c>
      <c r="F456" s="6">
        <v>6045</v>
      </c>
      <c r="G456" s="5" t="s">
        <v>15</v>
      </c>
      <c r="H456" s="6">
        <f>SUMIFS(InventTrans!F:F,InventTrans!B:B,AtlasReport_3_Table_1[[#This Row],[Lot ID]],InventTrans!C:C,AtlasReport_3_Table_1[[#This Row],[Ship date]])</f>
        <v>6045</v>
      </c>
      <c r="I456" s="5" t="s">
        <v>15</v>
      </c>
      <c r="J456" s="5" t="s">
        <v>620</v>
      </c>
    </row>
    <row r="457" spans="1:10" x14ac:dyDescent="0.15">
      <c r="A457" s="5" t="s">
        <v>48</v>
      </c>
      <c r="B457" s="5" t="s">
        <v>84</v>
      </c>
      <c r="C457" s="5" t="s">
        <v>37</v>
      </c>
      <c r="D457" s="5" t="s">
        <v>38</v>
      </c>
      <c r="E457" s="9">
        <v>43669</v>
      </c>
      <c r="F457" s="6">
        <v>1365</v>
      </c>
      <c r="G457" s="5" t="s">
        <v>15</v>
      </c>
      <c r="H457" s="6">
        <f>SUMIFS(InventTrans!F:F,InventTrans!B:B,AtlasReport_3_Table_1[[#This Row],[Lot ID]],InventTrans!C:C,AtlasReport_3_Table_1[[#This Row],[Ship date]])</f>
        <v>1365</v>
      </c>
      <c r="I457" s="5" t="s">
        <v>15</v>
      </c>
      <c r="J457" s="5" t="s">
        <v>621</v>
      </c>
    </row>
    <row r="458" spans="1:10" x14ac:dyDescent="0.15">
      <c r="A458" s="5" t="s">
        <v>48</v>
      </c>
      <c r="B458" s="5" t="s">
        <v>85</v>
      </c>
      <c r="C458" s="5" t="s">
        <v>37</v>
      </c>
      <c r="D458" s="5" t="s">
        <v>38</v>
      </c>
      <c r="E458" s="9">
        <v>43670</v>
      </c>
      <c r="F458" s="6">
        <v>7995</v>
      </c>
      <c r="G458" s="5" t="s">
        <v>15</v>
      </c>
      <c r="H458" s="6">
        <f>SUMIFS(InventTrans!F:F,InventTrans!B:B,AtlasReport_3_Table_1[[#This Row],[Lot ID]],InventTrans!C:C,AtlasReport_3_Table_1[[#This Row],[Ship date]])</f>
        <v>7995</v>
      </c>
      <c r="I458" s="5" t="s">
        <v>15</v>
      </c>
      <c r="J458" s="5" t="s">
        <v>622</v>
      </c>
    </row>
    <row r="459" spans="1:10" x14ac:dyDescent="0.15">
      <c r="A459" s="5" t="s">
        <v>48</v>
      </c>
      <c r="B459" s="5" t="s">
        <v>623</v>
      </c>
      <c r="C459" s="5" t="s">
        <v>35</v>
      </c>
      <c r="D459" s="5" t="s">
        <v>36</v>
      </c>
      <c r="E459" s="9">
        <v>43670</v>
      </c>
      <c r="F459" s="6">
        <v>7800</v>
      </c>
      <c r="G459" s="5" t="s">
        <v>15</v>
      </c>
      <c r="H459" s="6">
        <f>SUMIFS(InventTrans!F:F,InventTrans!B:B,AtlasReport_3_Table_1[[#This Row],[Lot ID]],InventTrans!C:C,AtlasReport_3_Table_1[[#This Row],[Ship date]])</f>
        <v>7800</v>
      </c>
      <c r="I459" s="5" t="s">
        <v>15</v>
      </c>
      <c r="J459" s="5" t="s">
        <v>624</v>
      </c>
    </row>
    <row r="460" spans="1:10" x14ac:dyDescent="0.15">
      <c r="A460" s="5" t="s">
        <v>48</v>
      </c>
      <c r="B460" s="5" t="s">
        <v>623</v>
      </c>
      <c r="C460" s="5" t="s">
        <v>37</v>
      </c>
      <c r="D460" s="5" t="s">
        <v>38</v>
      </c>
      <c r="E460" s="9">
        <v>43670</v>
      </c>
      <c r="F460" s="6">
        <v>12285</v>
      </c>
      <c r="G460" s="5" t="s">
        <v>15</v>
      </c>
      <c r="H460" s="6">
        <f>SUMIFS(InventTrans!F:F,InventTrans!B:B,AtlasReport_3_Table_1[[#This Row],[Lot ID]],InventTrans!C:C,AtlasReport_3_Table_1[[#This Row],[Ship date]])</f>
        <v>12285</v>
      </c>
      <c r="I460" s="5" t="s">
        <v>15</v>
      </c>
      <c r="J460" s="5" t="s">
        <v>625</v>
      </c>
    </row>
    <row r="461" spans="1:10" x14ac:dyDescent="0.15">
      <c r="A461" s="5" t="s">
        <v>48</v>
      </c>
      <c r="B461" s="5" t="s">
        <v>86</v>
      </c>
      <c r="C461" s="5" t="s">
        <v>41</v>
      </c>
      <c r="D461" s="5" t="s">
        <v>36</v>
      </c>
      <c r="E461" s="9">
        <v>43670</v>
      </c>
      <c r="F461" s="6">
        <v>1649</v>
      </c>
      <c r="G461" s="5" t="s">
        <v>15</v>
      </c>
      <c r="H461" s="6">
        <f>SUMIFS(InventTrans!F:F,InventTrans!B:B,AtlasReport_3_Table_1[[#This Row],[Lot ID]],InventTrans!C:C,AtlasReport_3_Table_1[[#This Row],[Ship date]])</f>
        <v>1649</v>
      </c>
      <c r="I461" s="5" t="s">
        <v>15</v>
      </c>
      <c r="J461" s="5" t="s">
        <v>626</v>
      </c>
    </row>
    <row r="462" spans="1:10" x14ac:dyDescent="0.15">
      <c r="A462" s="5" t="s">
        <v>48</v>
      </c>
      <c r="B462" s="5" t="s">
        <v>86</v>
      </c>
      <c r="C462" s="5" t="s">
        <v>40</v>
      </c>
      <c r="D462" s="5" t="s">
        <v>36</v>
      </c>
      <c r="E462" s="9">
        <v>43670</v>
      </c>
      <c r="F462" s="6">
        <v>3975</v>
      </c>
      <c r="G462" s="5" t="s">
        <v>15</v>
      </c>
      <c r="H462" s="6">
        <f>SUMIFS(InventTrans!F:F,InventTrans!B:B,AtlasReport_3_Table_1[[#This Row],[Lot ID]],InventTrans!C:C,AtlasReport_3_Table_1[[#This Row],[Ship date]])</f>
        <v>3975</v>
      </c>
      <c r="I462" s="5" t="s">
        <v>15</v>
      </c>
      <c r="J462" s="5" t="s">
        <v>627</v>
      </c>
    </row>
    <row r="463" spans="1:10" x14ac:dyDescent="0.15">
      <c r="A463" s="5" t="s">
        <v>48</v>
      </c>
      <c r="B463" s="5" t="s">
        <v>86</v>
      </c>
      <c r="C463" s="5" t="s">
        <v>35</v>
      </c>
      <c r="D463" s="5" t="s">
        <v>36</v>
      </c>
      <c r="E463" s="9">
        <v>43670</v>
      </c>
      <c r="F463" s="6">
        <v>6922.5</v>
      </c>
      <c r="G463" s="5" t="s">
        <v>15</v>
      </c>
      <c r="H463" s="6">
        <f>SUMIFS(InventTrans!F:F,InventTrans!B:B,AtlasReport_3_Table_1[[#This Row],[Lot ID]],InventTrans!C:C,AtlasReport_3_Table_1[[#This Row],[Ship date]])</f>
        <v>6922.5</v>
      </c>
      <c r="I463" s="5" t="s">
        <v>15</v>
      </c>
      <c r="J463" s="5" t="s">
        <v>628</v>
      </c>
    </row>
    <row r="464" spans="1:10" x14ac:dyDescent="0.15">
      <c r="A464" s="5" t="s">
        <v>48</v>
      </c>
      <c r="B464" s="5" t="s">
        <v>87</v>
      </c>
      <c r="C464" s="5" t="s">
        <v>64</v>
      </c>
      <c r="D464" s="5" t="s">
        <v>54</v>
      </c>
      <c r="E464" s="9">
        <v>43669</v>
      </c>
      <c r="F464" s="6">
        <v>9300</v>
      </c>
      <c r="G464" s="5" t="s">
        <v>15</v>
      </c>
      <c r="H464" s="6">
        <f>SUMIFS(InventTrans!F:F,InventTrans!B:B,AtlasReport_3_Table_1[[#This Row],[Lot ID]],InventTrans!C:C,AtlasReport_3_Table_1[[#This Row],[Ship date]])</f>
        <v>9300</v>
      </c>
      <c r="I464" s="5" t="s">
        <v>15</v>
      </c>
      <c r="J464" s="5" t="s">
        <v>629</v>
      </c>
    </row>
    <row r="465" spans="1:10" x14ac:dyDescent="0.15">
      <c r="A465" s="5" t="s">
        <v>48</v>
      </c>
      <c r="B465" s="5" t="s">
        <v>88</v>
      </c>
      <c r="C465" s="5" t="s">
        <v>43</v>
      </c>
      <c r="D465" s="5" t="s">
        <v>38</v>
      </c>
      <c r="E465" s="9">
        <v>43671</v>
      </c>
      <c r="F465" s="6">
        <v>97</v>
      </c>
      <c r="G465" s="5" t="s">
        <v>15</v>
      </c>
      <c r="H465" s="6">
        <f>SUMIFS(InventTrans!F:F,InventTrans!B:B,AtlasReport_3_Table_1[[#This Row],[Lot ID]],InventTrans!C:C,AtlasReport_3_Table_1[[#This Row],[Ship date]])</f>
        <v>97</v>
      </c>
      <c r="I465" s="5" t="s">
        <v>15</v>
      </c>
      <c r="J465" s="5" t="s">
        <v>630</v>
      </c>
    </row>
    <row r="466" spans="1:10" x14ac:dyDescent="0.15">
      <c r="A466" s="5" t="s">
        <v>48</v>
      </c>
      <c r="B466" s="5" t="s">
        <v>89</v>
      </c>
      <c r="C466" s="5" t="s">
        <v>37</v>
      </c>
      <c r="D466" s="5" t="s">
        <v>38</v>
      </c>
      <c r="E466" s="9">
        <v>43671</v>
      </c>
      <c r="F466" s="6">
        <v>1950</v>
      </c>
      <c r="G466" s="5" t="s">
        <v>15</v>
      </c>
      <c r="H466" s="6">
        <f>SUMIFS(InventTrans!F:F,InventTrans!B:B,AtlasReport_3_Table_1[[#This Row],[Lot ID]],InventTrans!C:C,AtlasReport_3_Table_1[[#This Row],[Ship date]])</f>
        <v>1950</v>
      </c>
      <c r="I466" s="5" t="s">
        <v>15</v>
      </c>
      <c r="J466" s="5" t="s">
        <v>631</v>
      </c>
    </row>
    <row r="467" spans="1:10" x14ac:dyDescent="0.15">
      <c r="A467" s="5" t="s">
        <v>48</v>
      </c>
      <c r="B467" s="5" t="s">
        <v>632</v>
      </c>
      <c r="C467" s="5" t="s">
        <v>35</v>
      </c>
      <c r="D467" s="5" t="s">
        <v>36</v>
      </c>
      <c r="E467" s="9">
        <v>43671</v>
      </c>
      <c r="F467" s="6">
        <v>4972.5</v>
      </c>
      <c r="G467" s="5" t="s">
        <v>15</v>
      </c>
      <c r="H467" s="6">
        <f>SUMIFS(InventTrans!F:F,InventTrans!B:B,AtlasReport_3_Table_1[[#This Row],[Lot ID]],InventTrans!C:C,AtlasReport_3_Table_1[[#This Row],[Ship date]])</f>
        <v>4972.5</v>
      </c>
      <c r="I467" s="5" t="s">
        <v>15</v>
      </c>
      <c r="J467" s="5" t="s">
        <v>633</v>
      </c>
    </row>
    <row r="468" spans="1:10" x14ac:dyDescent="0.15">
      <c r="A468" s="5" t="s">
        <v>48</v>
      </c>
      <c r="B468" s="5" t="s">
        <v>90</v>
      </c>
      <c r="C468" s="5" t="s">
        <v>40</v>
      </c>
      <c r="D468" s="5" t="s">
        <v>36</v>
      </c>
      <c r="E468" s="9">
        <v>43671</v>
      </c>
      <c r="F468" s="6">
        <v>-2700</v>
      </c>
      <c r="G468" s="5" t="s">
        <v>15</v>
      </c>
      <c r="H468" s="6">
        <f>SUMIFS(InventTrans!F:F,InventTrans!B:B,AtlasReport_3_Table_1[[#This Row],[Lot ID]],InventTrans!C:C,AtlasReport_3_Table_1[[#This Row],[Ship date]])</f>
        <v>-2700</v>
      </c>
      <c r="I468" s="5" t="s">
        <v>15</v>
      </c>
      <c r="J468" s="5" t="s">
        <v>634</v>
      </c>
    </row>
    <row r="469" spans="1:10" x14ac:dyDescent="0.15">
      <c r="A469" s="5" t="s">
        <v>48</v>
      </c>
      <c r="B469" s="5" t="s">
        <v>635</v>
      </c>
      <c r="C469" s="5" t="s">
        <v>35</v>
      </c>
      <c r="D469" s="5" t="s">
        <v>36</v>
      </c>
      <c r="E469" s="9">
        <v>43672</v>
      </c>
      <c r="F469" s="6">
        <v>-7800</v>
      </c>
      <c r="G469" s="5" t="s">
        <v>15</v>
      </c>
      <c r="H469" s="6">
        <f>SUMIFS(InventTrans!F:F,InventTrans!B:B,AtlasReport_3_Table_1[[#This Row],[Lot ID]],InventTrans!C:C,AtlasReport_3_Table_1[[#This Row],[Ship date]])</f>
        <v>-7800</v>
      </c>
      <c r="I469" s="5" t="s">
        <v>15</v>
      </c>
      <c r="J469" s="5" t="s">
        <v>636</v>
      </c>
    </row>
    <row r="470" spans="1:10" x14ac:dyDescent="0.15">
      <c r="A470" s="5" t="s">
        <v>48</v>
      </c>
      <c r="B470" s="5" t="s">
        <v>635</v>
      </c>
      <c r="C470" s="5" t="s">
        <v>37</v>
      </c>
      <c r="D470" s="5" t="s">
        <v>38</v>
      </c>
      <c r="E470" s="9">
        <v>43672</v>
      </c>
      <c r="F470" s="6">
        <v>-12285</v>
      </c>
      <c r="G470" s="5" t="s">
        <v>15</v>
      </c>
      <c r="H470" s="6">
        <f>SUMIFS(InventTrans!F:F,InventTrans!B:B,AtlasReport_3_Table_1[[#This Row],[Lot ID]],InventTrans!C:C,AtlasReport_3_Table_1[[#This Row],[Ship date]])</f>
        <v>-12285</v>
      </c>
      <c r="I470" s="5" t="s">
        <v>15</v>
      </c>
      <c r="J470" s="5" t="s">
        <v>637</v>
      </c>
    </row>
    <row r="471" spans="1:10" x14ac:dyDescent="0.15">
      <c r="A471" s="5" t="s">
        <v>48</v>
      </c>
      <c r="B471" s="5" t="s">
        <v>638</v>
      </c>
      <c r="C471" s="5" t="s">
        <v>37</v>
      </c>
      <c r="D471" s="5" t="s">
        <v>38</v>
      </c>
      <c r="E471" s="9">
        <v>43671</v>
      </c>
      <c r="F471" s="6">
        <v>487.5</v>
      </c>
      <c r="G471" s="5" t="s">
        <v>15</v>
      </c>
      <c r="H471" s="6">
        <f>SUMIFS(InventTrans!F:F,InventTrans!B:B,AtlasReport_3_Table_1[[#This Row],[Lot ID]],InventTrans!C:C,AtlasReport_3_Table_1[[#This Row],[Ship date]])</f>
        <v>487.5</v>
      </c>
      <c r="I471" s="5" t="s">
        <v>15</v>
      </c>
      <c r="J471" s="5" t="s">
        <v>639</v>
      </c>
    </row>
    <row r="472" spans="1:10" x14ac:dyDescent="0.15">
      <c r="A472" s="5" t="s">
        <v>48</v>
      </c>
      <c r="B472" s="5" t="s">
        <v>638</v>
      </c>
      <c r="C472" s="5" t="s">
        <v>35</v>
      </c>
      <c r="D472" s="5" t="s">
        <v>36</v>
      </c>
      <c r="E472" s="9">
        <v>43671</v>
      </c>
      <c r="F472" s="6">
        <v>1560</v>
      </c>
      <c r="G472" s="5" t="s">
        <v>15</v>
      </c>
      <c r="H472" s="6">
        <f>SUMIFS(InventTrans!F:F,InventTrans!B:B,AtlasReport_3_Table_1[[#This Row],[Lot ID]],InventTrans!C:C,AtlasReport_3_Table_1[[#This Row],[Ship date]])</f>
        <v>1560</v>
      </c>
      <c r="I472" s="5" t="s">
        <v>15</v>
      </c>
      <c r="J472" s="5" t="s">
        <v>640</v>
      </c>
    </row>
    <row r="473" spans="1:10" x14ac:dyDescent="0.15">
      <c r="A473" s="5" t="s">
        <v>48</v>
      </c>
      <c r="B473" s="5" t="s">
        <v>91</v>
      </c>
      <c r="C473" s="5" t="s">
        <v>37</v>
      </c>
      <c r="D473" s="5" t="s">
        <v>38</v>
      </c>
      <c r="E473" s="9">
        <v>43672</v>
      </c>
      <c r="F473" s="6">
        <v>4680</v>
      </c>
      <c r="G473" s="5" t="s">
        <v>15</v>
      </c>
      <c r="H473" s="6">
        <f>SUMIFS(InventTrans!F:F,InventTrans!B:B,AtlasReport_3_Table_1[[#This Row],[Lot ID]],InventTrans!C:C,AtlasReport_3_Table_1[[#This Row],[Ship date]])</f>
        <v>4680</v>
      </c>
      <c r="I473" s="5" t="s">
        <v>15</v>
      </c>
      <c r="J473" s="5" t="s">
        <v>641</v>
      </c>
    </row>
    <row r="474" spans="1:10" x14ac:dyDescent="0.15">
      <c r="A474" s="5" t="s">
        <v>48</v>
      </c>
      <c r="B474" s="5" t="s">
        <v>91</v>
      </c>
      <c r="C474" s="5" t="s">
        <v>35</v>
      </c>
      <c r="D474" s="5" t="s">
        <v>36</v>
      </c>
      <c r="E474" s="9">
        <v>43672</v>
      </c>
      <c r="F474" s="6">
        <v>2632.5</v>
      </c>
      <c r="G474" s="5" t="s">
        <v>15</v>
      </c>
      <c r="H474" s="6">
        <f>SUMIFS(InventTrans!F:F,InventTrans!B:B,AtlasReport_3_Table_1[[#This Row],[Lot ID]],InventTrans!C:C,AtlasReport_3_Table_1[[#This Row],[Ship date]])</f>
        <v>2632.5</v>
      </c>
      <c r="I474" s="5" t="s">
        <v>15</v>
      </c>
      <c r="J474" s="5" t="s">
        <v>642</v>
      </c>
    </row>
    <row r="475" spans="1:10" x14ac:dyDescent="0.15">
      <c r="A475" s="5" t="s">
        <v>48</v>
      </c>
      <c r="B475" s="5" t="s">
        <v>92</v>
      </c>
      <c r="C475" s="5" t="s">
        <v>35</v>
      </c>
      <c r="D475" s="5" t="s">
        <v>36</v>
      </c>
      <c r="E475" s="9">
        <v>43675</v>
      </c>
      <c r="F475" s="6">
        <v>3900</v>
      </c>
      <c r="G475" s="5" t="s">
        <v>15</v>
      </c>
      <c r="H475" s="6">
        <f>SUMIFS(InventTrans!F:F,InventTrans!B:B,AtlasReport_3_Table_1[[#This Row],[Lot ID]],InventTrans!C:C,AtlasReport_3_Table_1[[#This Row],[Ship date]])</f>
        <v>3900</v>
      </c>
      <c r="I475" s="5" t="s">
        <v>15</v>
      </c>
      <c r="J475" s="5" t="s">
        <v>643</v>
      </c>
    </row>
    <row r="476" spans="1:10" x14ac:dyDescent="0.15">
      <c r="A476" s="5" t="s">
        <v>48</v>
      </c>
      <c r="B476" s="5" t="s">
        <v>644</v>
      </c>
      <c r="C476" s="5" t="s">
        <v>64</v>
      </c>
      <c r="D476" s="5" t="s">
        <v>54</v>
      </c>
      <c r="E476" s="9">
        <v>43672</v>
      </c>
      <c r="F476" s="6">
        <v>12750</v>
      </c>
      <c r="G476" s="5" t="s">
        <v>15</v>
      </c>
      <c r="H476" s="6">
        <f>SUMIFS(InventTrans!F:F,InventTrans!B:B,AtlasReport_3_Table_1[[#This Row],[Lot ID]],InventTrans!C:C,AtlasReport_3_Table_1[[#This Row],[Ship date]])</f>
        <v>12750</v>
      </c>
      <c r="I476" s="5" t="s">
        <v>15</v>
      </c>
      <c r="J476" s="5" t="s">
        <v>645</v>
      </c>
    </row>
    <row r="477" spans="1:10" x14ac:dyDescent="0.15">
      <c r="A477" s="5" t="s">
        <v>48</v>
      </c>
      <c r="B477" s="5" t="s">
        <v>646</v>
      </c>
      <c r="C477" s="5" t="s">
        <v>37</v>
      </c>
      <c r="D477" s="5" t="s">
        <v>38</v>
      </c>
      <c r="E477" s="9">
        <v>43672</v>
      </c>
      <c r="F477" s="6">
        <v>1365</v>
      </c>
      <c r="G477" s="5" t="s">
        <v>15</v>
      </c>
      <c r="H477" s="6">
        <f>SUMIFS(InventTrans!F:F,InventTrans!B:B,AtlasReport_3_Table_1[[#This Row],[Lot ID]],InventTrans!C:C,AtlasReport_3_Table_1[[#This Row],[Ship date]])</f>
        <v>1365</v>
      </c>
      <c r="I477" s="5" t="s">
        <v>15</v>
      </c>
      <c r="J477" s="5" t="s">
        <v>647</v>
      </c>
    </row>
    <row r="478" spans="1:10" x14ac:dyDescent="0.15">
      <c r="A478" s="5" t="s">
        <v>48</v>
      </c>
      <c r="B478" s="5" t="s">
        <v>93</v>
      </c>
      <c r="C478" s="5" t="s">
        <v>37</v>
      </c>
      <c r="D478" s="5" t="s">
        <v>38</v>
      </c>
      <c r="E478" s="9">
        <v>43675</v>
      </c>
      <c r="F478" s="6">
        <v>6825</v>
      </c>
      <c r="G478" s="5" t="s">
        <v>15</v>
      </c>
      <c r="H478" s="6">
        <f>SUMIFS(InventTrans!F:F,InventTrans!B:B,AtlasReport_3_Table_1[[#This Row],[Lot ID]],InventTrans!C:C,AtlasReport_3_Table_1[[#This Row],[Ship date]])</f>
        <v>6825</v>
      </c>
      <c r="I478" s="5" t="s">
        <v>15</v>
      </c>
      <c r="J478" s="5" t="s">
        <v>648</v>
      </c>
    </row>
    <row r="479" spans="1:10" x14ac:dyDescent="0.15">
      <c r="A479" s="5" t="s">
        <v>48</v>
      </c>
      <c r="B479" s="5" t="s">
        <v>94</v>
      </c>
      <c r="C479" s="5" t="s">
        <v>43</v>
      </c>
      <c r="D479" s="5" t="s">
        <v>38</v>
      </c>
      <c r="E479" s="9">
        <v>43678</v>
      </c>
      <c r="F479" s="6">
        <v>776</v>
      </c>
      <c r="G479" s="5" t="s">
        <v>15</v>
      </c>
      <c r="H479" s="6">
        <f>SUMIFS(InventTrans!F:F,InventTrans!B:B,AtlasReport_3_Table_1[[#This Row],[Lot ID]],InventTrans!C:C,AtlasReport_3_Table_1[[#This Row],[Ship date]])</f>
        <v>776</v>
      </c>
      <c r="I479" s="5" t="s">
        <v>15</v>
      </c>
      <c r="J479" s="5" t="s">
        <v>649</v>
      </c>
    </row>
    <row r="480" spans="1:10" x14ac:dyDescent="0.15">
      <c r="A480" s="5" t="s">
        <v>48</v>
      </c>
      <c r="B480" s="5" t="s">
        <v>94</v>
      </c>
      <c r="C480" s="5" t="s">
        <v>37</v>
      </c>
      <c r="D480" s="5" t="s">
        <v>38</v>
      </c>
      <c r="E480" s="9">
        <v>43678</v>
      </c>
      <c r="F480" s="6">
        <v>780</v>
      </c>
      <c r="G480" s="5" t="s">
        <v>15</v>
      </c>
      <c r="H480" s="6">
        <f>SUMIFS(InventTrans!F:F,InventTrans!B:B,AtlasReport_3_Table_1[[#This Row],[Lot ID]],InventTrans!C:C,AtlasReport_3_Table_1[[#This Row],[Ship date]])</f>
        <v>780</v>
      </c>
      <c r="I480" s="5" t="s">
        <v>15</v>
      </c>
      <c r="J480" s="5" t="s">
        <v>650</v>
      </c>
    </row>
    <row r="481" spans="1:10" x14ac:dyDescent="0.15">
      <c r="A481" s="5" t="s">
        <v>48</v>
      </c>
      <c r="B481" s="5" t="s">
        <v>651</v>
      </c>
      <c r="C481" s="5" t="s">
        <v>37</v>
      </c>
      <c r="D481" s="5" t="s">
        <v>38</v>
      </c>
      <c r="E481" s="9">
        <v>43678</v>
      </c>
      <c r="F481" s="6">
        <v>1560</v>
      </c>
      <c r="G481" s="5" t="s">
        <v>15</v>
      </c>
      <c r="H481" s="6">
        <f>SUMIFS(InventTrans!F:F,InventTrans!B:B,AtlasReport_3_Table_1[[#This Row],[Lot ID]],InventTrans!C:C,AtlasReport_3_Table_1[[#This Row],[Ship date]])</f>
        <v>1560</v>
      </c>
      <c r="I481" s="5" t="s">
        <v>15</v>
      </c>
      <c r="J481" s="5" t="s">
        <v>652</v>
      </c>
    </row>
    <row r="482" spans="1:10" x14ac:dyDescent="0.15">
      <c r="A482" s="5" t="s">
        <v>48</v>
      </c>
      <c r="B482" s="5" t="s">
        <v>95</v>
      </c>
      <c r="C482" s="5" t="s">
        <v>35</v>
      </c>
      <c r="D482" s="5" t="s">
        <v>36</v>
      </c>
      <c r="E482" s="9">
        <v>43678</v>
      </c>
      <c r="F482" s="6">
        <v>2535</v>
      </c>
      <c r="G482" s="5" t="s">
        <v>15</v>
      </c>
      <c r="H482" s="6">
        <f>SUMIFS(InventTrans!F:F,InventTrans!B:B,AtlasReport_3_Table_1[[#This Row],[Lot ID]],InventTrans!C:C,AtlasReport_3_Table_1[[#This Row],[Ship date]])</f>
        <v>2535</v>
      </c>
      <c r="I482" s="5" t="s">
        <v>15</v>
      </c>
      <c r="J482" s="5" t="s">
        <v>653</v>
      </c>
    </row>
    <row r="483" spans="1:10" ht="27" x14ac:dyDescent="0.15">
      <c r="A483" s="5" t="s">
        <v>48</v>
      </c>
      <c r="B483" s="5" t="s">
        <v>654</v>
      </c>
      <c r="C483" s="5" t="s">
        <v>49</v>
      </c>
      <c r="D483" s="7" t="s">
        <v>50</v>
      </c>
      <c r="E483" s="9">
        <v>43678</v>
      </c>
      <c r="F483" s="6">
        <v>40</v>
      </c>
      <c r="G483" s="5" t="s">
        <v>15</v>
      </c>
      <c r="H483" s="6">
        <f>SUMIFS(InventTrans!F:F,InventTrans!B:B,AtlasReport_3_Table_1[[#This Row],[Lot ID]],InventTrans!C:C,AtlasReport_3_Table_1[[#This Row],[Ship date]])</f>
        <v>40</v>
      </c>
      <c r="I483" s="5" t="s">
        <v>15</v>
      </c>
      <c r="J483" s="5" t="s">
        <v>655</v>
      </c>
    </row>
    <row r="484" spans="1:10" x14ac:dyDescent="0.15">
      <c r="A484" s="5" t="s">
        <v>48</v>
      </c>
      <c r="B484" s="5" t="s">
        <v>656</v>
      </c>
      <c r="C484" s="5" t="s">
        <v>35</v>
      </c>
      <c r="D484" s="5" t="s">
        <v>36</v>
      </c>
      <c r="E484" s="9">
        <v>43678</v>
      </c>
      <c r="F484" s="6">
        <v>1170</v>
      </c>
      <c r="G484" s="5" t="s">
        <v>15</v>
      </c>
      <c r="H484" s="6">
        <f>SUMIFS(InventTrans!F:F,InventTrans!B:B,AtlasReport_3_Table_1[[#This Row],[Lot ID]],InventTrans!C:C,AtlasReport_3_Table_1[[#This Row],[Ship date]])</f>
        <v>1170</v>
      </c>
      <c r="I484" s="5" t="s">
        <v>15</v>
      </c>
      <c r="J484" s="5" t="s">
        <v>657</v>
      </c>
    </row>
    <row r="485" spans="1:10" x14ac:dyDescent="0.15">
      <c r="A485" s="5" t="s">
        <v>48</v>
      </c>
      <c r="B485" s="5" t="s">
        <v>658</v>
      </c>
      <c r="C485" s="5" t="s">
        <v>35</v>
      </c>
      <c r="D485" s="5" t="s">
        <v>36</v>
      </c>
      <c r="E485" s="9">
        <v>43678</v>
      </c>
      <c r="F485" s="6">
        <v>1462.5</v>
      </c>
      <c r="G485" s="5" t="s">
        <v>15</v>
      </c>
      <c r="H485" s="6">
        <f>SUMIFS(InventTrans!F:F,InventTrans!B:B,AtlasReport_3_Table_1[[#This Row],[Lot ID]],InventTrans!C:C,AtlasReport_3_Table_1[[#This Row],[Ship date]])</f>
        <v>1462.5</v>
      </c>
      <c r="I485" s="5" t="s">
        <v>15</v>
      </c>
      <c r="J485" s="5" t="s">
        <v>659</v>
      </c>
    </row>
    <row r="486" spans="1:10" x14ac:dyDescent="0.15">
      <c r="A486" s="5" t="s">
        <v>48</v>
      </c>
      <c r="B486" s="5" t="s">
        <v>658</v>
      </c>
      <c r="C486" s="5" t="s">
        <v>40</v>
      </c>
      <c r="D486" s="5" t="s">
        <v>36</v>
      </c>
      <c r="E486" s="9">
        <v>43678</v>
      </c>
      <c r="F486" s="6">
        <v>600</v>
      </c>
      <c r="G486" s="5" t="s">
        <v>15</v>
      </c>
      <c r="H486" s="6">
        <f>SUMIFS(InventTrans!F:F,InventTrans!B:B,AtlasReport_3_Table_1[[#This Row],[Lot ID]],InventTrans!C:C,AtlasReport_3_Table_1[[#This Row],[Ship date]])</f>
        <v>600</v>
      </c>
      <c r="I486" s="5" t="s">
        <v>15</v>
      </c>
      <c r="J486" s="5" t="s">
        <v>660</v>
      </c>
    </row>
    <row r="487" spans="1:10" x14ac:dyDescent="0.15">
      <c r="A487" s="5" t="s">
        <v>48</v>
      </c>
      <c r="B487" s="5" t="s">
        <v>661</v>
      </c>
      <c r="C487" s="5" t="s">
        <v>40</v>
      </c>
      <c r="D487" s="5" t="s">
        <v>36</v>
      </c>
      <c r="E487" s="9">
        <v>43678</v>
      </c>
      <c r="F487" s="6">
        <v>2700</v>
      </c>
      <c r="G487" s="5" t="s">
        <v>15</v>
      </c>
      <c r="H487" s="6">
        <f>SUMIFS(InventTrans!F:F,InventTrans!B:B,AtlasReport_3_Table_1[[#This Row],[Lot ID]],InventTrans!C:C,AtlasReport_3_Table_1[[#This Row],[Ship date]])</f>
        <v>2700</v>
      </c>
      <c r="I487" s="5" t="s">
        <v>15</v>
      </c>
      <c r="J487" s="5" t="s">
        <v>662</v>
      </c>
    </row>
    <row r="488" spans="1:10" x14ac:dyDescent="0.15">
      <c r="A488" s="5" t="s">
        <v>48</v>
      </c>
      <c r="B488" s="5" t="s">
        <v>661</v>
      </c>
      <c r="C488" s="5" t="s">
        <v>35</v>
      </c>
      <c r="D488" s="5" t="s">
        <v>36</v>
      </c>
      <c r="E488" s="9">
        <v>43678</v>
      </c>
      <c r="F488" s="6">
        <v>10432.5</v>
      </c>
      <c r="G488" s="5" t="s">
        <v>15</v>
      </c>
      <c r="H488" s="6">
        <f>SUMIFS(InventTrans!F:F,InventTrans!B:B,AtlasReport_3_Table_1[[#This Row],[Lot ID]],InventTrans!C:C,AtlasReport_3_Table_1[[#This Row],[Ship date]])</f>
        <v>10432.5</v>
      </c>
      <c r="I488" s="5" t="s">
        <v>15</v>
      </c>
      <c r="J488" s="5" t="s">
        <v>663</v>
      </c>
    </row>
    <row r="489" spans="1:10" x14ac:dyDescent="0.15">
      <c r="A489" s="5" t="s">
        <v>48</v>
      </c>
      <c r="B489" s="5" t="s">
        <v>664</v>
      </c>
      <c r="C489" s="5" t="s">
        <v>43</v>
      </c>
      <c r="D489" s="5" t="s">
        <v>38</v>
      </c>
      <c r="E489" s="9">
        <v>43678</v>
      </c>
      <c r="F489" s="6">
        <v>1212.5</v>
      </c>
      <c r="G489" s="5" t="s">
        <v>15</v>
      </c>
      <c r="H489" s="6">
        <f>SUMIFS(InventTrans!F:F,InventTrans!B:B,AtlasReport_3_Table_1[[#This Row],[Lot ID]],InventTrans!C:C,AtlasReport_3_Table_1[[#This Row],[Ship date]])</f>
        <v>1212.5</v>
      </c>
      <c r="I489" s="5" t="s">
        <v>15</v>
      </c>
      <c r="J489" s="5" t="s">
        <v>665</v>
      </c>
    </row>
    <row r="490" spans="1:10" x14ac:dyDescent="0.15">
      <c r="A490" s="5" t="s">
        <v>48</v>
      </c>
      <c r="B490" s="5" t="s">
        <v>664</v>
      </c>
      <c r="C490" s="5" t="s">
        <v>37</v>
      </c>
      <c r="D490" s="5" t="s">
        <v>38</v>
      </c>
      <c r="E490" s="9">
        <v>43678</v>
      </c>
      <c r="F490" s="6">
        <v>7995</v>
      </c>
      <c r="G490" s="5" t="s">
        <v>15</v>
      </c>
      <c r="H490" s="6">
        <f>SUMIFS(InventTrans!F:F,InventTrans!B:B,AtlasReport_3_Table_1[[#This Row],[Lot ID]],InventTrans!C:C,AtlasReport_3_Table_1[[#This Row],[Ship date]])</f>
        <v>7995</v>
      </c>
      <c r="I490" s="5" t="s">
        <v>15</v>
      </c>
      <c r="J490" s="5" t="s">
        <v>666</v>
      </c>
    </row>
    <row r="491" spans="1:10" x14ac:dyDescent="0.15">
      <c r="A491" s="5" t="s">
        <v>48</v>
      </c>
      <c r="B491" s="5" t="s">
        <v>667</v>
      </c>
      <c r="C491" s="5" t="s">
        <v>43</v>
      </c>
      <c r="D491" s="5" t="s">
        <v>38</v>
      </c>
      <c r="E491" s="9">
        <v>43678</v>
      </c>
      <c r="F491" s="6">
        <v>2231</v>
      </c>
      <c r="G491" s="5" t="s">
        <v>15</v>
      </c>
      <c r="H491" s="6">
        <f>SUMIFS(InventTrans!F:F,InventTrans!B:B,AtlasReport_3_Table_1[[#This Row],[Lot ID]],InventTrans!C:C,AtlasReport_3_Table_1[[#This Row],[Ship date]])</f>
        <v>2231</v>
      </c>
      <c r="I491" s="5" t="s">
        <v>15</v>
      </c>
      <c r="J491" s="5" t="s">
        <v>668</v>
      </c>
    </row>
    <row r="492" spans="1:10" x14ac:dyDescent="0.15">
      <c r="A492" s="5" t="s">
        <v>48</v>
      </c>
      <c r="B492" s="5" t="s">
        <v>667</v>
      </c>
      <c r="C492" s="5" t="s">
        <v>37</v>
      </c>
      <c r="D492" s="5" t="s">
        <v>38</v>
      </c>
      <c r="E492" s="9">
        <v>43678</v>
      </c>
      <c r="F492" s="6">
        <v>5850</v>
      </c>
      <c r="G492" s="5" t="s">
        <v>15</v>
      </c>
      <c r="H492" s="6">
        <f>SUMIFS(InventTrans!F:F,InventTrans!B:B,AtlasReport_3_Table_1[[#This Row],[Lot ID]],InventTrans!C:C,AtlasReport_3_Table_1[[#This Row],[Ship date]])</f>
        <v>5850</v>
      </c>
      <c r="I492" s="5" t="s">
        <v>15</v>
      </c>
      <c r="J492" s="5" t="s">
        <v>669</v>
      </c>
    </row>
    <row r="493" spans="1:10" x14ac:dyDescent="0.15">
      <c r="A493" s="5" t="s">
        <v>48</v>
      </c>
      <c r="B493" s="5" t="s">
        <v>670</v>
      </c>
      <c r="C493" s="5" t="s">
        <v>35</v>
      </c>
      <c r="D493" s="5" t="s">
        <v>36</v>
      </c>
      <c r="E493" s="9">
        <v>43678</v>
      </c>
      <c r="F493" s="6">
        <v>15795</v>
      </c>
      <c r="G493" s="5" t="s">
        <v>15</v>
      </c>
      <c r="H493" s="6">
        <f>SUMIFS(InventTrans!F:F,InventTrans!B:B,AtlasReport_3_Table_1[[#This Row],[Lot ID]],InventTrans!C:C,AtlasReport_3_Table_1[[#This Row],[Ship date]])</f>
        <v>15795</v>
      </c>
      <c r="I493" s="5" t="s">
        <v>15</v>
      </c>
      <c r="J493" s="5" t="s">
        <v>671</v>
      </c>
    </row>
    <row r="494" spans="1:10" x14ac:dyDescent="0.15">
      <c r="A494" s="5" t="s">
        <v>48</v>
      </c>
      <c r="B494" s="5" t="s">
        <v>672</v>
      </c>
      <c r="C494" s="5" t="s">
        <v>37</v>
      </c>
      <c r="D494" s="5" t="s">
        <v>38</v>
      </c>
      <c r="E494" s="9">
        <v>43678</v>
      </c>
      <c r="F494" s="6">
        <v>1755</v>
      </c>
      <c r="G494" s="5" t="s">
        <v>15</v>
      </c>
      <c r="H494" s="6">
        <f>SUMIFS(InventTrans!F:F,InventTrans!B:B,AtlasReport_3_Table_1[[#This Row],[Lot ID]],InventTrans!C:C,AtlasReport_3_Table_1[[#This Row],[Ship date]])</f>
        <v>1755</v>
      </c>
      <c r="I494" s="5" t="s">
        <v>15</v>
      </c>
      <c r="J494" s="5" t="s">
        <v>673</v>
      </c>
    </row>
    <row r="495" spans="1:10" x14ac:dyDescent="0.15">
      <c r="A495" s="5" t="s">
        <v>48</v>
      </c>
      <c r="B495" s="5" t="s">
        <v>674</v>
      </c>
      <c r="C495" s="5" t="s">
        <v>40</v>
      </c>
      <c r="D495" s="5" t="s">
        <v>36</v>
      </c>
      <c r="E495" s="9">
        <v>43678</v>
      </c>
      <c r="F495" s="6">
        <v>3450</v>
      </c>
      <c r="G495" s="5" t="s">
        <v>15</v>
      </c>
      <c r="H495" s="6">
        <f>SUMIFS(InventTrans!F:F,InventTrans!B:B,AtlasReport_3_Table_1[[#This Row],[Lot ID]],InventTrans!C:C,AtlasReport_3_Table_1[[#This Row],[Ship date]])</f>
        <v>3450</v>
      </c>
      <c r="I495" s="5" t="s">
        <v>15</v>
      </c>
      <c r="J495" s="5" t="s">
        <v>675</v>
      </c>
    </row>
    <row r="496" spans="1:10" x14ac:dyDescent="0.15">
      <c r="A496" s="5" t="s">
        <v>48</v>
      </c>
      <c r="B496" s="5" t="s">
        <v>674</v>
      </c>
      <c r="C496" s="5" t="s">
        <v>35</v>
      </c>
      <c r="D496" s="5" t="s">
        <v>36</v>
      </c>
      <c r="E496" s="9">
        <v>43678</v>
      </c>
      <c r="F496" s="6">
        <v>3315</v>
      </c>
      <c r="G496" s="5" t="s">
        <v>15</v>
      </c>
      <c r="H496" s="6">
        <f>SUMIFS(InventTrans!F:F,InventTrans!B:B,AtlasReport_3_Table_1[[#This Row],[Lot ID]],InventTrans!C:C,AtlasReport_3_Table_1[[#This Row],[Ship date]])</f>
        <v>3315</v>
      </c>
      <c r="I496" s="5" t="s">
        <v>15</v>
      </c>
      <c r="J496" s="5" t="s">
        <v>676</v>
      </c>
    </row>
    <row r="497" spans="1:10" x14ac:dyDescent="0.15">
      <c r="A497" s="5" t="s">
        <v>48</v>
      </c>
      <c r="B497" s="5" t="s">
        <v>677</v>
      </c>
      <c r="C497" s="5" t="s">
        <v>37</v>
      </c>
      <c r="D497" s="5" t="s">
        <v>38</v>
      </c>
      <c r="E497" s="9">
        <v>43679</v>
      </c>
      <c r="F497" s="6">
        <v>4095</v>
      </c>
      <c r="G497" s="5" t="s">
        <v>15</v>
      </c>
      <c r="H497" s="6">
        <f>SUMIFS(InventTrans!F:F,InventTrans!B:B,AtlasReport_3_Table_1[[#This Row],[Lot ID]],InventTrans!C:C,AtlasReport_3_Table_1[[#This Row],[Ship date]])</f>
        <v>4095</v>
      </c>
      <c r="I497" s="5" t="s">
        <v>15</v>
      </c>
      <c r="J497" s="5" t="s">
        <v>678</v>
      </c>
    </row>
    <row r="498" spans="1:10" x14ac:dyDescent="0.15">
      <c r="A498" s="5" t="s">
        <v>48</v>
      </c>
      <c r="B498" s="5" t="s">
        <v>679</v>
      </c>
      <c r="C498" s="5" t="s">
        <v>35</v>
      </c>
      <c r="D498" s="5" t="s">
        <v>36</v>
      </c>
      <c r="E498" s="9">
        <v>43682</v>
      </c>
      <c r="F498" s="6">
        <v>-1170</v>
      </c>
      <c r="G498" s="5" t="s">
        <v>15</v>
      </c>
      <c r="H498" s="6">
        <f>SUMIFS(InventTrans!F:F,InventTrans!B:B,AtlasReport_3_Table_1[[#This Row],[Lot ID]],InventTrans!C:C,AtlasReport_3_Table_1[[#This Row],[Ship date]])</f>
        <v>-1170</v>
      </c>
      <c r="I498" s="5" t="s">
        <v>15</v>
      </c>
      <c r="J498" s="5" t="s">
        <v>680</v>
      </c>
    </row>
    <row r="499" spans="1:10" x14ac:dyDescent="0.15">
      <c r="A499" s="5" t="s">
        <v>48</v>
      </c>
      <c r="B499" s="5" t="s">
        <v>679</v>
      </c>
      <c r="C499" s="5" t="s">
        <v>35</v>
      </c>
      <c r="D499" s="5" t="s">
        <v>36</v>
      </c>
      <c r="E499" s="9">
        <v>43682</v>
      </c>
      <c r="F499" s="6">
        <v>1170</v>
      </c>
      <c r="G499" s="5" t="s">
        <v>15</v>
      </c>
      <c r="H499" s="6">
        <f>SUMIFS(InventTrans!F:F,InventTrans!B:B,AtlasReport_3_Table_1[[#This Row],[Lot ID]],InventTrans!C:C,AtlasReport_3_Table_1[[#This Row],[Ship date]])</f>
        <v>1170</v>
      </c>
      <c r="I499" s="5" t="s">
        <v>15</v>
      </c>
      <c r="J499" s="5" t="s">
        <v>681</v>
      </c>
    </row>
    <row r="500" spans="1:10" x14ac:dyDescent="0.15">
      <c r="A500" s="5" t="s">
        <v>48</v>
      </c>
      <c r="B500" s="5" t="s">
        <v>682</v>
      </c>
      <c r="C500" s="5" t="s">
        <v>37</v>
      </c>
      <c r="D500" s="5" t="s">
        <v>38</v>
      </c>
      <c r="E500" s="9">
        <v>43682</v>
      </c>
      <c r="F500" s="6">
        <v>5850</v>
      </c>
      <c r="G500" s="5" t="s">
        <v>15</v>
      </c>
      <c r="H500" s="6">
        <f>SUMIFS(InventTrans!F:F,InventTrans!B:B,AtlasReport_3_Table_1[[#This Row],[Lot ID]],InventTrans!C:C,AtlasReport_3_Table_1[[#This Row],[Ship date]])</f>
        <v>5850</v>
      </c>
      <c r="I500" s="5" t="s">
        <v>15</v>
      </c>
      <c r="J500" s="5" t="s">
        <v>683</v>
      </c>
    </row>
    <row r="501" spans="1:10" x14ac:dyDescent="0.15">
      <c r="A501" s="5" t="s">
        <v>48</v>
      </c>
      <c r="B501" s="5" t="s">
        <v>682</v>
      </c>
      <c r="C501" s="5" t="s">
        <v>37</v>
      </c>
      <c r="D501" s="5" t="s">
        <v>38</v>
      </c>
      <c r="E501" s="9">
        <v>43683</v>
      </c>
      <c r="F501" s="6">
        <v>-5850</v>
      </c>
      <c r="G501" s="5" t="s">
        <v>15</v>
      </c>
      <c r="H501" s="6">
        <f>SUMIFS(InventTrans!F:F,InventTrans!B:B,AtlasReport_3_Table_1[[#This Row],[Lot ID]],InventTrans!C:C,AtlasReport_3_Table_1[[#This Row],[Ship date]])</f>
        <v>-5850</v>
      </c>
      <c r="I501" s="5" t="s">
        <v>15</v>
      </c>
      <c r="J501" s="5" t="s">
        <v>684</v>
      </c>
    </row>
    <row r="502" spans="1:10" x14ac:dyDescent="0.15">
      <c r="A502" s="5" t="s">
        <v>48</v>
      </c>
      <c r="B502" s="5" t="s">
        <v>96</v>
      </c>
      <c r="C502" s="5" t="s">
        <v>37</v>
      </c>
      <c r="D502" s="5" t="s">
        <v>38</v>
      </c>
      <c r="E502" s="9">
        <v>43682</v>
      </c>
      <c r="F502" s="6">
        <v>5850</v>
      </c>
      <c r="G502" s="5" t="s">
        <v>15</v>
      </c>
      <c r="H502" s="6">
        <f>SUMIFS(InventTrans!F:F,InventTrans!B:B,AtlasReport_3_Table_1[[#This Row],[Lot ID]],InventTrans!C:C,AtlasReport_3_Table_1[[#This Row],[Ship date]])</f>
        <v>5850</v>
      </c>
      <c r="I502" s="5" t="s">
        <v>15</v>
      </c>
      <c r="J502" s="5" t="s">
        <v>685</v>
      </c>
    </row>
    <row r="503" spans="1:10" x14ac:dyDescent="0.15">
      <c r="A503" s="5" t="s">
        <v>48</v>
      </c>
      <c r="B503" s="5" t="s">
        <v>686</v>
      </c>
      <c r="C503" s="5" t="s">
        <v>37</v>
      </c>
      <c r="D503" s="5" t="s">
        <v>38</v>
      </c>
      <c r="E503" s="9">
        <v>43683</v>
      </c>
      <c r="F503" s="6">
        <v>5655</v>
      </c>
      <c r="G503" s="5" t="s">
        <v>15</v>
      </c>
      <c r="H503" s="6">
        <f>SUMIFS(InventTrans!F:F,InventTrans!B:B,AtlasReport_3_Table_1[[#This Row],[Lot ID]],InventTrans!C:C,AtlasReport_3_Table_1[[#This Row],[Ship date]])</f>
        <v>5655</v>
      </c>
      <c r="I503" s="5" t="s">
        <v>15</v>
      </c>
      <c r="J503" s="5" t="s">
        <v>687</v>
      </c>
    </row>
    <row r="504" spans="1:10" x14ac:dyDescent="0.15">
      <c r="A504" s="5" t="s">
        <v>48</v>
      </c>
      <c r="B504" s="5" t="s">
        <v>97</v>
      </c>
      <c r="C504" s="5" t="s">
        <v>37</v>
      </c>
      <c r="D504" s="5" t="s">
        <v>38</v>
      </c>
      <c r="E504" s="9">
        <v>43684</v>
      </c>
      <c r="F504" s="6">
        <v>292.5</v>
      </c>
      <c r="G504" s="5" t="s">
        <v>15</v>
      </c>
      <c r="H504" s="6">
        <f>SUMIFS(InventTrans!F:F,InventTrans!B:B,AtlasReport_3_Table_1[[#This Row],[Lot ID]],InventTrans!C:C,AtlasReport_3_Table_1[[#This Row],[Ship date]])</f>
        <v>292.5</v>
      </c>
      <c r="I504" s="5" t="s">
        <v>15</v>
      </c>
      <c r="J504" s="5" t="s">
        <v>688</v>
      </c>
    </row>
    <row r="505" spans="1:10" x14ac:dyDescent="0.15">
      <c r="A505" s="5" t="s">
        <v>48</v>
      </c>
      <c r="B505" s="5" t="s">
        <v>98</v>
      </c>
      <c r="C505" s="5" t="s">
        <v>35</v>
      </c>
      <c r="D505" s="5" t="s">
        <v>36</v>
      </c>
      <c r="E505" s="9">
        <v>43684</v>
      </c>
      <c r="F505" s="6">
        <v>7800</v>
      </c>
      <c r="G505" s="5" t="s">
        <v>15</v>
      </c>
      <c r="H505" s="6">
        <f>SUMIFS(InventTrans!F:F,InventTrans!B:B,AtlasReport_3_Table_1[[#This Row],[Lot ID]],InventTrans!C:C,AtlasReport_3_Table_1[[#This Row],[Ship date]])</f>
        <v>7800</v>
      </c>
      <c r="I505" s="5" t="s">
        <v>15</v>
      </c>
      <c r="J505" s="5" t="s">
        <v>689</v>
      </c>
    </row>
    <row r="506" spans="1:10" x14ac:dyDescent="0.15">
      <c r="A506" s="5" t="s">
        <v>48</v>
      </c>
      <c r="B506" s="5" t="s">
        <v>98</v>
      </c>
      <c r="C506" s="5" t="s">
        <v>37</v>
      </c>
      <c r="D506" s="5" t="s">
        <v>38</v>
      </c>
      <c r="E506" s="9">
        <v>43684</v>
      </c>
      <c r="F506" s="6">
        <v>9750</v>
      </c>
      <c r="G506" s="5" t="s">
        <v>15</v>
      </c>
      <c r="H506" s="6">
        <f>SUMIFS(InventTrans!F:F,InventTrans!B:B,AtlasReport_3_Table_1[[#This Row],[Lot ID]],InventTrans!C:C,AtlasReport_3_Table_1[[#This Row],[Ship date]])</f>
        <v>9750</v>
      </c>
      <c r="I506" s="5" t="s">
        <v>15</v>
      </c>
      <c r="J506" s="5" t="s">
        <v>690</v>
      </c>
    </row>
    <row r="507" spans="1:10" x14ac:dyDescent="0.15">
      <c r="A507" s="5" t="s">
        <v>48</v>
      </c>
      <c r="B507" s="5" t="s">
        <v>691</v>
      </c>
      <c r="C507" s="5" t="s">
        <v>37</v>
      </c>
      <c r="D507" s="5" t="s">
        <v>38</v>
      </c>
      <c r="E507" s="9">
        <v>43684</v>
      </c>
      <c r="F507" s="6">
        <v>-5850</v>
      </c>
      <c r="G507" s="5" t="s">
        <v>15</v>
      </c>
      <c r="H507" s="6">
        <f>SUMIFS(InventTrans!F:F,InventTrans!B:B,AtlasReport_3_Table_1[[#This Row],[Lot ID]],InventTrans!C:C,AtlasReport_3_Table_1[[#This Row],[Ship date]])</f>
        <v>-5850</v>
      </c>
      <c r="I507" s="5" t="s">
        <v>15</v>
      </c>
      <c r="J507" s="5" t="s">
        <v>692</v>
      </c>
    </row>
    <row r="508" spans="1:10" x14ac:dyDescent="0.15">
      <c r="A508" s="5" t="s">
        <v>48</v>
      </c>
      <c r="B508" s="5" t="s">
        <v>693</v>
      </c>
      <c r="C508" s="5" t="s">
        <v>37</v>
      </c>
      <c r="D508" s="5" t="s">
        <v>38</v>
      </c>
      <c r="E508" s="9">
        <v>43684</v>
      </c>
      <c r="F508" s="6">
        <v>8190</v>
      </c>
      <c r="G508" s="5" t="s">
        <v>15</v>
      </c>
      <c r="H508" s="6">
        <f>SUMIFS(InventTrans!F:F,InventTrans!B:B,AtlasReport_3_Table_1[[#This Row],[Lot ID]],InventTrans!C:C,AtlasReport_3_Table_1[[#This Row],[Ship date]])</f>
        <v>8190</v>
      </c>
      <c r="I508" s="5" t="s">
        <v>15</v>
      </c>
      <c r="J508" s="5" t="s">
        <v>694</v>
      </c>
    </row>
    <row r="509" spans="1:10" x14ac:dyDescent="0.15">
      <c r="A509" s="5" t="s">
        <v>48</v>
      </c>
      <c r="B509" s="5" t="s">
        <v>693</v>
      </c>
      <c r="C509" s="5" t="s">
        <v>37</v>
      </c>
      <c r="D509" s="5" t="s">
        <v>38</v>
      </c>
      <c r="E509" s="9">
        <v>43684</v>
      </c>
      <c r="F509" s="6">
        <v>6337.5</v>
      </c>
      <c r="G509" s="5" t="s">
        <v>15</v>
      </c>
      <c r="H509" s="6">
        <f>SUMIFS(InventTrans!F:F,InventTrans!B:B,AtlasReport_3_Table_1[[#This Row],[Lot ID]],InventTrans!C:C,AtlasReport_3_Table_1[[#This Row],[Ship date]])</f>
        <v>6337.5</v>
      </c>
      <c r="I509" s="5" t="s">
        <v>15</v>
      </c>
      <c r="J509" s="5" t="s">
        <v>695</v>
      </c>
    </row>
    <row r="510" spans="1:10" x14ac:dyDescent="0.15">
      <c r="A510" s="5" t="s">
        <v>48</v>
      </c>
      <c r="B510" s="5" t="s">
        <v>693</v>
      </c>
      <c r="C510" s="5" t="s">
        <v>35</v>
      </c>
      <c r="D510" s="5" t="s">
        <v>36</v>
      </c>
      <c r="E510" s="9">
        <v>43684</v>
      </c>
      <c r="F510" s="6">
        <v>780</v>
      </c>
      <c r="G510" s="5" t="s">
        <v>15</v>
      </c>
      <c r="H510" s="6">
        <f>SUMIFS(InventTrans!F:F,InventTrans!B:B,AtlasReport_3_Table_1[[#This Row],[Lot ID]],InventTrans!C:C,AtlasReport_3_Table_1[[#This Row],[Ship date]])</f>
        <v>780</v>
      </c>
      <c r="I510" s="5" t="s">
        <v>15</v>
      </c>
      <c r="J510" s="5" t="s">
        <v>696</v>
      </c>
    </row>
    <row r="511" spans="1:10" x14ac:dyDescent="0.15">
      <c r="A511" s="5" t="s">
        <v>48</v>
      </c>
      <c r="B511" s="5" t="s">
        <v>693</v>
      </c>
      <c r="C511" s="5" t="s">
        <v>44</v>
      </c>
      <c r="D511" s="5" t="s">
        <v>45</v>
      </c>
      <c r="E511" s="9">
        <v>43684</v>
      </c>
      <c r="F511" s="6">
        <v>780</v>
      </c>
      <c r="G511" s="5" t="s">
        <v>15</v>
      </c>
      <c r="H511" s="6">
        <f>SUMIFS(InventTrans!F:F,InventTrans!B:B,AtlasReport_3_Table_1[[#This Row],[Lot ID]],InventTrans!C:C,AtlasReport_3_Table_1[[#This Row],[Ship date]])</f>
        <v>780</v>
      </c>
      <c r="I511" s="5" t="s">
        <v>15</v>
      </c>
      <c r="J511" s="5" t="s">
        <v>697</v>
      </c>
    </row>
    <row r="512" spans="1:10" x14ac:dyDescent="0.15">
      <c r="A512" s="5" t="s">
        <v>48</v>
      </c>
      <c r="B512" s="5" t="s">
        <v>99</v>
      </c>
      <c r="C512" s="5" t="s">
        <v>37</v>
      </c>
      <c r="D512" s="5" t="s">
        <v>38</v>
      </c>
      <c r="E512" s="9">
        <v>43684</v>
      </c>
      <c r="F512" s="6">
        <v>4095</v>
      </c>
      <c r="G512" s="5" t="s">
        <v>15</v>
      </c>
      <c r="H512" s="6">
        <f>SUMIFS(InventTrans!F:F,InventTrans!B:B,AtlasReport_3_Table_1[[#This Row],[Lot ID]],InventTrans!C:C,AtlasReport_3_Table_1[[#This Row],[Ship date]])</f>
        <v>4095</v>
      </c>
      <c r="I512" s="5" t="s">
        <v>15</v>
      </c>
      <c r="J512" s="5" t="s">
        <v>698</v>
      </c>
    </row>
    <row r="513" spans="1:10" x14ac:dyDescent="0.15">
      <c r="A513" s="5" t="s">
        <v>48</v>
      </c>
      <c r="B513" s="5" t="s">
        <v>100</v>
      </c>
      <c r="C513" s="5" t="s">
        <v>37</v>
      </c>
      <c r="D513" s="5" t="s">
        <v>38</v>
      </c>
      <c r="E513" s="9">
        <v>43685</v>
      </c>
      <c r="F513" s="6">
        <v>3120</v>
      </c>
      <c r="G513" s="5" t="s">
        <v>15</v>
      </c>
      <c r="H513" s="6">
        <f>SUMIFS(InventTrans!F:F,InventTrans!B:B,AtlasReport_3_Table_1[[#This Row],[Lot ID]],InventTrans!C:C,AtlasReport_3_Table_1[[#This Row],[Ship date]])</f>
        <v>3120</v>
      </c>
      <c r="I513" s="5" t="s">
        <v>15</v>
      </c>
      <c r="J513" s="5" t="s">
        <v>699</v>
      </c>
    </row>
    <row r="514" spans="1:10" x14ac:dyDescent="0.15">
      <c r="A514" s="5" t="s">
        <v>48</v>
      </c>
      <c r="B514" s="5" t="s">
        <v>700</v>
      </c>
      <c r="C514" s="5" t="s">
        <v>35</v>
      </c>
      <c r="D514" s="5" t="s">
        <v>36</v>
      </c>
      <c r="E514" s="9">
        <v>43685</v>
      </c>
      <c r="F514" s="6">
        <v>27300</v>
      </c>
      <c r="G514" s="5" t="s">
        <v>15</v>
      </c>
      <c r="H514" s="6">
        <f>SUMIFS(InventTrans!F:F,InventTrans!B:B,AtlasReport_3_Table_1[[#This Row],[Lot ID]],InventTrans!C:C,AtlasReport_3_Table_1[[#This Row],[Ship date]])</f>
        <v>27300</v>
      </c>
      <c r="I514" s="5" t="s">
        <v>15</v>
      </c>
      <c r="J514" s="5" t="s">
        <v>701</v>
      </c>
    </row>
    <row r="515" spans="1:10" x14ac:dyDescent="0.15">
      <c r="A515" s="5" t="s">
        <v>48</v>
      </c>
      <c r="B515" s="5" t="s">
        <v>101</v>
      </c>
      <c r="C515" s="5" t="s">
        <v>37</v>
      </c>
      <c r="D515" s="5" t="s">
        <v>38</v>
      </c>
      <c r="E515" s="9">
        <v>43685</v>
      </c>
      <c r="F515" s="6">
        <v>3412.5</v>
      </c>
      <c r="G515" s="5" t="s">
        <v>15</v>
      </c>
      <c r="H515" s="6">
        <f>SUMIFS(InventTrans!F:F,InventTrans!B:B,AtlasReport_3_Table_1[[#This Row],[Lot ID]],InventTrans!C:C,AtlasReport_3_Table_1[[#This Row],[Ship date]])</f>
        <v>3412.5</v>
      </c>
      <c r="I515" s="5" t="s">
        <v>15</v>
      </c>
      <c r="J515" s="5" t="s">
        <v>702</v>
      </c>
    </row>
    <row r="516" spans="1:10" x14ac:dyDescent="0.15">
      <c r="A516" s="5" t="s">
        <v>48</v>
      </c>
      <c r="B516" s="5" t="s">
        <v>102</v>
      </c>
      <c r="C516" s="5" t="s">
        <v>43</v>
      </c>
      <c r="D516" s="5" t="s">
        <v>38</v>
      </c>
      <c r="E516" s="9">
        <v>43686</v>
      </c>
      <c r="F516" s="6">
        <v>145.5</v>
      </c>
      <c r="G516" s="5" t="s">
        <v>15</v>
      </c>
      <c r="H516" s="6">
        <f>SUMIFS(InventTrans!F:F,InventTrans!B:B,AtlasReport_3_Table_1[[#This Row],[Lot ID]],InventTrans!C:C,AtlasReport_3_Table_1[[#This Row],[Ship date]])</f>
        <v>145.5</v>
      </c>
      <c r="I516" s="5" t="s">
        <v>15</v>
      </c>
      <c r="J516" s="5" t="s">
        <v>703</v>
      </c>
    </row>
    <row r="517" spans="1:10" x14ac:dyDescent="0.15">
      <c r="A517" s="5" t="s">
        <v>48</v>
      </c>
      <c r="B517" s="5" t="s">
        <v>102</v>
      </c>
      <c r="C517" s="5" t="s">
        <v>37</v>
      </c>
      <c r="D517" s="5" t="s">
        <v>38</v>
      </c>
      <c r="E517" s="9">
        <v>43686</v>
      </c>
      <c r="F517" s="6">
        <v>1072.5</v>
      </c>
      <c r="G517" s="5" t="s">
        <v>15</v>
      </c>
      <c r="H517" s="6">
        <f>SUMIFS(InventTrans!F:F,InventTrans!B:B,AtlasReport_3_Table_1[[#This Row],[Lot ID]],InventTrans!C:C,AtlasReport_3_Table_1[[#This Row],[Ship date]])</f>
        <v>1072.5</v>
      </c>
      <c r="I517" s="5" t="s">
        <v>15</v>
      </c>
      <c r="J517" s="5" t="s">
        <v>704</v>
      </c>
    </row>
    <row r="518" spans="1:10" x14ac:dyDescent="0.15">
      <c r="A518" s="5" t="s">
        <v>48</v>
      </c>
      <c r="B518" s="5" t="s">
        <v>103</v>
      </c>
      <c r="C518" s="5" t="s">
        <v>37</v>
      </c>
      <c r="D518" s="5" t="s">
        <v>38</v>
      </c>
      <c r="E518" s="9">
        <v>43686</v>
      </c>
      <c r="F518" s="6">
        <v>3510</v>
      </c>
      <c r="G518" s="5" t="s">
        <v>15</v>
      </c>
      <c r="H518" s="6">
        <f>SUMIFS(InventTrans!F:F,InventTrans!B:B,AtlasReport_3_Table_1[[#This Row],[Lot ID]],InventTrans!C:C,AtlasReport_3_Table_1[[#This Row],[Ship date]])</f>
        <v>3510</v>
      </c>
      <c r="I518" s="5" t="s">
        <v>15</v>
      </c>
      <c r="J518" s="5" t="s">
        <v>705</v>
      </c>
    </row>
    <row r="519" spans="1:10" x14ac:dyDescent="0.15">
      <c r="A519" s="5" t="s">
        <v>48</v>
      </c>
      <c r="B519" s="5" t="s">
        <v>104</v>
      </c>
      <c r="C519" s="5" t="s">
        <v>35</v>
      </c>
      <c r="D519" s="5" t="s">
        <v>36</v>
      </c>
      <c r="E519" s="9">
        <v>43686</v>
      </c>
      <c r="F519" s="6">
        <v>97.5</v>
      </c>
      <c r="G519" s="5" t="s">
        <v>15</v>
      </c>
      <c r="H519" s="6">
        <f>SUMIFS(InventTrans!F:F,InventTrans!B:B,AtlasReport_3_Table_1[[#This Row],[Lot ID]],InventTrans!C:C,AtlasReport_3_Table_1[[#This Row],[Ship date]])</f>
        <v>97.5</v>
      </c>
      <c r="I519" s="5" t="s">
        <v>15</v>
      </c>
      <c r="J519" s="5" t="s">
        <v>706</v>
      </c>
    </row>
    <row r="520" spans="1:10" x14ac:dyDescent="0.15">
      <c r="A520" s="5" t="s">
        <v>48</v>
      </c>
      <c r="B520" s="5" t="s">
        <v>707</v>
      </c>
      <c r="C520" s="5" t="s">
        <v>43</v>
      </c>
      <c r="D520" s="5" t="s">
        <v>38</v>
      </c>
      <c r="E520" s="9">
        <v>43689</v>
      </c>
      <c r="F520" s="6">
        <v>3492</v>
      </c>
      <c r="G520" s="5" t="s">
        <v>15</v>
      </c>
      <c r="H520" s="6">
        <f>SUMIFS(InventTrans!F:F,InventTrans!B:B,AtlasReport_3_Table_1[[#This Row],[Lot ID]],InventTrans!C:C,AtlasReport_3_Table_1[[#This Row],[Ship date]])</f>
        <v>3492</v>
      </c>
      <c r="I520" s="5" t="s">
        <v>15</v>
      </c>
      <c r="J520" s="5" t="s">
        <v>708</v>
      </c>
    </row>
    <row r="521" spans="1:10" x14ac:dyDescent="0.15">
      <c r="A521" s="5" t="s">
        <v>48</v>
      </c>
      <c r="B521" s="5" t="s">
        <v>707</v>
      </c>
      <c r="C521" s="5" t="s">
        <v>37</v>
      </c>
      <c r="D521" s="5" t="s">
        <v>38</v>
      </c>
      <c r="E521" s="9">
        <v>43689</v>
      </c>
      <c r="F521" s="6">
        <v>6630</v>
      </c>
      <c r="G521" s="5" t="s">
        <v>15</v>
      </c>
      <c r="H521" s="6">
        <f>SUMIFS(InventTrans!F:F,InventTrans!B:B,AtlasReport_3_Table_1[[#This Row],[Lot ID]],InventTrans!C:C,AtlasReport_3_Table_1[[#This Row],[Ship date]])</f>
        <v>6630</v>
      </c>
      <c r="I521" s="5" t="s">
        <v>15</v>
      </c>
      <c r="J521" s="5" t="s">
        <v>709</v>
      </c>
    </row>
    <row r="522" spans="1:10" x14ac:dyDescent="0.15">
      <c r="A522" s="5" t="s">
        <v>48</v>
      </c>
      <c r="B522" s="5" t="s">
        <v>710</v>
      </c>
      <c r="C522" s="5" t="s">
        <v>37</v>
      </c>
      <c r="D522" s="5" t="s">
        <v>38</v>
      </c>
      <c r="E522" s="9">
        <v>43689</v>
      </c>
      <c r="F522" s="6">
        <v>-3900</v>
      </c>
      <c r="G522" s="5" t="s">
        <v>15</v>
      </c>
      <c r="H522" s="6">
        <f>SUMIFS(InventTrans!F:F,InventTrans!B:B,AtlasReport_3_Table_1[[#This Row],[Lot ID]],InventTrans!C:C,AtlasReport_3_Table_1[[#This Row],[Ship date]])</f>
        <v>-3900</v>
      </c>
      <c r="I522" s="5" t="s">
        <v>15</v>
      </c>
      <c r="J522" s="5" t="s">
        <v>711</v>
      </c>
    </row>
    <row r="523" spans="1:10" x14ac:dyDescent="0.15">
      <c r="A523" s="5" t="s">
        <v>48</v>
      </c>
      <c r="B523" s="5" t="s">
        <v>710</v>
      </c>
      <c r="C523" s="5" t="s">
        <v>37</v>
      </c>
      <c r="D523" s="5" t="s">
        <v>38</v>
      </c>
      <c r="E523" s="9">
        <v>43689</v>
      </c>
      <c r="F523" s="6">
        <v>1950</v>
      </c>
      <c r="G523" s="5" t="s">
        <v>15</v>
      </c>
      <c r="H523" s="6">
        <f>SUMIFS(InventTrans!F:F,InventTrans!B:B,AtlasReport_3_Table_1[[#This Row],[Lot ID]],InventTrans!C:C,AtlasReport_3_Table_1[[#This Row],[Ship date]])</f>
        <v>1950</v>
      </c>
      <c r="I523" s="5" t="s">
        <v>15</v>
      </c>
      <c r="J523" s="5" t="s">
        <v>712</v>
      </c>
    </row>
    <row r="524" spans="1:10" x14ac:dyDescent="0.15">
      <c r="A524" s="5" t="s">
        <v>48</v>
      </c>
      <c r="B524" s="5" t="s">
        <v>105</v>
      </c>
      <c r="C524" s="5" t="s">
        <v>37</v>
      </c>
      <c r="D524" s="5" t="s">
        <v>38</v>
      </c>
      <c r="E524" s="9">
        <v>43689</v>
      </c>
      <c r="F524" s="6">
        <v>3900</v>
      </c>
      <c r="G524" s="5" t="s">
        <v>15</v>
      </c>
      <c r="H524" s="6">
        <f>SUMIFS(InventTrans!F:F,InventTrans!B:B,AtlasReport_3_Table_1[[#This Row],[Lot ID]],InventTrans!C:C,AtlasReport_3_Table_1[[#This Row],[Ship date]])</f>
        <v>3900</v>
      </c>
      <c r="I524" s="5" t="s">
        <v>15</v>
      </c>
      <c r="J524" s="5" t="s">
        <v>713</v>
      </c>
    </row>
    <row r="525" spans="1:10" x14ac:dyDescent="0.15">
      <c r="A525" s="5" t="s">
        <v>48</v>
      </c>
      <c r="B525" s="5" t="s">
        <v>105</v>
      </c>
      <c r="C525" s="5" t="s">
        <v>37</v>
      </c>
      <c r="D525" s="5" t="s">
        <v>38</v>
      </c>
      <c r="E525" s="9">
        <v>43689</v>
      </c>
      <c r="F525" s="6">
        <v>-1950</v>
      </c>
      <c r="G525" s="5" t="s">
        <v>15</v>
      </c>
      <c r="H525" s="6">
        <f>SUMIFS(InventTrans!F:F,InventTrans!B:B,AtlasReport_3_Table_1[[#This Row],[Lot ID]],InventTrans!C:C,AtlasReport_3_Table_1[[#This Row],[Ship date]])</f>
        <v>-1950</v>
      </c>
      <c r="I525" s="5" t="s">
        <v>15</v>
      </c>
      <c r="J525" s="5" t="s">
        <v>714</v>
      </c>
    </row>
    <row r="526" spans="1:10" x14ac:dyDescent="0.15">
      <c r="A526" s="5" t="s">
        <v>48</v>
      </c>
      <c r="B526" s="5" t="s">
        <v>106</v>
      </c>
      <c r="C526" s="5" t="s">
        <v>37</v>
      </c>
      <c r="D526" s="5" t="s">
        <v>38</v>
      </c>
      <c r="E526" s="9">
        <v>43691</v>
      </c>
      <c r="F526" s="6">
        <v>5850</v>
      </c>
      <c r="G526" s="5" t="s">
        <v>15</v>
      </c>
      <c r="H526" s="6">
        <f>SUMIFS(InventTrans!F:F,InventTrans!B:B,AtlasReport_3_Table_1[[#This Row],[Lot ID]],InventTrans!C:C,AtlasReport_3_Table_1[[#This Row],[Ship date]])</f>
        <v>5850</v>
      </c>
      <c r="I526" s="5" t="s">
        <v>15</v>
      </c>
      <c r="J526" s="5" t="s">
        <v>715</v>
      </c>
    </row>
    <row r="527" spans="1:10" ht="27" x14ac:dyDescent="0.15">
      <c r="A527" s="5" t="s">
        <v>48</v>
      </c>
      <c r="B527" s="5" t="s">
        <v>716</v>
      </c>
      <c r="C527" s="5" t="s">
        <v>49</v>
      </c>
      <c r="D527" s="7" t="s">
        <v>50</v>
      </c>
      <c r="E527" s="9">
        <v>43691</v>
      </c>
      <c r="F527" s="6">
        <v>800</v>
      </c>
      <c r="G527" s="5" t="s">
        <v>15</v>
      </c>
      <c r="H527" s="6">
        <f>SUMIFS(InventTrans!F:F,InventTrans!B:B,AtlasReport_3_Table_1[[#This Row],[Lot ID]],InventTrans!C:C,AtlasReport_3_Table_1[[#This Row],[Ship date]])</f>
        <v>800</v>
      </c>
      <c r="I527" s="5" t="s">
        <v>15</v>
      </c>
      <c r="J527" s="5" t="s">
        <v>717</v>
      </c>
    </row>
    <row r="528" spans="1:10" ht="27" x14ac:dyDescent="0.15">
      <c r="A528" s="5" t="s">
        <v>48</v>
      </c>
      <c r="B528" s="5" t="s">
        <v>716</v>
      </c>
      <c r="C528" s="5" t="s">
        <v>49</v>
      </c>
      <c r="D528" s="7" t="s">
        <v>50</v>
      </c>
      <c r="E528" s="9">
        <v>43691</v>
      </c>
      <c r="F528" s="6">
        <v>2000</v>
      </c>
      <c r="G528" s="5" t="s">
        <v>15</v>
      </c>
      <c r="H528" s="6">
        <f>SUMIFS(InventTrans!F:F,InventTrans!B:B,AtlasReport_3_Table_1[[#This Row],[Lot ID]],InventTrans!C:C,AtlasReport_3_Table_1[[#This Row],[Ship date]])</f>
        <v>2000</v>
      </c>
      <c r="I528" s="5" t="s">
        <v>15</v>
      </c>
      <c r="J528" s="5" t="s">
        <v>718</v>
      </c>
    </row>
    <row r="529" spans="1:10" x14ac:dyDescent="0.15">
      <c r="A529" s="5" t="s">
        <v>48</v>
      </c>
      <c r="B529" s="5" t="s">
        <v>716</v>
      </c>
      <c r="C529" s="5" t="s">
        <v>41</v>
      </c>
      <c r="D529" s="5" t="s">
        <v>36</v>
      </c>
      <c r="E529" s="9">
        <v>43691</v>
      </c>
      <c r="F529" s="6">
        <v>679</v>
      </c>
      <c r="G529" s="5" t="s">
        <v>15</v>
      </c>
      <c r="H529" s="6">
        <f>SUMIFS(InventTrans!F:F,InventTrans!B:B,AtlasReport_3_Table_1[[#This Row],[Lot ID]],InventTrans!C:C,AtlasReport_3_Table_1[[#This Row],[Ship date]])</f>
        <v>679</v>
      </c>
      <c r="I529" s="5" t="s">
        <v>15</v>
      </c>
      <c r="J529" s="5" t="s">
        <v>719</v>
      </c>
    </row>
    <row r="530" spans="1:10" x14ac:dyDescent="0.15">
      <c r="A530" s="5" t="s">
        <v>48</v>
      </c>
      <c r="B530" s="5" t="s">
        <v>716</v>
      </c>
      <c r="C530" s="5" t="s">
        <v>35</v>
      </c>
      <c r="D530" s="5" t="s">
        <v>36</v>
      </c>
      <c r="E530" s="9">
        <v>43691</v>
      </c>
      <c r="F530" s="6">
        <v>2340</v>
      </c>
      <c r="G530" s="5" t="s">
        <v>15</v>
      </c>
      <c r="H530" s="6">
        <f>SUMIFS(InventTrans!F:F,InventTrans!B:B,AtlasReport_3_Table_1[[#This Row],[Lot ID]],InventTrans!C:C,AtlasReport_3_Table_1[[#This Row],[Ship date]])</f>
        <v>2340</v>
      </c>
      <c r="I530" s="5" t="s">
        <v>15</v>
      </c>
      <c r="J530" s="5" t="s">
        <v>720</v>
      </c>
    </row>
    <row r="531" spans="1:10" x14ac:dyDescent="0.15">
      <c r="A531" s="5" t="s">
        <v>48</v>
      </c>
      <c r="B531" s="5" t="s">
        <v>721</v>
      </c>
      <c r="C531" s="5" t="s">
        <v>37</v>
      </c>
      <c r="D531" s="5" t="s">
        <v>38</v>
      </c>
      <c r="E531" s="9">
        <v>43691</v>
      </c>
      <c r="F531" s="6">
        <v>3510</v>
      </c>
      <c r="G531" s="5" t="s">
        <v>15</v>
      </c>
      <c r="H531" s="6">
        <f>SUMIFS(InventTrans!F:F,InventTrans!B:B,AtlasReport_3_Table_1[[#This Row],[Lot ID]],InventTrans!C:C,AtlasReport_3_Table_1[[#This Row],[Ship date]])</f>
        <v>3510</v>
      </c>
      <c r="I531" s="5" t="s">
        <v>15</v>
      </c>
      <c r="J531" s="5" t="s">
        <v>722</v>
      </c>
    </row>
    <row r="532" spans="1:10" x14ac:dyDescent="0.15">
      <c r="A532" s="5" t="s">
        <v>48</v>
      </c>
      <c r="B532" s="5" t="s">
        <v>723</v>
      </c>
      <c r="C532" s="5" t="s">
        <v>35</v>
      </c>
      <c r="D532" s="5" t="s">
        <v>36</v>
      </c>
      <c r="E532" s="9">
        <v>43691</v>
      </c>
      <c r="F532" s="6">
        <v>1657.5</v>
      </c>
      <c r="G532" s="5" t="s">
        <v>15</v>
      </c>
      <c r="H532" s="6">
        <f>SUMIFS(InventTrans!F:F,InventTrans!B:B,AtlasReport_3_Table_1[[#This Row],[Lot ID]],InventTrans!C:C,AtlasReport_3_Table_1[[#This Row],[Ship date]])</f>
        <v>1657.5</v>
      </c>
      <c r="I532" s="5" t="s">
        <v>15</v>
      </c>
      <c r="J532" s="5" t="s">
        <v>724</v>
      </c>
    </row>
    <row r="533" spans="1:10" x14ac:dyDescent="0.15">
      <c r="A533" s="5" t="s">
        <v>48</v>
      </c>
      <c r="B533" s="5" t="s">
        <v>725</v>
      </c>
      <c r="C533" s="5" t="s">
        <v>42</v>
      </c>
      <c r="D533" s="5" t="s">
        <v>38</v>
      </c>
      <c r="E533" s="9">
        <v>43693</v>
      </c>
      <c r="F533" s="6">
        <v>2850</v>
      </c>
      <c r="G533" s="5" t="s">
        <v>15</v>
      </c>
      <c r="H533" s="6">
        <f>SUMIFS(InventTrans!F:F,InventTrans!B:B,AtlasReport_3_Table_1[[#This Row],[Lot ID]],InventTrans!C:C,AtlasReport_3_Table_1[[#This Row],[Ship date]])</f>
        <v>2850</v>
      </c>
      <c r="I533" s="5" t="s">
        <v>15</v>
      </c>
      <c r="J533" s="5" t="s">
        <v>726</v>
      </c>
    </row>
    <row r="534" spans="1:10" x14ac:dyDescent="0.15">
      <c r="A534" s="5" t="s">
        <v>48</v>
      </c>
      <c r="B534" s="5" t="s">
        <v>725</v>
      </c>
      <c r="C534" s="5" t="s">
        <v>37</v>
      </c>
      <c r="D534" s="5" t="s">
        <v>38</v>
      </c>
      <c r="E534" s="9">
        <v>43693</v>
      </c>
      <c r="F534" s="6">
        <v>10140</v>
      </c>
      <c r="G534" s="5" t="s">
        <v>15</v>
      </c>
      <c r="H534" s="6">
        <f>SUMIFS(InventTrans!F:F,InventTrans!B:B,AtlasReport_3_Table_1[[#This Row],[Lot ID]],InventTrans!C:C,AtlasReport_3_Table_1[[#This Row],[Ship date]])</f>
        <v>10140</v>
      </c>
      <c r="I534" s="5" t="s">
        <v>15</v>
      </c>
      <c r="J534" s="5" t="s">
        <v>727</v>
      </c>
    </row>
    <row r="535" spans="1:10" x14ac:dyDescent="0.15">
      <c r="A535" s="5" t="s">
        <v>48</v>
      </c>
      <c r="B535" s="5" t="s">
        <v>728</v>
      </c>
      <c r="C535" s="5" t="s">
        <v>35</v>
      </c>
      <c r="D535" s="5" t="s">
        <v>36</v>
      </c>
      <c r="E535" s="9">
        <v>43691</v>
      </c>
      <c r="F535" s="6">
        <v>97.5</v>
      </c>
      <c r="G535" s="5" t="s">
        <v>15</v>
      </c>
      <c r="H535" s="6">
        <f>SUMIFS(InventTrans!F:F,InventTrans!B:B,AtlasReport_3_Table_1[[#This Row],[Lot ID]],InventTrans!C:C,AtlasReport_3_Table_1[[#This Row],[Ship date]])</f>
        <v>97.5</v>
      </c>
      <c r="I535" s="5" t="s">
        <v>15</v>
      </c>
      <c r="J535" s="5" t="s">
        <v>729</v>
      </c>
    </row>
    <row r="536" spans="1:10" x14ac:dyDescent="0.15">
      <c r="A536" s="5" t="s">
        <v>48</v>
      </c>
      <c r="B536" s="5" t="s">
        <v>730</v>
      </c>
      <c r="C536" s="5" t="s">
        <v>37</v>
      </c>
      <c r="D536" s="5" t="s">
        <v>38</v>
      </c>
      <c r="E536" s="9">
        <v>43691</v>
      </c>
      <c r="F536" s="6">
        <v>975</v>
      </c>
      <c r="G536" s="5" t="s">
        <v>15</v>
      </c>
      <c r="H536" s="6">
        <f>SUMIFS(InventTrans!F:F,InventTrans!B:B,AtlasReport_3_Table_1[[#This Row],[Lot ID]],InventTrans!C:C,AtlasReport_3_Table_1[[#This Row],[Ship date]])</f>
        <v>975</v>
      </c>
      <c r="I536" s="5" t="s">
        <v>15</v>
      </c>
      <c r="J536" s="5" t="s">
        <v>731</v>
      </c>
    </row>
    <row r="537" spans="1:10" ht="27" x14ac:dyDescent="0.15">
      <c r="A537" s="5" t="s">
        <v>48</v>
      </c>
      <c r="B537" s="5" t="s">
        <v>107</v>
      </c>
      <c r="C537" s="5" t="s">
        <v>49</v>
      </c>
      <c r="D537" s="7" t="s">
        <v>50</v>
      </c>
      <c r="E537" s="9">
        <v>43690</v>
      </c>
      <c r="F537" s="6">
        <v>30</v>
      </c>
      <c r="G537" s="5" t="s">
        <v>15</v>
      </c>
      <c r="H537" s="6">
        <f>SUMIFS(InventTrans!F:F,InventTrans!B:B,AtlasReport_3_Table_1[[#This Row],[Lot ID]],InventTrans!C:C,AtlasReport_3_Table_1[[#This Row],[Ship date]])</f>
        <v>30</v>
      </c>
      <c r="I537" s="5" t="s">
        <v>15</v>
      </c>
      <c r="J537" s="5" t="s">
        <v>732</v>
      </c>
    </row>
    <row r="538" spans="1:10" x14ac:dyDescent="0.15">
      <c r="A538" s="5" t="s">
        <v>48</v>
      </c>
      <c r="B538" s="5" t="s">
        <v>108</v>
      </c>
      <c r="C538" s="5" t="s">
        <v>43</v>
      </c>
      <c r="D538" s="5" t="s">
        <v>38</v>
      </c>
      <c r="E538" s="9">
        <v>43693</v>
      </c>
      <c r="F538" s="6">
        <v>582</v>
      </c>
      <c r="G538" s="5" t="s">
        <v>15</v>
      </c>
      <c r="H538" s="6">
        <f>SUMIFS(InventTrans!F:F,InventTrans!B:B,AtlasReport_3_Table_1[[#This Row],[Lot ID]],InventTrans!C:C,AtlasReport_3_Table_1[[#This Row],[Ship date]])</f>
        <v>582</v>
      </c>
      <c r="I538" s="5" t="s">
        <v>15</v>
      </c>
      <c r="J538" s="5" t="s">
        <v>733</v>
      </c>
    </row>
    <row r="539" spans="1:10" x14ac:dyDescent="0.15">
      <c r="A539" s="5" t="s">
        <v>48</v>
      </c>
      <c r="B539" s="5" t="s">
        <v>734</v>
      </c>
      <c r="C539" s="5" t="s">
        <v>37</v>
      </c>
      <c r="D539" s="5" t="s">
        <v>38</v>
      </c>
      <c r="E539" s="9">
        <v>43691</v>
      </c>
      <c r="F539" s="6">
        <v>195</v>
      </c>
      <c r="G539" s="5" t="s">
        <v>15</v>
      </c>
      <c r="H539" s="6">
        <f>SUMIFS(InventTrans!F:F,InventTrans!B:B,AtlasReport_3_Table_1[[#This Row],[Lot ID]],InventTrans!C:C,AtlasReport_3_Table_1[[#This Row],[Ship date]])</f>
        <v>195</v>
      </c>
      <c r="I539" s="5" t="s">
        <v>15</v>
      </c>
      <c r="J539" s="5" t="s">
        <v>735</v>
      </c>
    </row>
    <row r="540" spans="1:10" x14ac:dyDescent="0.15">
      <c r="A540" s="5" t="s">
        <v>48</v>
      </c>
      <c r="B540" s="5" t="s">
        <v>109</v>
      </c>
      <c r="C540" s="5" t="s">
        <v>40</v>
      </c>
      <c r="D540" s="5" t="s">
        <v>36</v>
      </c>
      <c r="E540" s="9">
        <v>43689</v>
      </c>
      <c r="F540" s="6">
        <v>300</v>
      </c>
      <c r="G540" s="5" t="s">
        <v>15</v>
      </c>
      <c r="H540" s="6">
        <f>SUMIFS(InventTrans!F:F,InventTrans!B:B,AtlasReport_3_Table_1[[#This Row],[Lot ID]],InventTrans!C:C,AtlasReport_3_Table_1[[#This Row],[Ship date]])</f>
        <v>300</v>
      </c>
      <c r="I540" s="5" t="s">
        <v>15</v>
      </c>
      <c r="J540" s="5" t="s">
        <v>736</v>
      </c>
    </row>
    <row r="541" spans="1:10" x14ac:dyDescent="0.15">
      <c r="A541" s="5" t="s">
        <v>48</v>
      </c>
      <c r="B541" s="5" t="s">
        <v>109</v>
      </c>
      <c r="C541" s="5" t="s">
        <v>35</v>
      </c>
      <c r="D541" s="5" t="s">
        <v>36</v>
      </c>
      <c r="E541" s="9">
        <v>43689</v>
      </c>
      <c r="F541" s="6">
        <v>1170</v>
      </c>
      <c r="G541" s="5" t="s">
        <v>15</v>
      </c>
      <c r="H541" s="6">
        <f>SUMIFS(InventTrans!F:F,InventTrans!B:B,AtlasReport_3_Table_1[[#This Row],[Lot ID]],InventTrans!C:C,AtlasReport_3_Table_1[[#This Row],[Ship date]])</f>
        <v>1170</v>
      </c>
      <c r="I541" s="5" t="s">
        <v>15</v>
      </c>
      <c r="J541" s="5" t="s">
        <v>737</v>
      </c>
    </row>
    <row r="542" spans="1:10" x14ac:dyDescent="0.15">
      <c r="A542" s="5" t="s">
        <v>48</v>
      </c>
      <c r="B542" s="5" t="s">
        <v>110</v>
      </c>
      <c r="C542" s="5" t="s">
        <v>35</v>
      </c>
      <c r="D542" s="5" t="s">
        <v>36</v>
      </c>
      <c r="E542" s="9">
        <v>43690</v>
      </c>
      <c r="F542" s="6">
        <v>3022.5</v>
      </c>
      <c r="G542" s="5" t="s">
        <v>15</v>
      </c>
      <c r="H542" s="6">
        <f>SUMIFS(InventTrans!F:F,InventTrans!B:B,AtlasReport_3_Table_1[[#This Row],[Lot ID]],InventTrans!C:C,AtlasReport_3_Table_1[[#This Row],[Ship date]])</f>
        <v>3022.5</v>
      </c>
      <c r="I542" s="5" t="s">
        <v>15</v>
      </c>
      <c r="J542" s="5" t="s">
        <v>738</v>
      </c>
    </row>
    <row r="543" spans="1:10" x14ac:dyDescent="0.15">
      <c r="A543" s="5" t="s">
        <v>48</v>
      </c>
      <c r="B543" s="5" t="s">
        <v>739</v>
      </c>
      <c r="C543" s="5" t="s">
        <v>55</v>
      </c>
      <c r="D543" s="5" t="s">
        <v>56</v>
      </c>
      <c r="E543" s="9">
        <v>43700</v>
      </c>
      <c r="F543" s="6">
        <v>100</v>
      </c>
      <c r="G543" s="5" t="s">
        <v>15</v>
      </c>
      <c r="H543" s="6">
        <f>SUMIFS(InventTrans!F:F,InventTrans!B:B,AtlasReport_3_Table_1[[#This Row],[Lot ID]],InventTrans!C:C,AtlasReport_3_Table_1[[#This Row],[Ship date]])</f>
        <v>100</v>
      </c>
      <c r="I543" s="5" t="s">
        <v>15</v>
      </c>
      <c r="J543" s="5" t="s">
        <v>740</v>
      </c>
    </row>
    <row r="544" spans="1:10" x14ac:dyDescent="0.15">
      <c r="A544" s="5" t="s">
        <v>48</v>
      </c>
      <c r="B544" s="5" t="s">
        <v>739</v>
      </c>
      <c r="C544" s="5" t="s">
        <v>55</v>
      </c>
      <c r="D544" s="5" t="s">
        <v>56</v>
      </c>
      <c r="E544" s="9">
        <v>43700</v>
      </c>
      <c r="F544" s="6">
        <v>100</v>
      </c>
      <c r="G544" s="5" t="s">
        <v>15</v>
      </c>
      <c r="H544" s="6">
        <f>SUMIFS(InventTrans!F:F,InventTrans!B:B,AtlasReport_3_Table_1[[#This Row],[Lot ID]],InventTrans!C:C,AtlasReport_3_Table_1[[#This Row],[Ship date]])</f>
        <v>100</v>
      </c>
      <c r="I544" s="5" t="s">
        <v>15</v>
      </c>
      <c r="J544" s="5" t="s">
        <v>741</v>
      </c>
    </row>
    <row r="545" spans="1:10" x14ac:dyDescent="0.15">
      <c r="A545" s="5" t="s">
        <v>48</v>
      </c>
      <c r="B545" s="5" t="s">
        <v>742</v>
      </c>
      <c r="C545" s="5" t="s">
        <v>35</v>
      </c>
      <c r="D545" s="5" t="s">
        <v>36</v>
      </c>
      <c r="E545" s="9">
        <v>43697</v>
      </c>
      <c r="F545" s="6">
        <v>5362.5</v>
      </c>
      <c r="G545" s="5" t="s">
        <v>15</v>
      </c>
      <c r="H545" s="6">
        <f>SUMIFS(InventTrans!F:F,InventTrans!B:B,AtlasReport_3_Table_1[[#This Row],[Lot ID]],InventTrans!C:C,AtlasReport_3_Table_1[[#This Row],[Ship date]])</f>
        <v>5362.5</v>
      </c>
      <c r="I545" s="5" t="s">
        <v>15</v>
      </c>
      <c r="J545" s="5" t="s">
        <v>743</v>
      </c>
    </row>
    <row r="546" spans="1:10" x14ac:dyDescent="0.15">
      <c r="A546" s="5" t="s">
        <v>48</v>
      </c>
      <c r="B546" s="5" t="s">
        <v>111</v>
      </c>
      <c r="C546" s="5" t="s">
        <v>43</v>
      </c>
      <c r="D546" s="5" t="s">
        <v>38</v>
      </c>
      <c r="E546" s="9">
        <v>43697</v>
      </c>
      <c r="F546" s="6">
        <v>873</v>
      </c>
      <c r="G546" s="5" t="s">
        <v>15</v>
      </c>
      <c r="H546" s="6">
        <f>SUMIFS(InventTrans!F:F,InventTrans!B:B,AtlasReport_3_Table_1[[#This Row],[Lot ID]],InventTrans!C:C,AtlasReport_3_Table_1[[#This Row],[Ship date]])</f>
        <v>873</v>
      </c>
      <c r="I546" s="5" t="s">
        <v>15</v>
      </c>
      <c r="J546" s="5" t="s">
        <v>744</v>
      </c>
    </row>
    <row r="547" spans="1:10" x14ac:dyDescent="0.15">
      <c r="A547" s="5" t="s">
        <v>48</v>
      </c>
      <c r="B547" s="5" t="s">
        <v>745</v>
      </c>
      <c r="C547" s="5" t="s">
        <v>37</v>
      </c>
      <c r="D547" s="5" t="s">
        <v>38</v>
      </c>
      <c r="E547" s="9">
        <v>43697</v>
      </c>
      <c r="F547" s="6">
        <v>7410</v>
      </c>
      <c r="G547" s="5" t="s">
        <v>15</v>
      </c>
      <c r="H547" s="6">
        <f>SUMIFS(InventTrans!F:F,InventTrans!B:B,AtlasReport_3_Table_1[[#This Row],[Lot ID]],InventTrans!C:C,AtlasReport_3_Table_1[[#This Row],[Ship date]])</f>
        <v>7410</v>
      </c>
      <c r="I547" s="5" t="s">
        <v>15</v>
      </c>
      <c r="J547" s="5" t="s">
        <v>746</v>
      </c>
    </row>
    <row r="548" spans="1:10" x14ac:dyDescent="0.15">
      <c r="A548" s="5" t="s">
        <v>48</v>
      </c>
      <c r="B548" s="5" t="s">
        <v>112</v>
      </c>
      <c r="C548" s="5" t="s">
        <v>35</v>
      </c>
      <c r="D548" s="5" t="s">
        <v>36</v>
      </c>
      <c r="E548" s="9">
        <v>43698</v>
      </c>
      <c r="F548" s="6">
        <v>6922.5</v>
      </c>
      <c r="G548" s="5" t="s">
        <v>15</v>
      </c>
      <c r="H548" s="6">
        <f>SUMIFS(InventTrans!F:F,InventTrans!B:B,AtlasReport_3_Table_1[[#This Row],[Lot ID]],InventTrans!C:C,AtlasReport_3_Table_1[[#This Row],[Ship date]])</f>
        <v>6922.5</v>
      </c>
      <c r="I548" s="5" t="s">
        <v>15</v>
      </c>
      <c r="J548" s="5" t="s">
        <v>747</v>
      </c>
    </row>
    <row r="549" spans="1:10" x14ac:dyDescent="0.15">
      <c r="A549" s="5" t="s">
        <v>48</v>
      </c>
      <c r="B549" s="5" t="s">
        <v>748</v>
      </c>
      <c r="C549" s="5" t="s">
        <v>41</v>
      </c>
      <c r="D549" s="5" t="s">
        <v>36</v>
      </c>
      <c r="E549" s="9">
        <v>43698</v>
      </c>
      <c r="F549" s="6">
        <v>339.5</v>
      </c>
      <c r="G549" s="5" t="s">
        <v>15</v>
      </c>
      <c r="H549" s="6">
        <f>SUMIFS(InventTrans!F:F,InventTrans!B:B,AtlasReport_3_Table_1[[#This Row],[Lot ID]],InventTrans!C:C,AtlasReport_3_Table_1[[#This Row],[Ship date]])</f>
        <v>339.5</v>
      </c>
      <c r="I549" s="5" t="s">
        <v>15</v>
      </c>
      <c r="J549" s="5" t="s">
        <v>749</v>
      </c>
    </row>
    <row r="550" spans="1:10" x14ac:dyDescent="0.15">
      <c r="A550" s="5" t="s">
        <v>48</v>
      </c>
      <c r="B550" s="5" t="s">
        <v>748</v>
      </c>
      <c r="C550" s="5" t="s">
        <v>37</v>
      </c>
      <c r="D550" s="5" t="s">
        <v>38</v>
      </c>
      <c r="E550" s="9">
        <v>43698</v>
      </c>
      <c r="F550" s="6">
        <v>3120</v>
      </c>
      <c r="G550" s="5" t="s">
        <v>15</v>
      </c>
      <c r="H550" s="6">
        <f>SUMIFS(InventTrans!F:F,InventTrans!B:B,AtlasReport_3_Table_1[[#This Row],[Lot ID]],InventTrans!C:C,AtlasReport_3_Table_1[[#This Row],[Ship date]])</f>
        <v>3120</v>
      </c>
      <c r="I550" s="5" t="s">
        <v>15</v>
      </c>
      <c r="J550" s="5" t="s">
        <v>750</v>
      </c>
    </row>
    <row r="551" spans="1:10" x14ac:dyDescent="0.15">
      <c r="A551" s="5" t="s">
        <v>48</v>
      </c>
      <c r="B551" s="5" t="s">
        <v>748</v>
      </c>
      <c r="C551" s="5" t="s">
        <v>43</v>
      </c>
      <c r="D551" s="5" t="s">
        <v>38</v>
      </c>
      <c r="E551" s="9">
        <v>43698</v>
      </c>
      <c r="F551" s="6">
        <v>1552</v>
      </c>
      <c r="G551" s="5" t="s">
        <v>15</v>
      </c>
      <c r="H551" s="6">
        <f>SUMIFS(InventTrans!F:F,InventTrans!B:B,AtlasReport_3_Table_1[[#This Row],[Lot ID]],InventTrans!C:C,AtlasReport_3_Table_1[[#This Row],[Ship date]])</f>
        <v>1552</v>
      </c>
      <c r="I551" s="5" t="s">
        <v>15</v>
      </c>
      <c r="J551" s="5" t="s">
        <v>751</v>
      </c>
    </row>
    <row r="552" spans="1:10" x14ac:dyDescent="0.15">
      <c r="A552" s="5" t="s">
        <v>48</v>
      </c>
      <c r="B552" s="5" t="s">
        <v>752</v>
      </c>
      <c r="C552" s="5" t="s">
        <v>43</v>
      </c>
      <c r="D552" s="5" t="s">
        <v>38</v>
      </c>
      <c r="E552" s="9">
        <v>43698</v>
      </c>
      <c r="F552" s="6">
        <v>679</v>
      </c>
      <c r="G552" s="5" t="s">
        <v>15</v>
      </c>
      <c r="H552" s="6">
        <f>SUMIFS(InventTrans!F:F,InventTrans!B:B,AtlasReport_3_Table_1[[#This Row],[Lot ID]],InventTrans!C:C,AtlasReport_3_Table_1[[#This Row],[Ship date]])</f>
        <v>679</v>
      </c>
      <c r="I552" s="5" t="s">
        <v>15</v>
      </c>
      <c r="J552" s="5" t="s">
        <v>753</v>
      </c>
    </row>
    <row r="553" spans="1:10" x14ac:dyDescent="0.15">
      <c r="A553" s="5" t="s">
        <v>48</v>
      </c>
      <c r="B553" s="5" t="s">
        <v>752</v>
      </c>
      <c r="C553" s="5" t="s">
        <v>37</v>
      </c>
      <c r="D553" s="5" t="s">
        <v>38</v>
      </c>
      <c r="E553" s="9">
        <v>43698</v>
      </c>
      <c r="F553" s="6">
        <v>2730</v>
      </c>
      <c r="G553" s="5" t="s">
        <v>15</v>
      </c>
      <c r="H553" s="6">
        <f>SUMIFS(InventTrans!F:F,InventTrans!B:B,AtlasReport_3_Table_1[[#This Row],[Lot ID]],InventTrans!C:C,AtlasReport_3_Table_1[[#This Row],[Ship date]])</f>
        <v>2730</v>
      </c>
      <c r="I553" s="5" t="s">
        <v>15</v>
      </c>
      <c r="J553" s="5" t="s">
        <v>754</v>
      </c>
    </row>
    <row r="554" spans="1:10" x14ac:dyDescent="0.15">
      <c r="A554" s="5" t="s">
        <v>48</v>
      </c>
      <c r="B554" s="5" t="s">
        <v>755</v>
      </c>
      <c r="C554" s="5" t="s">
        <v>37</v>
      </c>
      <c r="D554" s="5" t="s">
        <v>38</v>
      </c>
      <c r="E554" s="9">
        <v>43698</v>
      </c>
      <c r="F554" s="6">
        <v>390</v>
      </c>
      <c r="G554" s="5" t="s">
        <v>15</v>
      </c>
      <c r="H554" s="6">
        <f>SUMIFS(InventTrans!F:F,InventTrans!B:B,AtlasReport_3_Table_1[[#This Row],[Lot ID]],InventTrans!C:C,AtlasReport_3_Table_1[[#This Row],[Ship date]])</f>
        <v>390</v>
      </c>
      <c r="I554" s="5" t="s">
        <v>15</v>
      </c>
      <c r="J554" s="5" t="s">
        <v>756</v>
      </c>
    </row>
    <row r="555" spans="1:10" x14ac:dyDescent="0.15">
      <c r="A555" s="5" t="s">
        <v>48</v>
      </c>
      <c r="B555" s="5" t="s">
        <v>757</v>
      </c>
      <c r="C555" s="5" t="s">
        <v>37</v>
      </c>
      <c r="D555" s="5" t="s">
        <v>38</v>
      </c>
      <c r="E555" s="9">
        <v>43698</v>
      </c>
      <c r="F555" s="6">
        <v>487.5</v>
      </c>
      <c r="G555" s="5" t="s">
        <v>15</v>
      </c>
      <c r="H555" s="6">
        <f>SUMIFS(InventTrans!F:F,InventTrans!B:B,AtlasReport_3_Table_1[[#This Row],[Lot ID]],InventTrans!C:C,AtlasReport_3_Table_1[[#This Row],[Ship date]])</f>
        <v>487.5</v>
      </c>
      <c r="I555" s="5" t="s">
        <v>15</v>
      </c>
      <c r="J555" s="5" t="s">
        <v>758</v>
      </c>
    </row>
    <row r="556" spans="1:10" x14ac:dyDescent="0.15">
      <c r="A556" s="5" t="s">
        <v>48</v>
      </c>
      <c r="B556" s="5" t="s">
        <v>759</v>
      </c>
      <c r="C556" s="5" t="s">
        <v>37</v>
      </c>
      <c r="D556" s="5" t="s">
        <v>38</v>
      </c>
      <c r="E556" s="9">
        <v>43699</v>
      </c>
      <c r="F556" s="6">
        <v>2242.5</v>
      </c>
      <c r="G556" s="5" t="s">
        <v>15</v>
      </c>
      <c r="H556" s="6">
        <f>SUMIFS(InventTrans!F:F,InventTrans!B:B,AtlasReport_3_Table_1[[#This Row],[Lot ID]],InventTrans!C:C,AtlasReport_3_Table_1[[#This Row],[Ship date]])</f>
        <v>2242.5</v>
      </c>
      <c r="I556" s="5" t="s">
        <v>15</v>
      </c>
      <c r="J556" s="5" t="s">
        <v>760</v>
      </c>
    </row>
    <row r="557" spans="1:10" x14ac:dyDescent="0.15">
      <c r="A557" s="5" t="s">
        <v>48</v>
      </c>
      <c r="B557" s="5" t="s">
        <v>113</v>
      </c>
      <c r="C557" s="5" t="s">
        <v>37</v>
      </c>
      <c r="D557" s="5" t="s">
        <v>38</v>
      </c>
      <c r="E557" s="9">
        <v>43699</v>
      </c>
      <c r="F557" s="6">
        <v>10530</v>
      </c>
      <c r="G557" s="5" t="s">
        <v>15</v>
      </c>
      <c r="H557" s="6">
        <f>SUMIFS(InventTrans!F:F,InventTrans!B:B,AtlasReport_3_Table_1[[#This Row],[Lot ID]],InventTrans!C:C,AtlasReport_3_Table_1[[#This Row],[Ship date]])</f>
        <v>10530</v>
      </c>
      <c r="I557" s="5" t="s">
        <v>15</v>
      </c>
      <c r="J557" s="5" t="s">
        <v>761</v>
      </c>
    </row>
    <row r="558" spans="1:10" x14ac:dyDescent="0.15">
      <c r="A558" s="5" t="s">
        <v>48</v>
      </c>
      <c r="B558" s="5" t="s">
        <v>762</v>
      </c>
      <c r="C558" s="5" t="s">
        <v>37</v>
      </c>
      <c r="D558" s="5" t="s">
        <v>38</v>
      </c>
      <c r="E558" s="9">
        <v>43699</v>
      </c>
      <c r="F558" s="6">
        <v>6337.5</v>
      </c>
      <c r="G558" s="5" t="s">
        <v>15</v>
      </c>
      <c r="H558" s="6">
        <f>SUMIFS(InventTrans!F:F,InventTrans!B:B,AtlasReport_3_Table_1[[#This Row],[Lot ID]],InventTrans!C:C,AtlasReport_3_Table_1[[#This Row],[Ship date]])</f>
        <v>6337.5</v>
      </c>
      <c r="I558" s="5" t="s">
        <v>15</v>
      </c>
      <c r="J558" s="5" t="s">
        <v>763</v>
      </c>
    </row>
    <row r="559" spans="1:10" x14ac:dyDescent="0.15">
      <c r="A559" s="5" t="s">
        <v>48</v>
      </c>
      <c r="B559" s="5" t="s">
        <v>114</v>
      </c>
      <c r="C559" s="5" t="s">
        <v>53</v>
      </c>
      <c r="D559" s="5" t="s">
        <v>54</v>
      </c>
      <c r="E559" s="9">
        <v>43699</v>
      </c>
      <c r="F559" s="6">
        <v>292.5</v>
      </c>
      <c r="G559" s="5" t="s">
        <v>15</v>
      </c>
      <c r="H559" s="6">
        <f>SUMIFS(InventTrans!F:F,InventTrans!B:B,AtlasReport_3_Table_1[[#This Row],[Lot ID]],InventTrans!C:C,AtlasReport_3_Table_1[[#This Row],[Ship date]])</f>
        <v>292.5</v>
      </c>
      <c r="I559" s="5" t="s">
        <v>15</v>
      </c>
      <c r="J559" s="5" t="s">
        <v>764</v>
      </c>
    </row>
    <row r="560" spans="1:10" x14ac:dyDescent="0.15">
      <c r="A560" s="5" t="s">
        <v>48</v>
      </c>
      <c r="B560" s="5" t="s">
        <v>114</v>
      </c>
      <c r="C560" s="5" t="s">
        <v>53</v>
      </c>
      <c r="D560" s="5" t="s">
        <v>54</v>
      </c>
      <c r="E560" s="9">
        <v>43700</v>
      </c>
      <c r="F560" s="6">
        <v>-292.5</v>
      </c>
      <c r="G560" s="5" t="s">
        <v>15</v>
      </c>
      <c r="H560" s="6">
        <f>SUMIFS(InventTrans!F:F,InventTrans!B:B,AtlasReport_3_Table_1[[#This Row],[Lot ID]],InventTrans!C:C,AtlasReport_3_Table_1[[#This Row],[Ship date]])</f>
        <v>-292.5</v>
      </c>
      <c r="I560" s="5" t="s">
        <v>15</v>
      </c>
      <c r="J560" s="5" t="s">
        <v>765</v>
      </c>
    </row>
    <row r="561" spans="1:10" x14ac:dyDescent="0.15">
      <c r="A561" s="5" t="s">
        <v>48</v>
      </c>
      <c r="B561" s="5" t="s">
        <v>115</v>
      </c>
      <c r="C561" s="5" t="s">
        <v>37</v>
      </c>
      <c r="D561" s="5" t="s">
        <v>38</v>
      </c>
      <c r="E561" s="9">
        <v>43699</v>
      </c>
      <c r="F561" s="6">
        <v>19110</v>
      </c>
      <c r="G561" s="5" t="s">
        <v>15</v>
      </c>
      <c r="H561" s="6">
        <f>SUMIFS(InventTrans!F:F,InventTrans!B:B,AtlasReport_3_Table_1[[#This Row],[Lot ID]],InventTrans!C:C,AtlasReport_3_Table_1[[#This Row],[Ship date]])</f>
        <v>19110</v>
      </c>
      <c r="I561" s="5" t="s">
        <v>15</v>
      </c>
      <c r="J561" s="5" t="s">
        <v>766</v>
      </c>
    </row>
    <row r="562" spans="1:10" x14ac:dyDescent="0.15">
      <c r="A562" s="5" t="s">
        <v>48</v>
      </c>
      <c r="B562" s="5" t="s">
        <v>116</v>
      </c>
      <c r="C562" s="5" t="s">
        <v>35</v>
      </c>
      <c r="D562" s="5" t="s">
        <v>36</v>
      </c>
      <c r="E562" s="9">
        <v>43699</v>
      </c>
      <c r="F562" s="6">
        <v>1462.5</v>
      </c>
      <c r="G562" s="5" t="s">
        <v>15</v>
      </c>
      <c r="H562" s="6">
        <f>SUMIFS(InventTrans!F:F,InventTrans!B:B,AtlasReport_3_Table_1[[#This Row],[Lot ID]],InventTrans!C:C,AtlasReport_3_Table_1[[#This Row],[Ship date]])</f>
        <v>1462.5</v>
      </c>
      <c r="I562" s="5" t="s">
        <v>15</v>
      </c>
      <c r="J562" s="5" t="s">
        <v>767</v>
      </c>
    </row>
    <row r="563" spans="1:10" x14ac:dyDescent="0.15">
      <c r="A563" s="5" t="s">
        <v>48</v>
      </c>
      <c r="B563" s="5" t="s">
        <v>768</v>
      </c>
      <c r="C563" s="5" t="s">
        <v>35</v>
      </c>
      <c r="D563" s="5" t="s">
        <v>36</v>
      </c>
      <c r="E563" s="9">
        <v>43700</v>
      </c>
      <c r="F563" s="6">
        <v>4095</v>
      </c>
      <c r="G563" s="5" t="s">
        <v>15</v>
      </c>
      <c r="H563" s="6">
        <f>SUMIFS(InventTrans!F:F,InventTrans!B:B,AtlasReport_3_Table_1[[#This Row],[Lot ID]],InventTrans!C:C,AtlasReport_3_Table_1[[#This Row],[Ship date]])</f>
        <v>4095</v>
      </c>
      <c r="I563" s="5" t="s">
        <v>15</v>
      </c>
      <c r="J563" s="5" t="s">
        <v>769</v>
      </c>
    </row>
    <row r="564" spans="1:10" x14ac:dyDescent="0.15">
      <c r="A564" s="5" t="s">
        <v>48</v>
      </c>
      <c r="B564" s="5" t="s">
        <v>770</v>
      </c>
      <c r="C564" s="5" t="s">
        <v>35</v>
      </c>
      <c r="D564" s="5" t="s">
        <v>36</v>
      </c>
      <c r="E564" s="9">
        <v>43703</v>
      </c>
      <c r="F564" s="6">
        <v>4485</v>
      </c>
      <c r="G564" s="5" t="s">
        <v>15</v>
      </c>
      <c r="H564" s="6">
        <f>SUMIFS(InventTrans!F:F,InventTrans!B:B,AtlasReport_3_Table_1[[#This Row],[Lot ID]],InventTrans!C:C,AtlasReport_3_Table_1[[#This Row],[Ship date]])</f>
        <v>4485</v>
      </c>
      <c r="I564" s="5" t="s">
        <v>15</v>
      </c>
      <c r="J564" s="5" t="s">
        <v>771</v>
      </c>
    </row>
    <row r="565" spans="1:10" x14ac:dyDescent="0.15">
      <c r="A565" s="5" t="s">
        <v>48</v>
      </c>
      <c r="B565" s="5" t="s">
        <v>770</v>
      </c>
      <c r="C565" s="5" t="s">
        <v>55</v>
      </c>
      <c r="D565" s="5" t="s">
        <v>56</v>
      </c>
      <c r="E565" s="9">
        <v>43703</v>
      </c>
      <c r="F565" s="6">
        <v>500</v>
      </c>
      <c r="G565" s="5" t="s">
        <v>15</v>
      </c>
      <c r="H565" s="6">
        <f>SUMIFS(InventTrans!F:F,InventTrans!B:B,AtlasReport_3_Table_1[[#This Row],[Lot ID]],InventTrans!C:C,AtlasReport_3_Table_1[[#This Row],[Ship date]])</f>
        <v>500</v>
      </c>
      <c r="I565" s="5" t="s">
        <v>15</v>
      </c>
      <c r="J565" s="5" t="s">
        <v>772</v>
      </c>
    </row>
    <row r="566" spans="1:10" x14ac:dyDescent="0.15">
      <c r="A566" s="5" t="s">
        <v>48</v>
      </c>
      <c r="B566" s="5" t="s">
        <v>773</v>
      </c>
      <c r="C566" s="5" t="s">
        <v>40</v>
      </c>
      <c r="D566" s="5" t="s">
        <v>36</v>
      </c>
      <c r="E566" s="9">
        <v>43703</v>
      </c>
      <c r="F566" s="6">
        <v>300</v>
      </c>
      <c r="G566" s="5" t="s">
        <v>15</v>
      </c>
      <c r="H566" s="6">
        <f>SUMIFS(InventTrans!F:F,InventTrans!B:B,AtlasReport_3_Table_1[[#This Row],[Lot ID]],InventTrans!C:C,AtlasReport_3_Table_1[[#This Row],[Ship date]])</f>
        <v>300</v>
      </c>
      <c r="I566" s="5" t="s">
        <v>15</v>
      </c>
      <c r="J566" s="5" t="s">
        <v>774</v>
      </c>
    </row>
    <row r="567" spans="1:10" x14ac:dyDescent="0.15">
      <c r="A567" s="5" t="s">
        <v>48</v>
      </c>
      <c r="B567" s="5" t="s">
        <v>773</v>
      </c>
      <c r="C567" s="5" t="s">
        <v>35</v>
      </c>
      <c r="D567" s="5" t="s">
        <v>36</v>
      </c>
      <c r="E567" s="9">
        <v>43703</v>
      </c>
      <c r="F567" s="6">
        <v>1072.5</v>
      </c>
      <c r="G567" s="5" t="s">
        <v>15</v>
      </c>
      <c r="H567" s="6">
        <f>SUMIFS(InventTrans!F:F,InventTrans!B:B,AtlasReport_3_Table_1[[#This Row],[Lot ID]],InventTrans!C:C,AtlasReport_3_Table_1[[#This Row],[Ship date]])</f>
        <v>1072.5</v>
      </c>
      <c r="I567" s="5" t="s">
        <v>15</v>
      </c>
      <c r="J567" s="5" t="s">
        <v>775</v>
      </c>
    </row>
    <row r="568" spans="1:10" x14ac:dyDescent="0.15">
      <c r="A568" s="5" t="s">
        <v>48</v>
      </c>
      <c r="B568" s="5" t="s">
        <v>117</v>
      </c>
      <c r="C568" s="5" t="s">
        <v>43</v>
      </c>
      <c r="D568" s="5" t="s">
        <v>38</v>
      </c>
      <c r="E568" s="9">
        <v>43703</v>
      </c>
      <c r="F568" s="6">
        <v>97</v>
      </c>
      <c r="G568" s="5" t="s">
        <v>15</v>
      </c>
      <c r="H568" s="6">
        <f>SUMIFS(InventTrans!F:F,InventTrans!B:B,AtlasReport_3_Table_1[[#This Row],[Lot ID]],InventTrans!C:C,AtlasReport_3_Table_1[[#This Row],[Ship date]])</f>
        <v>97</v>
      </c>
      <c r="I568" s="5" t="s">
        <v>15</v>
      </c>
      <c r="J568" s="5" t="s">
        <v>776</v>
      </c>
    </row>
    <row r="569" spans="1:10" x14ac:dyDescent="0.15">
      <c r="A569" s="5" t="s">
        <v>48</v>
      </c>
      <c r="B569" s="5" t="s">
        <v>117</v>
      </c>
      <c r="C569" s="5" t="s">
        <v>42</v>
      </c>
      <c r="D569" s="5" t="s">
        <v>38</v>
      </c>
      <c r="E569" s="9">
        <v>43703</v>
      </c>
      <c r="F569" s="6">
        <v>450</v>
      </c>
      <c r="G569" s="5" t="s">
        <v>15</v>
      </c>
      <c r="H569" s="6">
        <f>SUMIFS(InventTrans!F:F,InventTrans!B:B,AtlasReport_3_Table_1[[#This Row],[Lot ID]],InventTrans!C:C,AtlasReport_3_Table_1[[#This Row],[Ship date]])</f>
        <v>450</v>
      </c>
      <c r="I569" s="5" t="s">
        <v>15</v>
      </c>
      <c r="J569" s="5" t="s">
        <v>777</v>
      </c>
    </row>
    <row r="570" spans="1:10" x14ac:dyDescent="0.15">
      <c r="A570" s="5" t="s">
        <v>48</v>
      </c>
      <c r="B570" s="5" t="s">
        <v>117</v>
      </c>
      <c r="C570" s="5" t="s">
        <v>37</v>
      </c>
      <c r="D570" s="5" t="s">
        <v>38</v>
      </c>
      <c r="E570" s="9">
        <v>43703</v>
      </c>
      <c r="F570" s="6">
        <v>1170</v>
      </c>
      <c r="G570" s="5" t="s">
        <v>15</v>
      </c>
      <c r="H570" s="6">
        <f>SUMIFS(InventTrans!F:F,InventTrans!B:B,AtlasReport_3_Table_1[[#This Row],[Lot ID]],InventTrans!C:C,AtlasReport_3_Table_1[[#This Row],[Ship date]])</f>
        <v>1170</v>
      </c>
      <c r="I570" s="5" t="s">
        <v>15</v>
      </c>
      <c r="J570" s="5" t="s">
        <v>778</v>
      </c>
    </row>
    <row r="571" spans="1:10" x14ac:dyDescent="0.15">
      <c r="A571" s="5" t="s">
        <v>48</v>
      </c>
      <c r="B571" s="5" t="s">
        <v>118</v>
      </c>
      <c r="C571" s="5" t="s">
        <v>37</v>
      </c>
      <c r="D571" s="5" t="s">
        <v>38</v>
      </c>
      <c r="E571" s="9">
        <v>43704</v>
      </c>
      <c r="F571" s="6">
        <v>16672.5</v>
      </c>
      <c r="G571" s="5" t="s">
        <v>15</v>
      </c>
      <c r="H571" s="6">
        <f>SUMIFS(InventTrans!F:F,InventTrans!B:B,AtlasReport_3_Table_1[[#This Row],[Lot ID]],InventTrans!C:C,AtlasReport_3_Table_1[[#This Row],[Ship date]])</f>
        <v>16672.5</v>
      </c>
      <c r="I571" s="5" t="s">
        <v>15</v>
      </c>
      <c r="J571" s="5" t="s">
        <v>779</v>
      </c>
    </row>
    <row r="572" spans="1:10" x14ac:dyDescent="0.15">
      <c r="A572" s="5" t="s">
        <v>48</v>
      </c>
      <c r="B572" s="5" t="s">
        <v>119</v>
      </c>
      <c r="C572" s="5" t="s">
        <v>37</v>
      </c>
      <c r="D572" s="5" t="s">
        <v>38</v>
      </c>
      <c r="E572" s="9">
        <v>43703</v>
      </c>
      <c r="F572" s="6">
        <v>4485</v>
      </c>
      <c r="G572" s="5" t="s">
        <v>15</v>
      </c>
      <c r="H572" s="6">
        <f>SUMIFS(InventTrans!F:F,InventTrans!B:B,AtlasReport_3_Table_1[[#This Row],[Lot ID]],InventTrans!C:C,AtlasReport_3_Table_1[[#This Row],[Ship date]])</f>
        <v>4485</v>
      </c>
      <c r="I572" s="5" t="s">
        <v>15</v>
      </c>
      <c r="J572" s="5" t="s">
        <v>780</v>
      </c>
    </row>
    <row r="573" spans="1:10" x14ac:dyDescent="0.15">
      <c r="A573" s="5" t="s">
        <v>48</v>
      </c>
      <c r="B573" s="5" t="s">
        <v>781</v>
      </c>
      <c r="C573" s="5" t="s">
        <v>43</v>
      </c>
      <c r="D573" s="5" t="s">
        <v>38</v>
      </c>
      <c r="E573" s="9">
        <v>43693</v>
      </c>
      <c r="F573" s="6">
        <v>582</v>
      </c>
      <c r="G573" s="5" t="s">
        <v>15</v>
      </c>
      <c r="H573" s="6">
        <f>SUMIFS(InventTrans!F:F,InventTrans!B:B,AtlasReport_3_Table_1[[#This Row],[Lot ID]],InventTrans!C:C,AtlasReport_3_Table_1[[#This Row],[Ship date]])</f>
        <v>582</v>
      </c>
      <c r="I573" s="5" t="s">
        <v>15</v>
      </c>
      <c r="J573" s="5" t="s">
        <v>782</v>
      </c>
    </row>
    <row r="574" spans="1:10" x14ac:dyDescent="0.15">
      <c r="A574" s="5" t="s">
        <v>48</v>
      </c>
      <c r="B574" s="5" t="s">
        <v>781</v>
      </c>
      <c r="C574" s="5" t="s">
        <v>37</v>
      </c>
      <c r="D574" s="5" t="s">
        <v>38</v>
      </c>
      <c r="E574" s="9">
        <v>43693</v>
      </c>
      <c r="F574" s="6">
        <v>1170</v>
      </c>
      <c r="G574" s="5" t="s">
        <v>15</v>
      </c>
      <c r="H574" s="6">
        <f>SUMIFS(InventTrans!F:F,InventTrans!B:B,AtlasReport_3_Table_1[[#This Row],[Lot ID]],InventTrans!C:C,AtlasReport_3_Table_1[[#This Row],[Ship date]])</f>
        <v>1170</v>
      </c>
      <c r="I574" s="5" t="s">
        <v>15</v>
      </c>
      <c r="J574" s="5" t="s">
        <v>783</v>
      </c>
    </row>
    <row r="575" spans="1:10" x14ac:dyDescent="0.15">
      <c r="A575" s="5" t="s">
        <v>48</v>
      </c>
      <c r="B575" s="5" t="s">
        <v>120</v>
      </c>
      <c r="C575" s="5" t="s">
        <v>35</v>
      </c>
      <c r="D575" s="5" t="s">
        <v>36</v>
      </c>
      <c r="E575" s="9">
        <v>43699</v>
      </c>
      <c r="F575" s="6">
        <v>1170</v>
      </c>
      <c r="G575" s="5" t="s">
        <v>15</v>
      </c>
      <c r="H575" s="6">
        <f>SUMIFS(InventTrans!F:F,InventTrans!B:B,AtlasReport_3_Table_1[[#This Row],[Lot ID]],InventTrans!C:C,AtlasReport_3_Table_1[[#This Row],[Ship date]])</f>
        <v>1170</v>
      </c>
      <c r="I575" s="5" t="s">
        <v>15</v>
      </c>
      <c r="J575" s="5" t="s">
        <v>784</v>
      </c>
    </row>
    <row r="576" spans="1:10" x14ac:dyDescent="0.15">
      <c r="A576" s="5" t="s">
        <v>48</v>
      </c>
      <c r="B576" s="5" t="s">
        <v>121</v>
      </c>
      <c r="C576" s="5" t="s">
        <v>37</v>
      </c>
      <c r="D576" s="5" t="s">
        <v>38</v>
      </c>
      <c r="E576" s="9">
        <v>43691</v>
      </c>
      <c r="F576" s="6">
        <v>2340</v>
      </c>
      <c r="G576" s="5" t="s">
        <v>15</v>
      </c>
      <c r="H576" s="6">
        <f>SUMIFS(InventTrans!F:F,InventTrans!B:B,AtlasReport_3_Table_1[[#This Row],[Lot ID]],InventTrans!C:C,AtlasReport_3_Table_1[[#This Row],[Ship date]])</f>
        <v>2340</v>
      </c>
      <c r="I576" s="5" t="s">
        <v>15</v>
      </c>
      <c r="J576" s="5" t="s">
        <v>785</v>
      </c>
    </row>
    <row r="577" spans="1:10" x14ac:dyDescent="0.15">
      <c r="A577" s="5" t="s">
        <v>48</v>
      </c>
      <c r="B577" s="5" t="s">
        <v>786</v>
      </c>
      <c r="C577" s="5" t="s">
        <v>35</v>
      </c>
      <c r="D577" s="5" t="s">
        <v>36</v>
      </c>
      <c r="E577" s="9">
        <v>43703</v>
      </c>
      <c r="F577" s="6">
        <v>15015</v>
      </c>
      <c r="G577" s="5" t="s">
        <v>15</v>
      </c>
      <c r="H577" s="6">
        <f>SUMIFS(InventTrans!F:F,InventTrans!B:B,AtlasReport_3_Table_1[[#This Row],[Lot ID]],InventTrans!C:C,AtlasReport_3_Table_1[[#This Row],[Ship date]])</f>
        <v>15015</v>
      </c>
      <c r="I577" s="5" t="s">
        <v>15</v>
      </c>
      <c r="J577" s="5" t="s">
        <v>787</v>
      </c>
    </row>
    <row r="578" spans="1:10" x14ac:dyDescent="0.15">
      <c r="A578" s="5" t="s">
        <v>48</v>
      </c>
      <c r="B578" s="5" t="s">
        <v>788</v>
      </c>
      <c r="C578" s="5" t="s">
        <v>37</v>
      </c>
      <c r="D578" s="5" t="s">
        <v>38</v>
      </c>
      <c r="E578" s="9">
        <v>43704</v>
      </c>
      <c r="F578" s="6">
        <v>18135</v>
      </c>
      <c r="G578" s="5" t="s">
        <v>15</v>
      </c>
      <c r="H578" s="6">
        <f>SUMIFS(InventTrans!F:F,InventTrans!B:B,AtlasReport_3_Table_1[[#This Row],[Lot ID]],InventTrans!C:C,AtlasReport_3_Table_1[[#This Row],[Ship date]])</f>
        <v>18135</v>
      </c>
      <c r="I578" s="5" t="s">
        <v>15</v>
      </c>
      <c r="J578" s="5" t="s">
        <v>789</v>
      </c>
    </row>
    <row r="579" spans="1:10" x14ac:dyDescent="0.15">
      <c r="A579" s="5" t="s">
        <v>48</v>
      </c>
      <c r="B579" s="5" t="s">
        <v>790</v>
      </c>
      <c r="C579" s="5" t="s">
        <v>35</v>
      </c>
      <c r="D579" s="5" t="s">
        <v>36</v>
      </c>
      <c r="E579" s="9">
        <v>43704</v>
      </c>
      <c r="F579" s="6">
        <v>292.5</v>
      </c>
      <c r="G579" s="5" t="s">
        <v>15</v>
      </c>
      <c r="H579" s="6">
        <f>SUMIFS(InventTrans!F:F,InventTrans!B:B,AtlasReport_3_Table_1[[#This Row],[Lot ID]],InventTrans!C:C,AtlasReport_3_Table_1[[#This Row],[Ship date]])</f>
        <v>292.5</v>
      </c>
      <c r="I579" s="5" t="s">
        <v>15</v>
      </c>
      <c r="J579" s="5" t="s">
        <v>791</v>
      </c>
    </row>
    <row r="580" spans="1:10" x14ac:dyDescent="0.15">
      <c r="A580" s="5" t="s">
        <v>48</v>
      </c>
      <c r="B580" s="5" t="s">
        <v>122</v>
      </c>
      <c r="C580" s="5" t="s">
        <v>37</v>
      </c>
      <c r="D580" s="5" t="s">
        <v>38</v>
      </c>
      <c r="E580" s="9">
        <v>43705</v>
      </c>
      <c r="F580" s="6">
        <v>4095</v>
      </c>
      <c r="G580" s="5" t="s">
        <v>15</v>
      </c>
      <c r="H580" s="6">
        <f>SUMIFS(InventTrans!F:F,InventTrans!B:B,AtlasReport_3_Table_1[[#This Row],[Lot ID]],InventTrans!C:C,AtlasReport_3_Table_1[[#This Row],[Ship date]])</f>
        <v>4095</v>
      </c>
      <c r="I580" s="5" t="s">
        <v>15</v>
      </c>
      <c r="J580" s="5" t="s">
        <v>792</v>
      </c>
    </row>
    <row r="581" spans="1:10" x14ac:dyDescent="0.15">
      <c r="A581" s="5" t="s">
        <v>48</v>
      </c>
      <c r="B581" s="5" t="s">
        <v>123</v>
      </c>
      <c r="C581" s="5" t="s">
        <v>35</v>
      </c>
      <c r="D581" s="5" t="s">
        <v>36</v>
      </c>
      <c r="E581" s="9">
        <v>43705</v>
      </c>
      <c r="F581" s="6">
        <v>1950</v>
      </c>
      <c r="G581" s="5" t="s">
        <v>15</v>
      </c>
      <c r="H581" s="6">
        <f>SUMIFS(InventTrans!F:F,InventTrans!B:B,AtlasReport_3_Table_1[[#This Row],[Lot ID]],InventTrans!C:C,AtlasReport_3_Table_1[[#This Row],[Ship date]])</f>
        <v>1950</v>
      </c>
      <c r="I581" s="5" t="s">
        <v>15</v>
      </c>
      <c r="J581" s="5" t="s">
        <v>793</v>
      </c>
    </row>
    <row r="582" spans="1:10" x14ac:dyDescent="0.15">
      <c r="A582" s="5" t="s">
        <v>48</v>
      </c>
      <c r="B582" s="5" t="s">
        <v>124</v>
      </c>
      <c r="C582" s="5" t="s">
        <v>35</v>
      </c>
      <c r="D582" s="5" t="s">
        <v>36</v>
      </c>
      <c r="E582" s="9">
        <v>43710</v>
      </c>
      <c r="F582" s="6">
        <v>3900</v>
      </c>
      <c r="G582" s="5" t="s">
        <v>15</v>
      </c>
      <c r="H582" s="6">
        <f>SUMIFS(InventTrans!F:F,InventTrans!B:B,AtlasReport_3_Table_1[[#This Row],[Lot ID]],InventTrans!C:C,AtlasReport_3_Table_1[[#This Row],[Ship date]])</f>
        <v>3900</v>
      </c>
      <c r="I582" s="5" t="s">
        <v>15</v>
      </c>
      <c r="J582" s="5" t="s">
        <v>794</v>
      </c>
    </row>
    <row r="583" spans="1:10" x14ac:dyDescent="0.15">
      <c r="A583" s="5" t="s">
        <v>48</v>
      </c>
      <c r="B583" s="5" t="s">
        <v>125</v>
      </c>
      <c r="C583" s="5" t="s">
        <v>35</v>
      </c>
      <c r="D583" s="5" t="s">
        <v>36</v>
      </c>
      <c r="E583" s="9">
        <v>43710</v>
      </c>
      <c r="F583" s="6">
        <v>25350</v>
      </c>
      <c r="G583" s="5" t="s">
        <v>15</v>
      </c>
      <c r="H583" s="6">
        <f>SUMIFS(InventTrans!F:F,InventTrans!B:B,AtlasReport_3_Table_1[[#This Row],[Lot ID]],InventTrans!C:C,AtlasReport_3_Table_1[[#This Row],[Ship date]])</f>
        <v>25350</v>
      </c>
      <c r="I583" s="5" t="s">
        <v>15</v>
      </c>
      <c r="J583" s="5" t="s">
        <v>795</v>
      </c>
    </row>
    <row r="584" spans="1:10" x14ac:dyDescent="0.15">
      <c r="A584" s="5" t="s">
        <v>48</v>
      </c>
      <c r="B584" s="5" t="s">
        <v>796</v>
      </c>
      <c r="C584" s="5" t="s">
        <v>35</v>
      </c>
      <c r="D584" s="5" t="s">
        <v>36</v>
      </c>
      <c r="E584" s="9">
        <v>43710</v>
      </c>
      <c r="F584" s="6">
        <v>4387.5</v>
      </c>
      <c r="G584" s="5" t="s">
        <v>15</v>
      </c>
      <c r="H584" s="6">
        <f>SUMIFS(InventTrans!F:F,InventTrans!B:B,AtlasReport_3_Table_1[[#This Row],[Lot ID]],InventTrans!C:C,AtlasReport_3_Table_1[[#This Row],[Ship date]])</f>
        <v>4387.5</v>
      </c>
      <c r="I584" s="5" t="s">
        <v>15</v>
      </c>
      <c r="J584" s="5" t="s">
        <v>797</v>
      </c>
    </row>
    <row r="585" spans="1:10" x14ac:dyDescent="0.15">
      <c r="A585" s="5" t="s">
        <v>48</v>
      </c>
      <c r="B585" s="5" t="s">
        <v>796</v>
      </c>
      <c r="C585" s="5" t="s">
        <v>37</v>
      </c>
      <c r="D585" s="5" t="s">
        <v>38</v>
      </c>
      <c r="E585" s="9">
        <v>43710</v>
      </c>
      <c r="F585" s="6">
        <v>487.5</v>
      </c>
      <c r="G585" s="5" t="s">
        <v>15</v>
      </c>
      <c r="H585" s="6">
        <f>SUMIFS(InventTrans!F:F,InventTrans!B:B,AtlasReport_3_Table_1[[#This Row],[Lot ID]],InventTrans!C:C,AtlasReport_3_Table_1[[#This Row],[Ship date]])</f>
        <v>487.5</v>
      </c>
      <c r="I585" s="5" t="s">
        <v>15</v>
      </c>
      <c r="J585" s="5" t="s">
        <v>798</v>
      </c>
    </row>
    <row r="586" spans="1:10" ht="27" x14ac:dyDescent="0.15">
      <c r="A586" s="5" t="s">
        <v>48</v>
      </c>
      <c r="B586" s="5" t="s">
        <v>126</v>
      </c>
      <c r="C586" s="5" t="s">
        <v>49</v>
      </c>
      <c r="D586" s="7" t="s">
        <v>50</v>
      </c>
      <c r="E586" s="9">
        <v>43710</v>
      </c>
      <c r="F586" s="6">
        <v>1300</v>
      </c>
      <c r="G586" s="5" t="s">
        <v>15</v>
      </c>
      <c r="H586" s="6">
        <f>SUMIFS(InventTrans!F:F,InventTrans!B:B,AtlasReport_3_Table_1[[#This Row],[Lot ID]],InventTrans!C:C,AtlasReport_3_Table_1[[#This Row],[Ship date]])</f>
        <v>1300</v>
      </c>
      <c r="I586" s="5" t="s">
        <v>15</v>
      </c>
      <c r="J586" s="5" t="s">
        <v>799</v>
      </c>
    </row>
    <row r="587" spans="1:10" x14ac:dyDescent="0.15">
      <c r="A587" s="5" t="s">
        <v>48</v>
      </c>
      <c r="B587" s="5" t="s">
        <v>127</v>
      </c>
      <c r="C587" s="5" t="s">
        <v>37</v>
      </c>
      <c r="D587" s="5" t="s">
        <v>38</v>
      </c>
      <c r="E587" s="9">
        <v>43710</v>
      </c>
      <c r="F587" s="6">
        <v>975</v>
      </c>
      <c r="G587" s="5" t="s">
        <v>15</v>
      </c>
      <c r="H587" s="6">
        <f>SUMIFS(InventTrans!F:F,InventTrans!B:B,AtlasReport_3_Table_1[[#This Row],[Lot ID]],InventTrans!C:C,AtlasReport_3_Table_1[[#This Row],[Ship date]])</f>
        <v>975</v>
      </c>
      <c r="I587" s="5" t="s">
        <v>15</v>
      </c>
      <c r="J587" s="5" t="s">
        <v>800</v>
      </c>
    </row>
    <row r="588" spans="1:10" x14ac:dyDescent="0.15">
      <c r="A588" s="5" t="s">
        <v>48</v>
      </c>
      <c r="B588" s="5" t="s">
        <v>801</v>
      </c>
      <c r="C588" s="5" t="s">
        <v>37</v>
      </c>
      <c r="D588" s="5" t="s">
        <v>38</v>
      </c>
      <c r="E588" s="9">
        <v>43711</v>
      </c>
      <c r="F588" s="6">
        <v>3022.5</v>
      </c>
      <c r="G588" s="5" t="s">
        <v>15</v>
      </c>
      <c r="H588" s="6">
        <f>SUMIFS(InventTrans!F:F,InventTrans!B:B,AtlasReport_3_Table_1[[#This Row],[Lot ID]],InventTrans!C:C,AtlasReport_3_Table_1[[#This Row],[Ship date]])</f>
        <v>3022.5</v>
      </c>
      <c r="I588" s="5" t="s">
        <v>15</v>
      </c>
      <c r="J588" s="5" t="s">
        <v>802</v>
      </c>
    </row>
    <row r="589" spans="1:10" x14ac:dyDescent="0.15">
      <c r="A589" s="5" t="s">
        <v>48</v>
      </c>
      <c r="B589" s="5" t="s">
        <v>803</v>
      </c>
      <c r="C589" s="5" t="s">
        <v>37</v>
      </c>
      <c r="D589" s="5" t="s">
        <v>38</v>
      </c>
      <c r="E589" s="9">
        <v>43711</v>
      </c>
      <c r="F589" s="6">
        <v>2145</v>
      </c>
      <c r="G589" s="5" t="s">
        <v>15</v>
      </c>
      <c r="H589" s="6">
        <f>SUMIFS(InventTrans!F:F,InventTrans!B:B,AtlasReport_3_Table_1[[#This Row],[Lot ID]],InventTrans!C:C,AtlasReport_3_Table_1[[#This Row],[Ship date]])</f>
        <v>2145</v>
      </c>
      <c r="I589" s="5" t="s">
        <v>15</v>
      </c>
      <c r="J589" s="5" t="s">
        <v>804</v>
      </c>
    </row>
    <row r="590" spans="1:10" x14ac:dyDescent="0.15">
      <c r="A590" s="5" t="s">
        <v>48</v>
      </c>
      <c r="B590" s="5" t="s">
        <v>805</v>
      </c>
      <c r="C590" s="5" t="s">
        <v>37</v>
      </c>
      <c r="D590" s="5" t="s">
        <v>38</v>
      </c>
      <c r="E590" s="9">
        <v>43710</v>
      </c>
      <c r="F590" s="6">
        <v>4192.5</v>
      </c>
      <c r="G590" s="5" t="s">
        <v>15</v>
      </c>
      <c r="H590" s="6">
        <f>SUMIFS(InventTrans!F:F,InventTrans!B:B,AtlasReport_3_Table_1[[#This Row],[Lot ID]],InventTrans!C:C,AtlasReport_3_Table_1[[#This Row],[Ship date]])</f>
        <v>4192.5</v>
      </c>
      <c r="I590" s="5" t="s">
        <v>15</v>
      </c>
      <c r="J590" s="5" t="s">
        <v>806</v>
      </c>
    </row>
    <row r="591" spans="1:10" x14ac:dyDescent="0.15">
      <c r="A591" s="5" t="s">
        <v>48</v>
      </c>
      <c r="B591" s="5" t="s">
        <v>807</v>
      </c>
      <c r="C591" s="5" t="s">
        <v>35</v>
      </c>
      <c r="D591" s="5" t="s">
        <v>36</v>
      </c>
      <c r="E591" s="9">
        <v>43707</v>
      </c>
      <c r="F591" s="6">
        <v>-97.5</v>
      </c>
      <c r="G591" s="5" t="s">
        <v>15</v>
      </c>
      <c r="H591" s="6">
        <f>SUMIFS(InventTrans!F:F,InventTrans!B:B,AtlasReport_3_Table_1[[#This Row],[Lot ID]],InventTrans!C:C,AtlasReport_3_Table_1[[#This Row],[Ship date]])</f>
        <v>-97.5</v>
      </c>
      <c r="I591" s="5" t="s">
        <v>15</v>
      </c>
      <c r="J591" s="5" t="s">
        <v>808</v>
      </c>
    </row>
    <row r="592" spans="1:10" x14ac:dyDescent="0.15">
      <c r="A592" s="5" t="s">
        <v>48</v>
      </c>
      <c r="B592" s="5" t="s">
        <v>807</v>
      </c>
      <c r="C592" s="5" t="s">
        <v>35</v>
      </c>
      <c r="D592" s="5" t="s">
        <v>36</v>
      </c>
      <c r="E592" s="9">
        <v>43707</v>
      </c>
      <c r="F592" s="6">
        <v>97.5</v>
      </c>
      <c r="G592" s="5" t="s">
        <v>15</v>
      </c>
      <c r="H592" s="6">
        <f>SUMIFS(InventTrans!F:F,InventTrans!B:B,AtlasReport_3_Table_1[[#This Row],[Lot ID]],InventTrans!C:C,AtlasReport_3_Table_1[[#This Row],[Ship date]])</f>
        <v>97.5</v>
      </c>
      <c r="I592" s="5" t="s">
        <v>15</v>
      </c>
      <c r="J592" s="5" t="s">
        <v>809</v>
      </c>
    </row>
    <row r="593" spans="1:10" x14ac:dyDescent="0.15">
      <c r="A593" s="5" t="s">
        <v>48</v>
      </c>
      <c r="B593" s="5" t="s">
        <v>810</v>
      </c>
      <c r="C593" s="5" t="s">
        <v>37</v>
      </c>
      <c r="D593" s="5" t="s">
        <v>38</v>
      </c>
      <c r="E593" s="9">
        <v>43714</v>
      </c>
      <c r="F593" s="6">
        <v>10042.5</v>
      </c>
      <c r="G593" s="5" t="s">
        <v>15</v>
      </c>
      <c r="H593" s="6">
        <f>SUMIFS(InventTrans!F:F,InventTrans!B:B,AtlasReport_3_Table_1[[#This Row],[Lot ID]],InventTrans!C:C,AtlasReport_3_Table_1[[#This Row],[Ship date]])</f>
        <v>10042.5</v>
      </c>
      <c r="I593" s="5" t="s">
        <v>15</v>
      </c>
      <c r="J593" s="5" t="s">
        <v>811</v>
      </c>
    </row>
    <row r="594" spans="1:10" x14ac:dyDescent="0.15">
      <c r="A594" s="5" t="s">
        <v>48</v>
      </c>
      <c r="B594" s="5" t="s">
        <v>812</v>
      </c>
      <c r="C594" s="5" t="s">
        <v>37</v>
      </c>
      <c r="D594" s="5" t="s">
        <v>38</v>
      </c>
      <c r="E594" s="9">
        <v>43710</v>
      </c>
      <c r="F594" s="6">
        <v>292.5</v>
      </c>
      <c r="G594" s="5" t="s">
        <v>15</v>
      </c>
      <c r="H594" s="6">
        <f>SUMIFS(InventTrans!F:F,InventTrans!B:B,AtlasReport_3_Table_1[[#This Row],[Lot ID]],InventTrans!C:C,AtlasReport_3_Table_1[[#This Row],[Ship date]])</f>
        <v>292.5</v>
      </c>
      <c r="I594" s="5" t="s">
        <v>15</v>
      </c>
      <c r="J594" s="5" t="s">
        <v>813</v>
      </c>
    </row>
    <row r="595" spans="1:10" x14ac:dyDescent="0.15">
      <c r="A595" s="5" t="s">
        <v>48</v>
      </c>
      <c r="B595" s="5" t="s">
        <v>814</v>
      </c>
      <c r="C595" s="5" t="s">
        <v>35</v>
      </c>
      <c r="D595" s="5" t="s">
        <v>36</v>
      </c>
      <c r="E595" s="9">
        <v>43713</v>
      </c>
      <c r="F595" s="6">
        <v>16575</v>
      </c>
      <c r="G595" s="5" t="s">
        <v>15</v>
      </c>
      <c r="H595" s="6">
        <f>SUMIFS(InventTrans!F:F,InventTrans!B:B,AtlasReport_3_Table_1[[#This Row],[Lot ID]],InventTrans!C:C,AtlasReport_3_Table_1[[#This Row],[Ship date]])</f>
        <v>16575</v>
      </c>
      <c r="I595" s="5" t="s">
        <v>15</v>
      </c>
      <c r="J595" s="5" t="s">
        <v>815</v>
      </c>
    </row>
    <row r="596" spans="1:10" x14ac:dyDescent="0.15">
      <c r="A596" s="5" t="s">
        <v>48</v>
      </c>
      <c r="B596" s="5" t="s">
        <v>816</v>
      </c>
      <c r="C596" s="5" t="s">
        <v>35</v>
      </c>
      <c r="D596" s="5" t="s">
        <v>36</v>
      </c>
      <c r="E596" s="9">
        <v>43717</v>
      </c>
      <c r="F596" s="6">
        <v>4777.5</v>
      </c>
      <c r="G596" s="5" t="s">
        <v>15</v>
      </c>
      <c r="H596" s="6">
        <f>SUMIFS(InventTrans!F:F,InventTrans!B:B,AtlasReport_3_Table_1[[#This Row],[Lot ID]],InventTrans!C:C,AtlasReport_3_Table_1[[#This Row],[Ship date]])</f>
        <v>4777.5</v>
      </c>
      <c r="I596" s="5" t="s">
        <v>15</v>
      </c>
      <c r="J596" s="5" t="s">
        <v>817</v>
      </c>
    </row>
    <row r="597" spans="1:10" x14ac:dyDescent="0.15">
      <c r="A597" s="5" t="s">
        <v>48</v>
      </c>
      <c r="B597" s="5" t="s">
        <v>818</v>
      </c>
      <c r="C597" s="5" t="s">
        <v>35</v>
      </c>
      <c r="D597" s="5" t="s">
        <v>36</v>
      </c>
      <c r="E597" s="9">
        <v>43717</v>
      </c>
      <c r="F597" s="6">
        <v>1560</v>
      </c>
      <c r="G597" s="5" t="s">
        <v>15</v>
      </c>
      <c r="H597" s="6">
        <f>SUMIFS(InventTrans!F:F,InventTrans!B:B,AtlasReport_3_Table_1[[#This Row],[Lot ID]],InventTrans!C:C,AtlasReport_3_Table_1[[#This Row],[Ship date]])</f>
        <v>1560</v>
      </c>
      <c r="I597" s="5" t="s">
        <v>15</v>
      </c>
      <c r="J597" s="5" t="s">
        <v>819</v>
      </c>
    </row>
    <row r="598" spans="1:10" x14ac:dyDescent="0.15">
      <c r="A598" s="5" t="s">
        <v>48</v>
      </c>
      <c r="B598" s="5" t="s">
        <v>820</v>
      </c>
      <c r="C598" s="5" t="s">
        <v>35</v>
      </c>
      <c r="D598" s="5" t="s">
        <v>36</v>
      </c>
      <c r="E598" s="9">
        <v>43717</v>
      </c>
      <c r="F598" s="6">
        <v>2827.5</v>
      </c>
      <c r="G598" s="5" t="s">
        <v>15</v>
      </c>
      <c r="H598" s="6">
        <f>SUMIFS(InventTrans!F:F,InventTrans!B:B,AtlasReport_3_Table_1[[#This Row],[Lot ID]],InventTrans!C:C,AtlasReport_3_Table_1[[#This Row],[Ship date]])</f>
        <v>2827.5</v>
      </c>
      <c r="I598" s="5" t="s">
        <v>15</v>
      </c>
      <c r="J598" s="5" t="s">
        <v>821</v>
      </c>
    </row>
    <row r="599" spans="1:10" x14ac:dyDescent="0.15">
      <c r="A599" s="5" t="s">
        <v>48</v>
      </c>
      <c r="B599" s="5" t="s">
        <v>822</v>
      </c>
      <c r="C599" s="5" t="s">
        <v>37</v>
      </c>
      <c r="D599" s="5" t="s">
        <v>38</v>
      </c>
      <c r="E599" s="9">
        <v>43718</v>
      </c>
      <c r="F599" s="6">
        <v>390</v>
      </c>
      <c r="G599" s="5" t="s">
        <v>15</v>
      </c>
      <c r="H599" s="6">
        <f>SUMIFS(InventTrans!F:F,InventTrans!B:B,AtlasReport_3_Table_1[[#This Row],[Lot ID]],InventTrans!C:C,AtlasReport_3_Table_1[[#This Row],[Ship date]])</f>
        <v>390</v>
      </c>
      <c r="I599" s="5" t="s">
        <v>15</v>
      </c>
      <c r="J599" s="5" t="s">
        <v>823</v>
      </c>
    </row>
    <row r="600" spans="1:10" x14ac:dyDescent="0.15">
      <c r="A600" s="5" t="s">
        <v>48</v>
      </c>
      <c r="B600" s="5" t="s">
        <v>824</v>
      </c>
      <c r="C600" s="5" t="s">
        <v>35</v>
      </c>
      <c r="D600" s="5" t="s">
        <v>36</v>
      </c>
      <c r="E600" s="9">
        <v>43717</v>
      </c>
      <c r="F600" s="6">
        <v>1267.5</v>
      </c>
      <c r="G600" s="5" t="s">
        <v>15</v>
      </c>
      <c r="H600" s="6">
        <f>SUMIFS(InventTrans!F:F,InventTrans!B:B,AtlasReport_3_Table_1[[#This Row],[Lot ID]],InventTrans!C:C,AtlasReport_3_Table_1[[#This Row],[Ship date]])</f>
        <v>1267.5</v>
      </c>
      <c r="I600" s="5" t="s">
        <v>15</v>
      </c>
      <c r="J600" s="5" t="s">
        <v>825</v>
      </c>
    </row>
    <row r="601" spans="1:10" x14ac:dyDescent="0.15">
      <c r="A601" s="5" t="s">
        <v>48</v>
      </c>
      <c r="B601" s="5" t="s">
        <v>826</v>
      </c>
      <c r="C601" s="5" t="s">
        <v>37</v>
      </c>
      <c r="D601" s="5" t="s">
        <v>38</v>
      </c>
      <c r="E601" s="9">
        <v>43718</v>
      </c>
      <c r="F601" s="6">
        <v>5850</v>
      </c>
      <c r="G601" s="5" t="s">
        <v>15</v>
      </c>
      <c r="H601" s="6">
        <f>SUMIFS(InventTrans!F:F,InventTrans!B:B,AtlasReport_3_Table_1[[#This Row],[Lot ID]],InventTrans!C:C,AtlasReport_3_Table_1[[#This Row],[Ship date]])</f>
        <v>5850</v>
      </c>
      <c r="I601" s="5" t="s">
        <v>15</v>
      </c>
      <c r="J601" s="5" t="s">
        <v>827</v>
      </c>
    </row>
    <row r="602" spans="1:10" x14ac:dyDescent="0.15">
      <c r="A602" s="5" t="s">
        <v>48</v>
      </c>
      <c r="B602" s="5" t="s">
        <v>828</v>
      </c>
      <c r="C602" s="5" t="s">
        <v>43</v>
      </c>
      <c r="D602" s="5" t="s">
        <v>38</v>
      </c>
      <c r="E602" s="9">
        <v>43718</v>
      </c>
      <c r="F602" s="6">
        <v>1406.5</v>
      </c>
      <c r="G602" s="5" t="s">
        <v>15</v>
      </c>
      <c r="H602" s="6">
        <f>SUMIFS(InventTrans!F:F,InventTrans!B:B,AtlasReport_3_Table_1[[#This Row],[Lot ID]],InventTrans!C:C,AtlasReport_3_Table_1[[#This Row],[Ship date]])</f>
        <v>1406.5</v>
      </c>
      <c r="I602" s="5" t="s">
        <v>15</v>
      </c>
      <c r="J602" s="5" t="s">
        <v>829</v>
      </c>
    </row>
    <row r="603" spans="1:10" x14ac:dyDescent="0.15">
      <c r="A603" s="5" t="s">
        <v>48</v>
      </c>
      <c r="B603" s="5" t="s">
        <v>828</v>
      </c>
      <c r="C603" s="5" t="s">
        <v>37</v>
      </c>
      <c r="D603" s="5" t="s">
        <v>38</v>
      </c>
      <c r="E603" s="9">
        <v>43718</v>
      </c>
      <c r="F603" s="6">
        <v>780</v>
      </c>
      <c r="G603" s="5" t="s">
        <v>15</v>
      </c>
      <c r="H603" s="6">
        <f>SUMIFS(InventTrans!F:F,InventTrans!B:B,AtlasReport_3_Table_1[[#This Row],[Lot ID]],InventTrans!C:C,AtlasReport_3_Table_1[[#This Row],[Ship date]])</f>
        <v>780</v>
      </c>
      <c r="I603" s="5" t="s">
        <v>15</v>
      </c>
      <c r="J603" s="5" t="s">
        <v>830</v>
      </c>
    </row>
    <row r="604" spans="1:10" x14ac:dyDescent="0.15">
      <c r="A604" s="5" t="s">
        <v>48</v>
      </c>
      <c r="B604" s="5" t="s">
        <v>831</v>
      </c>
      <c r="C604" s="5" t="s">
        <v>37</v>
      </c>
      <c r="D604" s="5" t="s">
        <v>38</v>
      </c>
      <c r="E604" s="9">
        <v>43718</v>
      </c>
      <c r="F604" s="6">
        <v>7215</v>
      </c>
      <c r="G604" s="5" t="s">
        <v>15</v>
      </c>
      <c r="H604" s="6">
        <f>SUMIFS(InventTrans!F:F,InventTrans!B:B,AtlasReport_3_Table_1[[#This Row],[Lot ID]],InventTrans!C:C,AtlasReport_3_Table_1[[#This Row],[Ship date]])</f>
        <v>7215</v>
      </c>
      <c r="I604" s="5" t="s">
        <v>15</v>
      </c>
      <c r="J604" s="5" t="s">
        <v>832</v>
      </c>
    </row>
    <row r="605" spans="1:10" x14ac:dyDescent="0.15">
      <c r="A605" s="5" t="s">
        <v>48</v>
      </c>
      <c r="B605" s="5" t="s">
        <v>831</v>
      </c>
      <c r="C605" s="5" t="s">
        <v>43</v>
      </c>
      <c r="D605" s="5" t="s">
        <v>38</v>
      </c>
      <c r="E605" s="9">
        <v>43718</v>
      </c>
      <c r="F605" s="6">
        <v>1794.5</v>
      </c>
      <c r="G605" s="5" t="s">
        <v>15</v>
      </c>
      <c r="H605" s="6">
        <f>SUMIFS(InventTrans!F:F,InventTrans!B:B,AtlasReport_3_Table_1[[#This Row],[Lot ID]],InventTrans!C:C,AtlasReport_3_Table_1[[#This Row],[Ship date]])</f>
        <v>1794.5</v>
      </c>
      <c r="I605" s="5" t="s">
        <v>15</v>
      </c>
      <c r="J605" s="5" t="s">
        <v>833</v>
      </c>
    </row>
    <row r="606" spans="1:10" ht="27" x14ac:dyDescent="0.15">
      <c r="A606" s="5" t="s">
        <v>48</v>
      </c>
      <c r="B606" s="5" t="s">
        <v>834</v>
      </c>
      <c r="C606" s="5" t="s">
        <v>49</v>
      </c>
      <c r="D606" s="7" t="s">
        <v>50</v>
      </c>
      <c r="E606" s="9">
        <v>43718</v>
      </c>
      <c r="F606" s="6">
        <v>194</v>
      </c>
      <c r="G606" s="5" t="s">
        <v>15</v>
      </c>
      <c r="H606" s="6">
        <f>SUMIFS(InventTrans!F:F,InventTrans!B:B,AtlasReport_3_Table_1[[#This Row],[Lot ID]],InventTrans!C:C,AtlasReport_3_Table_1[[#This Row],[Ship date]])</f>
        <v>194</v>
      </c>
      <c r="I606" s="5" t="s">
        <v>15</v>
      </c>
      <c r="J606" s="5" t="s">
        <v>835</v>
      </c>
    </row>
    <row r="607" spans="1:10" x14ac:dyDescent="0.15">
      <c r="A607" s="5" t="s">
        <v>48</v>
      </c>
      <c r="B607" s="5" t="s">
        <v>128</v>
      </c>
      <c r="C607" s="5" t="s">
        <v>37</v>
      </c>
      <c r="D607" s="5" t="s">
        <v>38</v>
      </c>
      <c r="E607" s="9">
        <v>43719</v>
      </c>
      <c r="F607" s="6">
        <v>12967.5</v>
      </c>
      <c r="G607" s="5" t="s">
        <v>15</v>
      </c>
      <c r="H607" s="6">
        <f>SUMIFS(InventTrans!F:F,InventTrans!B:B,AtlasReport_3_Table_1[[#This Row],[Lot ID]],InventTrans!C:C,AtlasReport_3_Table_1[[#This Row],[Ship date]])</f>
        <v>12967.5</v>
      </c>
      <c r="I607" s="5" t="s">
        <v>15</v>
      </c>
      <c r="J607" s="5" t="s">
        <v>836</v>
      </c>
    </row>
    <row r="608" spans="1:10" x14ac:dyDescent="0.15">
      <c r="A608" s="5" t="s">
        <v>48</v>
      </c>
      <c r="B608" s="5" t="s">
        <v>128</v>
      </c>
      <c r="C608" s="5" t="s">
        <v>40</v>
      </c>
      <c r="D608" s="5" t="s">
        <v>36</v>
      </c>
      <c r="E608" s="9">
        <v>43719</v>
      </c>
      <c r="F608" s="6">
        <v>5025</v>
      </c>
      <c r="G608" s="5" t="s">
        <v>15</v>
      </c>
      <c r="H608" s="6">
        <f>SUMIFS(InventTrans!F:F,InventTrans!B:B,AtlasReport_3_Table_1[[#This Row],[Lot ID]],InventTrans!C:C,AtlasReport_3_Table_1[[#This Row],[Ship date]])</f>
        <v>5025</v>
      </c>
      <c r="I608" s="5" t="s">
        <v>15</v>
      </c>
      <c r="J608" s="5" t="s">
        <v>837</v>
      </c>
    </row>
    <row r="609" spans="1:10" x14ac:dyDescent="0.15">
      <c r="A609" s="5" t="s">
        <v>48</v>
      </c>
      <c r="B609" s="5" t="s">
        <v>838</v>
      </c>
      <c r="C609" s="5" t="s">
        <v>37</v>
      </c>
      <c r="D609" s="5" t="s">
        <v>38</v>
      </c>
      <c r="E609" s="9">
        <v>43719</v>
      </c>
      <c r="F609" s="6">
        <v>1950</v>
      </c>
      <c r="G609" s="5" t="s">
        <v>15</v>
      </c>
      <c r="H609" s="6">
        <f>SUMIFS(InventTrans!F:F,InventTrans!B:B,AtlasReport_3_Table_1[[#This Row],[Lot ID]],InventTrans!C:C,AtlasReport_3_Table_1[[#This Row],[Ship date]])</f>
        <v>1950</v>
      </c>
      <c r="I609" s="5" t="s">
        <v>15</v>
      </c>
      <c r="J609" s="5" t="s">
        <v>839</v>
      </c>
    </row>
    <row r="610" spans="1:10" x14ac:dyDescent="0.15">
      <c r="A610" s="5" t="s">
        <v>48</v>
      </c>
      <c r="B610" s="5" t="s">
        <v>840</v>
      </c>
      <c r="C610" s="5" t="s">
        <v>37</v>
      </c>
      <c r="D610" s="5" t="s">
        <v>38</v>
      </c>
      <c r="E610" s="9">
        <v>43719</v>
      </c>
      <c r="F610" s="6">
        <v>1267.5</v>
      </c>
      <c r="G610" s="5" t="s">
        <v>15</v>
      </c>
      <c r="H610" s="6">
        <f>SUMIFS(InventTrans!F:F,InventTrans!B:B,AtlasReport_3_Table_1[[#This Row],[Lot ID]],InventTrans!C:C,AtlasReport_3_Table_1[[#This Row],[Ship date]])</f>
        <v>1267.5</v>
      </c>
      <c r="I610" s="5" t="s">
        <v>15</v>
      </c>
      <c r="J610" s="5" t="s">
        <v>841</v>
      </c>
    </row>
    <row r="611" spans="1:10" x14ac:dyDescent="0.15">
      <c r="A611" s="5" t="s">
        <v>48</v>
      </c>
      <c r="B611" s="5" t="s">
        <v>129</v>
      </c>
      <c r="C611" s="5" t="s">
        <v>43</v>
      </c>
      <c r="D611" s="5" t="s">
        <v>38</v>
      </c>
      <c r="E611" s="9">
        <v>43719</v>
      </c>
      <c r="F611" s="6">
        <v>485</v>
      </c>
      <c r="G611" s="5" t="s">
        <v>15</v>
      </c>
      <c r="H611" s="6">
        <f>SUMIFS(InventTrans!F:F,InventTrans!B:B,AtlasReport_3_Table_1[[#This Row],[Lot ID]],InventTrans!C:C,AtlasReport_3_Table_1[[#This Row],[Ship date]])</f>
        <v>485</v>
      </c>
      <c r="I611" s="5" t="s">
        <v>15</v>
      </c>
      <c r="J611" s="5" t="s">
        <v>842</v>
      </c>
    </row>
    <row r="612" spans="1:10" x14ac:dyDescent="0.15">
      <c r="A612" s="5" t="s">
        <v>48</v>
      </c>
      <c r="B612" s="5" t="s">
        <v>129</v>
      </c>
      <c r="C612" s="5" t="s">
        <v>41</v>
      </c>
      <c r="D612" s="5" t="s">
        <v>36</v>
      </c>
      <c r="E612" s="9">
        <v>43719</v>
      </c>
      <c r="F612" s="6">
        <v>48.5</v>
      </c>
      <c r="G612" s="5" t="s">
        <v>15</v>
      </c>
      <c r="H612" s="6">
        <f>SUMIFS(InventTrans!F:F,InventTrans!B:B,AtlasReport_3_Table_1[[#This Row],[Lot ID]],InventTrans!C:C,AtlasReport_3_Table_1[[#This Row],[Ship date]])</f>
        <v>48.5</v>
      </c>
      <c r="I612" s="5" t="s">
        <v>15</v>
      </c>
      <c r="J612" s="5" t="s">
        <v>843</v>
      </c>
    </row>
    <row r="613" spans="1:10" x14ac:dyDescent="0.15">
      <c r="A613" s="5" t="s">
        <v>48</v>
      </c>
      <c r="B613" s="5" t="s">
        <v>130</v>
      </c>
      <c r="C613" s="5" t="s">
        <v>35</v>
      </c>
      <c r="D613" s="5" t="s">
        <v>36</v>
      </c>
      <c r="E613" s="9">
        <v>43719</v>
      </c>
      <c r="F613" s="6">
        <v>7507.5</v>
      </c>
      <c r="G613" s="5" t="s">
        <v>15</v>
      </c>
      <c r="H613" s="6">
        <f>SUMIFS(InventTrans!F:F,InventTrans!B:B,AtlasReport_3_Table_1[[#This Row],[Lot ID]],InventTrans!C:C,AtlasReport_3_Table_1[[#This Row],[Ship date]])</f>
        <v>7507.5</v>
      </c>
      <c r="I613" s="5" t="s">
        <v>15</v>
      </c>
      <c r="J613" s="5" t="s">
        <v>844</v>
      </c>
    </row>
    <row r="614" spans="1:10" x14ac:dyDescent="0.15">
      <c r="A614" s="5" t="s">
        <v>48</v>
      </c>
      <c r="B614" s="5" t="s">
        <v>131</v>
      </c>
      <c r="C614" s="5" t="s">
        <v>37</v>
      </c>
      <c r="D614" s="5" t="s">
        <v>38</v>
      </c>
      <c r="E614" s="9">
        <v>43719</v>
      </c>
      <c r="F614" s="6">
        <v>5850</v>
      </c>
      <c r="G614" s="5" t="s">
        <v>15</v>
      </c>
      <c r="H614" s="6">
        <f>SUMIFS(InventTrans!F:F,InventTrans!B:B,AtlasReport_3_Table_1[[#This Row],[Lot ID]],InventTrans!C:C,AtlasReport_3_Table_1[[#This Row],[Ship date]])</f>
        <v>5850</v>
      </c>
      <c r="I614" s="5" t="s">
        <v>15</v>
      </c>
      <c r="J614" s="5" t="s">
        <v>845</v>
      </c>
    </row>
    <row r="615" spans="1:10" x14ac:dyDescent="0.15">
      <c r="A615" s="5" t="s">
        <v>48</v>
      </c>
      <c r="B615" s="5" t="s">
        <v>132</v>
      </c>
      <c r="C615" s="5" t="s">
        <v>43</v>
      </c>
      <c r="D615" s="5" t="s">
        <v>38</v>
      </c>
      <c r="E615" s="9">
        <v>43719</v>
      </c>
      <c r="F615" s="6">
        <v>4656</v>
      </c>
      <c r="G615" s="5" t="s">
        <v>15</v>
      </c>
      <c r="H615" s="6">
        <f>SUMIFS(InventTrans!F:F,InventTrans!B:B,AtlasReport_3_Table_1[[#This Row],[Lot ID]],InventTrans!C:C,AtlasReport_3_Table_1[[#This Row],[Ship date]])</f>
        <v>4656</v>
      </c>
      <c r="I615" s="5" t="s">
        <v>15</v>
      </c>
      <c r="J615" s="5" t="s">
        <v>846</v>
      </c>
    </row>
    <row r="616" spans="1:10" x14ac:dyDescent="0.15">
      <c r="A616" s="5" t="s">
        <v>48</v>
      </c>
      <c r="B616" s="5" t="s">
        <v>132</v>
      </c>
      <c r="C616" s="5" t="s">
        <v>42</v>
      </c>
      <c r="D616" s="5" t="s">
        <v>38</v>
      </c>
      <c r="E616" s="9">
        <v>43719</v>
      </c>
      <c r="F616" s="6">
        <v>14550</v>
      </c>
      <c r="G616" s="5" t="s">
        <v>15</v>
      </c>
      <c r="H616" s="6">
        <f>SUMIFS(InventTrans!F:F,InventTrans!B:B,AtlasReport_3_Table_1[[#This Row],[Lot ID]],InventTrans!C:C,AtlasReport_3_Table_1[[#This Row],[Ship date]])</f>
        <v>14550</v>
      </c>
      <c r="I616" s="5" t="s">
        <v>15</v>
      </c>
      <c r="J616" s="5" t="s">
        <v>847</v>
      </c>
    </row>
    <row r="617" spans="1:10" x14ac:dyDescent="0.15">
      <c r="A617" s="5" t="s">
        <v>48</v>
      </c>
      <c r="B617" s="5" t="s">
        <v>133</v>
      </c>
      <c r="C617" s="5" t="s">
        <v>42</v>
      </c>
      <c r="D617" s="5" t="s">
        <v>38</v>
      </c>
      <c r="E617" s="9">
        <v>43720</v>
      </c>
      <c r="F617" s="6">
        <v>3000</v>
      </c>
      <c r="G617" s="5" t="s">
        <v>15</v>
      </c>
      <c r="H617" s="6">
        <f>SUMIFS(InventTrans!F:F,InventTrans!B:B,AtlasReport_3_Table_1[[#This Row],[Lot ID]],InventTrans!C:C,AtlasReport_3_Table_1[[#This Row],[Ship date]])</f>
        <v>3000</v>
      </c>
      <c r="I617" s="5" t="s">
        <v>15</v>
      </c>
      <c r="J617" s="5" t="s">
        <v>848</v>
      </c>
    </row>
    <row r="618" spans="1:10" x14ac:dyDescent="0.15">
      <c r="A618" s="5" t="s">
        <v>48</v>
      </c>
      <c r="B618" s="5" t="s">
        <v>133</v>
      </c>
      <c r="C618" s="5" t="s">
        <v>37</v>
      </c>
      <c r="D618" s="5" t="s">
        <v>38</v>
      </c>
      <c r="E618" s="9">
        <v>43720</v>
      </c>
      <c r="F618" s="6">
        <v>3900</v>
      </c>
      <c r="G618" s="5" t="s">
        <v>15</v>
      </c>
      <c r="H618" s="6">
        <f>SUMIFS(InventTrans!F:F,InventTrans!B:B,AtlasReport_3_Table_1[[#This Row],[Lot ID]],InventTrans!C:C,AtlasReport_3_Table_1[[#This Row],[Ship date]])</f>
        <v>3900</v>
      </c>
      <c r="I618" s="5" t="s">
        <v>15</v>
      </c>
      <c r="J618" s="5" t="s">
        <v>849</v>
      </c>
    </row>
    <row r="619" spans="1:10" x14ac:dyDescent="0.15">
      <c r="A619" s="5" t="s">
        <v>48</v>
      </c>
      <c r="B619" s="5" t="s">
        <v>134</v>
      </c>
      <c r="C619" s="5" t="s">
        <v>41</v>
      </c>
      <c r="D619" s="5" t="s">
        <v>36</v>
      </c>
      <c r="E619" s="9">
        <v>43721</v>
      </c>
      <c r="F619" s="6">
        <v>2570.5</v>
      </c>
      <c r="G619" s="5" t="s">
        <v>15</v>
      </c>
      <c r="H619" s="6">
        <f>SUMIFS(InventTrans!F:F,InventTrans!B:B,AtlasReport_3_Table_1[[#This Row],[Lot ID]],InventTrans!C:C,AtlasReport_3_Table_1[[#This Row],[Ship date]])</f>
        <v>2570.5</v>
      </c>
      <c r="I619" s="5" t="s">
        <v>15</v>
      </c>
      <c r="J619" s="5" t="s">
        <v>850</v>
      </c>
    </row>
    <row r="620" spans="1:10" x14ac:dyDescent="0.15">
      <c r="A620" s="5" t="s">
        <v>48</v>
      </c>
      <c r="B620" s="5" t="s">
        <v>134</v>
      </c>
      <c r="C620" s="5" t="s">
        <v>35</v>
      </c>
      <c r="D620" s="5" t="s">
        <v>36</v>
      </c>
      <c r="E620" s="9">
        <v>43721</v>
      </c>
      <c r="F620" s="6">
        <v>5167.5</v>
      </c>
      <c r="G620" s="5" t="s">
        <v>15</v>
      </c>
      <c r="H620" s="6">
        <f>SUMIFS(InventTrans!F:F,InventTrans!B:B,AtlasReport_3_Table_1[[#This Row],[Lot ID]],InventTrans!C:C,AtlasReport_3_Table_1[[#This Row],[Ship date]])</f>
        <v>5167.5</v>
      </c>
      <c r="I620" s="5" t="s">
        <v>15</v>
      </c>
      <c r="J620" s="5" t="s">
        <v>851</v>
      </c>
    </row>
    <row r="621" spans="1:10" x14ac:dyDescent="0.15">
      <c r="A621" s="5" t="s">
        <v>48</v>
      </c>
      <c r="B621" s="5" t="s">
        <v>135</v>
      </c>
      <c r="C621" s="5" t="s">
        <v>42</v>
      </c>
      <c r="D621" s="5" t="s">
        <v>38</v>
      </c>
      <c r="E621" s="9">
        <v>43721</v>
      </c>
      <c r="F621" s="6">
        <v>4350</v>
      </c>
      <c r="G621" s="5" t="s">
        <v>15</v>
      </c>
      <c r="H621" s="6">
        <f>SUMIFS(InventTrans!F:F,InventTrans!B:B,AtlasReport_3_Table_1[[#This Row],[Lot ID]],InventTrans!C:C,AtlasReport_3_Table_1[[#This Row],[Ship date]])</f>
        <v>4350</v>
      </c>
      <c r="I621" s="5" t="s">
        <v>15</v>
      </c>
      <c r="J621" s="5" t="s">
        <v>852</v>
      </c>
    </row>
    <row r="622" spans="1:10" x14ac:dyDescent="0.15">
      <c r="A622" s="5" t="s">
        <v>48</v>
      </c>
      <c r="B622" s="5" t="s">
        <v>853</v>
      </c>
      <c r="C622" s="5" t="s">
        <v>35</v>
      </c>
      <c r="D622" s="5" t="s">
        <v>36</v>
      </c>
      <c r="E622" s="9">
        <v>43724</v>
      </c>
      <c r="F622" s="6">
        <v>4777.5</v>
      </c>
      <c r="G622" s="5" t="s">
        <v>15</v>
      </c>
      <c r="H622" s="6">
        <f>SUMIFS(InventTrans!F:F,InventTrans!B:B,AtlasReport_3_Table_1[[#This Row],[Lot ID]],InventTrans!C:C,AtlasReport_3_Table_1[[#This Row],[Ship date]])</f>
        <v>4777.5</v>
      </c>
      <c r="I622" s="5" t="s">
        <v>15</v>
      </c>
      <c r="J622" s="5" t="s">
        <v>854</v>
      </c>
    </row>
    <row r="623" spans="1:10" x14ac:dyDescent="0.15">
      <c r="A623" s="5" t="s">
        <v>48</v>
      </c>
      <c r="B623" s="5" t="s">
        <v>853</v>
      </c>
      <c r="C623" s="5" t="s">
        <v>37</v>
      </c>
      <c r="D623" s="5" t="s">
        <v>38</v>
      </c>
      <c r="E623" s="9">
        <v>43724</v>
      </c>
      <c r="F623" s="6">
        <v>390</v>
      </c>
      <c r="G623" s="5" t="s">
        <v>15</v>
      </c>
      <c r="H623" s="6">
        <f>SUMIFS(InventTrans!F:F,InventTrans!B:B,AtlasReport_3_Table_1[[#This Row],[Lot ID]],InventTrans!C:C,AtlasReport_3_Table_1[[#This Row],[Ship date]])</f>
        <v>390</v>
      </c>
      <c r="I623" s="5" t="s">
        <v>15</v>
      </c>
      <c r="J623" s="5" t="s">
        <v>855</v>
      </c>
    </row>
    <row r="624" spans="1:10" x14ac:dyDescent="0.15">
      <c r="A624" s="5" t="s">
        <v>48</v>
      </c>
      <c r="B624" s="5" t="s">
        <v>136</v>
      </c>
      <c r="C624" s="5" t="s">
        <v>43</v>
      </c>
      <c r="D624" s="5" t="s">
        <v>38</v>
      </c>
      <c r="E624" s="9">
        <v>43724</v>
      </c>
      <c r="F624" s="6">
        <v>145.5</v>
      </c>
      <c r="G624" s="5" t="s">
        <v>15</v>
      </c>
      <c r="H624" s="6">
        <f>SUMIFS(InventTrans!F:F,InventTrans!B:B,AtlasReport_3_Table_1[[#This Row],[Lot ID]],InventTrans!C:C,AtlasReport_3_Table_1[[#This Row],[Ship date]])</f>
        <v>145.5</v>
      </c>
      <c r="I624" s="5" t="s">
        <v>15</v>
      </c>
      <c r="J624" s="5" t="s">
        <v>856</v>
      </c>
    </row>
    <row r="625" spans="1:10" x14ac:dyDescent="0.15">
      <c r="A625" s="5" t="s">
        <v>48</v>
      </c>
      <c r="B625" s="5" t="s">
        <v>137</v>
      </c>
      <c r="C625" s="5" t="s">
        <v>37</v>
      </c>
      <c r="D625" s="5" t="s">
        <v>38</v>
      </c>
      <c r="E625" s="9">
        <v>43724</v>
      </c>
      <c r="F625" s="6">
        <v>4192.5</v>
      </c>
      <c r="G625" s="5" t="s">
        <v>15</v>
      </c>
      <c r="H625" s="6">
        <f>SUMIFS(InventTrans!F:F,InventTrans!B:B,AtlasReport_3_Table_1[[#This Row],[Lot ID]],InventTrans!C:C,AtlasReport_3_Table_1[[#This Row],[Ship date]])</f>
        <v>4192.5</v>
      </c>
      <c r="I625" s="5" t="s">
        <v>15</v>
      </c>
      <c r="J625" s="5" t="s">
        <v>857</v>
      </c>
    </row>
    <row r="626" spans="1:10" x14ac:dyDescent="0.15">
      <c r="A626" s="5" t="s">
        <v>48</v>
      </c>
      <c r="B626" s="5" t="s">
        <v>858</v>
      </c>
      <c r="C626" s="5" t="s">
        <v>35</v>
      </c>
      <c r="D626" s="5" t="s">
        <v>36</v>
      </c>
      <c r="E626" s="9">
        <v>43724</v>
      </c>
      <c r="F626" s="6">
        <v>7800</v>
      </c>
      <c r="G626" s="5" t="s">
        <v>15</v>
      </c>
      <c r="H626" s="6">
        <f>SUMIFS(InventTrans!F:F,InventTrans!B:B,AtlasReport_3_Table_1[[#This Row],[Lot ID]],InventTrans!C:C,AtlasReport_3_Table_1[[#This Row],[Ship date]])</f>
        <v>7800</v>
      </c>
      <c r="I626" s="5" t="s">
        <v>15</v>
      </c>
      <c r="J626" s="5" t="s">
        <v>859</v>
      </c>
    </row>
    <row r="627" spans="1:10" x14ac:dyDescent="0.15">
      <c r="A627" s="5" t="s">
        <v>48</v>
      </c>
      <c r="B627" s="5" t="s">
        <v>860</v>
      </c>
      <c r="C627" s="5" t="s">
        <v>35</v>
      </c>
      <c r="D627" s="5" t="s">
        <v>36</v>
      </c>
      <c r="E627" s="9">
        <v>43725</v>
      </c>
      <c r="F627" s="6">
        <v>11407.5</v>
      </c>
      <c r="G627" s="5" t="s">
        <v>15</v>
      </c>
      <c r="H627" s="6">
        <f>SUMIFS(InventTrans!F:F,InventTrans!B:B,AtlasReport_3_Table_1[[#This Row],[Lot ID]],InventTrans!C:C,AtlasReport_3_Table_1[[#This Row],[Ship date]])</f>
        <v>11407.5</v>
      </c>
      <c r="I627" s="5" t="s">
        <v>15</v>
      </c>
      <c r="J627" s="5" t="s">
        <v>861</v>
      </c>
    </row>
    <row r="628" spans="1:10" x14ac:dyDescent="0.15">
      <c r="A628" s="5" t="s">
        <v>48</v>
      </c>
      <c r="B628" s="5" t="s">
        <v>862</v>
      </c>
      <c r="C628" s="5" t="s">
        <v>51</v>
      </c>
      <c r="D628" s="5" t="s">
        <v>52</v>
      </c>
      <c r="E628" s="9">
        <v>43725</v>
      </c>
      <c r="F628" s="6">
        <v>4095</v>
      </c>
      <c r="G628" s="5" t="s">
        <v>15</v>
      </c>
      <c r="H628" s="6">
        <f>SUMIFS(InventTrans!F:F,InventTrans!B:B,AtlasReport_3_Table_1[[#This Row],[Lot ID]],InventTrans!C:C,AtlasReport_3_Table_1[[#This Row],[Ship date]])</f>
        <v>4095</v>
      </c>
      <c r="I628" s="5" t="s">
        <v>15</v>
      </c>
      <c r="J628" s="5" t="s">
        <v>863</v>
      </c>
    </row>
    <row r="629" spans="1:10" x14ac:dyDescent="0.15">
      <c r="A629" s="5" t="s">
        <v>48</v>
      </c>
      <c r="B629" s="5" t="s">
        <v>138</v>
      </c>
      <c r="C629" s="5" t="s">
        <v>35</v>
      </c>
      <c r="D629" s="5" t="s">
        <v>36</v>
      </c>
      <c r="E629" s="9">
        <v>43725</v>
      </c>
      <c r="F629" s="6">
        <v>5655</v>
      </c>
      <c r="G629" s="5" t="s">
        <v>15</v>
      </c>
      <c r="H629" s="6">
        <f>SUMIFS(InventTrans!F:F,InventTrans!B:B,AtlasReport_3_Table_1[[#This Row],[Lot ID]],InventTrans!C:C,AtlasReport_3_Table_1[[#This Row],[Ship date]])</f>
        <v>5655</v>
      </c>
      <c r="I629" s="5" t="s">
        <v>15</v>
      </c>
      <c r="J629" s="5" t="s">
        <v>864</v>
      </c>
    </row>
    <row r="630" spans="1:10" x14ac:dyDescent="0.15">
      <c r="A630" s="5" t="s">
        <v>48</v>
      </c>
      <c r="B630" s="5" t="s">
        <v>139</v>
      </c>
      <c r="C630" s="5" t="s">
        <v>35</v>
      </c>
      <c r="D630" s="5" t="s">
        <v>36</v>
      </c>
      <c r="E630" s="9">
        <v>43725</v>
      </c>
      <c r="F630" s="6">
        <v>7800</v>
      </c>
      <c r="G630" s="5" t="s">
        <v>15</v>
      </c>
      <c r="H630" s="6">
        <f>SUMIFS(InventTrans!F:F,InventTrans!B:B,AtlasReport_3_Table_1[[#This Row],[Lot ID]],InventTrans!C:C,AtlasReport_3_Table_1[[#This Row],[Ship date]])</f>
        <v>7800</v>
      </c>
      <c r="I630" s="5" t="s">
        <v>15</v>
      </c>
      <c r="J630" s="5" t="s">
        <v>865</v>
      </c>
    </row>
    <row r="631" spans="1:10" x14ac:dyDescent="0.15">
      <c r="A631" s="5" t="s">
        <v>48</v>
      </c>
      <c r="B631" s="5" t="s">
        <v>139</v>
      </c>
      <c r="C631" s="5" t="s">
        <v>37</v>
      </c>
      <c r="D631" s="5" t="s">
        <v>38</v>
      </c>
      <c r="E631" s="9">
        <v>43725</v>
      </c>
      <c r="F631" s="6">
        <v>2047.5</v>
      </c>
      <c r="G631" s="5" t="s">
        <v>15</v>
      </c>
      <c r="H631" s="6">
        <f>SUMIFS(InventTrans!F:F,InventTrans!B:B,AtlasReport_3_Table_1[[#This Row],[Lot ID]],InventTrans!C:C,AtlasReport_3_Table_1[[#This Row],[Ship date]])</f>
        <v>2047.5</v>
      </c>
      <c r="I631" s="5" t="s">
        <v>15</v>
      </c>
      <c r="J631" s="5" t="s">
        <v>866</v>
      </c>
    </row>
    <row r="632" spans="1:10" x14ac:dyDescent="0.15">
      <c r="A632" s="5" t="s">
        <v>48</v>
      </c>
      <c r="B632" s="5" t="s">
        <v>139</v>
      </c>
      <c r="C632" s="5" t="s">
        <v>35</v>
      </c>
      <c r="D632" s="5" t="s">
        <v>36</v>
      </c>
      <c r="E632" s="9">
        <v>43725</v>
      </c>
      <c r="F632" s="6">
        <v>195</v>
      </c>
      <c r="G632" s="5" t="s">
        <v>15</v>
      </c>
      <c r="H632" s="6">
        <f>SUMIFS(InventTrans!F:F,InventTrans!B:B,AtlasReport_3_Table_1[[#This Row],[Lot ID]],InventTrans!C:C,AtlasReport_3_Table_1[[#This Row],[Ship date]])</f>
        <v>195</v>
      </c>
      <c r="I632" s="5" t="s">
        <v>15</v>
      </c>
      <c r="J632" s="5" t="s">
        <v>867</v>
      </c>
    </row>
    <row r="633" spans="1:10" x14ac:dyDescent="0.15">
      <c r="A633" s="5" t="s">
        <v>48</v>
      </c>
      <c r="B633" s="5" t="s">
        <v>868</v>
      </c>
      <c r="C633" s="5" t="s">
        <v>37</v>
      </c>
      <c r="D633" s="5" t="s">
        <v>38</v>
      </c>
      <c r="E633" s="9">
        <v>43726</v>
      </c>
      <c r="F633" s="6">
        <v>1170</v>
      </c>
      <c r="G633" s="5" t="s">
        <v>15</v>
      </c>
      <c r="H633" s="6">
        <f>SUMIFS(InventTrans!F:F,InventTrans!B:B,AtlasReport_3_Table_1[[#This Row],[Lot ID]],InventTrans!C:C,AtlasReport_3_Table_1[[#This Row],[Ship date]])</f>
        <v>1170</v>
      </c>
      <c r="I633" s="5" t="s">
        <v>15</v>
      </c>
      <c r="J633" s="5" t="s">
        <v>869</v>
      </c>
    </row>
    <row r="634" spans="1:10" x14ac:dyDescent="0.15">
      <c r="A634" s="5" t="s">
        <v>48</v>
      </c>
      <c r="B634" s="5" t="s">
        <v>870</v>
      </c>
      <c r="C634" s="5" t="s">
        <v>37</v>
      </c>
      <c r="D634" s="5" t="s">
        <v>38</v>
      </c>
      <c r="E634" s="9">
        <v>43726</v>
      </c>
      <c r="F634" s="6">
        <v>4095</v>
      </c>
      <c r="G634" s="5" t="s">
        <v>15</v>
      </c>
      <c r="H634" s="6">
        <f>SUMIFS(InventTrans!F:F,InventTrans!B:B,AtlasReport_3_Table_1[[#This Row],[Lot ID]],InventTrans!C:C,AtlasReport_3_Table_1[[#This Row],[Ship date]])</f>
        <v>4095</v>
      </c>
      <c r="I634" s="5" t="s">
        <v>15</v>
      </c>
      <c r="J634" s="5" t="s">
        <v>871</v>
      </c>
    </row>
    <row r="635" spans="1:10" x14ac:dyDescent="0.15">
      <c r="A635" s="5" t="s">
        <v>48</v>
      </c>
      <c r="B635" s="5" t="s">
        <v>872</v>
      </c>
      <c r="C635" s="5" t="s">
        <v>37</v>
      </c>
      <c r="D635" s="5" t="s">
        <v>38</v>
      </c>
      <c r="E635" s="9">
        <v>43726</v>
      </c>
      <c r="F635" s="6">
        <v>11505</v>
      </c>
      <c r="G635" s="5" t="s">
        <v>15</v>
      </c>
      <c r="H635" s="6">
        <f>SUMIFS(InventTrans!F:F,InventTrans!B:B,AtlasReport_3_Table_1[[#This Row],[Lot ID]],InventTrans!C:C,AtlasReport_3_Table_1[[#This Row],[Ship date]])</f>
        <v>11505</v>
      </c>
      <c r="I635" s="5" t="s">
        <v>15</v>
      </c>
      <c r="J635" s="5" t="s">
        <v>873</v>
      </c>
    </row>
    <row r="636" spans="1:10" x14ac:dyDescent="0.15">
      <c r="A636" s="5" t="s">
        <v>48</v>
      </c>
      <c r="B636" s="5" t="s">
        <v>874</v>
      </c>
      <c r="C636" s="5" t="s">
        <v>51</v>
      </c>
      <c r="D636" s="5" t="s">
        <v>52</v>
      </c>
      <c r="E636" s="9">
        <v>43728</v>
      </c>
      <c r="F636" s="6">
        <v>13650</v>
      </c>
      <c r="G636" s="5" t="s">
        <v>15</v>
      </c>
      <c r="H636" s="6">
        <f>SUMIFS(InventTrans!F:F,InventTrans!B:B,AtlasReport_3_Table_1[[#This Row],[Lot ID]],InventTrans!C:C,AtlasReport_3_Table_1[[#This Row],[Ship date]])</f>
        <v>13650</v>
      </c>
      <c r="I636" s="5" t="s">
        <v>15</v>
      </c>
      <c r="J636" s="5" t="s">
        <v>875</v>
      </c>
    </row>
    <row r="637" spans="1:10" x14ac:dyDescent="0.15">
      <c r="A637" s="5" t="s">
        <v>48</v>
      </c>
      <c r="B637" s="5" t="s">
        <v>140</v>
      </c>
      <c r="C637" s="5" t="s">
        <v>37</v>
      </c>
      <c r="D637" s="5" t="s">
        <v>38</v>
      </c>
      <c r="E637" s="9">
        <v>43727</v>
      </c>
      <c r="F637" s="6">
        <v>17550</v>
      </c>
      <c r="G637" s="5" t="s">
        <v>15</v>
      </c>
      <c r="H637" s="6">
        <f>SUMIFS(InventTrans!F:F,InventTrans!B:B,AtlasReport_3_Table_1[[#This Row],[Lot ID]],InventTrans!C:C,AtlasReport_3_Table_1[[#This Row],[Ship date]])</f>
        <v>17550</v>
      </c>
      <c r="I637" s="5" t="s">
        <v>15</v>
      </c>
      <c r="J637" s="5" t="s">
        <v>876</v>
      </c>
    </row>
    <row r="638" spans="1:10" x14ac:dyDescent="0.15">
      <c r="A638" s="5" t="s">
        <v>48</v>
      </c>
      <c r="B638" s="5" t="s">
        <v>140</v>
      </c>
      <c r="C638" s="5" t="s">
        <v>35</v>
      </c>
      <c r="D638" s="5" t="s">
        <v>36</v>
      </c>
      <c r="E638" s="9">
        <v>43727</v>
      </c>
      <c r="F638" s="6">
        <v>7800</v>
      </c>
      <c r="G638" s="5" t="s">
        <v>15</v>
      </c>
      <c r="H638" s="6">
        <f>SUMIFS(InventTrans!F:F,InventTrans!B:B,AtlasReport_3_Table_1[[#This Row],[Lot ID]],InventTrans!C:C,AtlasReport_3_Table_1[[#This Row],[Ship date]])</f>
        <v>7800</v>
      </c>
      <c r="I638" s="5" t="s">
        <v>15</v>
      </c>
      <c r="J638" s="5" t="s">
        <v>877</v>
      </c>
    </row>
    <row r="639" spans="1:10" x14ac:dyDescent="0.15">
      <c r="A639" s="5" t="s">
        <v>48</v>
      </c>
      <c r="B639" s="5" t="s">
        <v>141</v>
      </c>
      <c r="C639" s="5" t="s">
        <v>43</v>
      </c>
      <c r="D639" s="5" t="s">
        <v>38</v>
      </c>
      <c r="E639" s="9">
        <v>43727</v>
      </c>
      <c r="F639" s="6">
        <v>5917</v>
      </c>
      <c r="G639" s="5" t="s">
        <v>15</v>
      </c>
      <c r="H639" s="6">
        <f>SUMIFS(InventTrans!F:F,InventTrans!B:B,AtlasReport_3_Table_1[[#This Row],[Lot ID]],InventTrans!C:C,AtlasReport_3_Table_1[[#This Row],[Ship date]])</f>
        <v>5917</v>
      </c>
      <c r="I639" s="5" t="s">
        <v>15</v>
      </c>
      <c r="J639" s="5" t="s">
        <v>878</v>
      </c>
    </row>
    <row r="640" spans="1:10" x14ac:dyDescent="0.15">
      <c r="A640" s="5" t="s">
        <v>48</v>
      </c>
      <c r="B640" s="5" t="s">
        <v>141</v>
      </c>
      <c r="C640" s="5" t="s">
        <v>42</v>
      </c>
      <c r="D640" s="5" t="s">
        <v>38</v>
      </c>
      <c r="E640" s="9">
        <v>43727</v>
      </c>
      <c r="F640" s="6">
        <v>2025</v>
      </c>
      <c r="G640" s="5" t="s">
        <v>15</v>
      </c>
      <c r="H640" s="6">
        <f>SUMIFS(InventTrans!F:F,InventTrans!B:B,AtlasReport_3_Table_1[[#This Row],[Lot ID]],InventTrans!C:C,AtlasReport_3_Table_1[[#This Row],[Ship date]])</f>
        <v>2025</v>
      </c>
      <c r="I640" s="5" t="s">
        <v>15</v>
      </c>
      <c r="J640" s="5" t="s">
        <v>879</v>
      </c>
    </row>
    <row r="641" spans="1:10" x14ac:dyDescent="0.15">
      <c r="A641" s="5" t="s">
        <v>48</v>
      </c>
      <c r="B641" s="5" t="s">
        <v>880</v>
      </c>
      <c r="C641" s="5" t="s">
        <v>37</v>
      </c>
      <c r="D641" s="5" t="s">
        <v>38</v>
      </c>
      <c r="E641" s="9">
        <v>43727</v>
      </c>
      <c r="F641" s="6">
        <v>1950</v>
      </c>
      <c r="G641" s="5" t="s">
        <v>15</v>
      </c>
      <c r="H641" s="6">
        <f>SUMIFS(InventTrans!F:F,InventTrans!B:B,AtlasReport_3_Table_1[[#This Row],[Lot ID]],InventTrans!C:C,AtlasReport_3_Table_1[[#This Row],[Ship date]])</f>
        <v>1950</v>
      </c>
      <c r="I641" s="5" t="s">
        <v>15</v>
      </c>
      <c r="J641" s="5" t="s">
        <v>881</v>
      </c>
    </row>
    <row r="642" spans="1:10" x14ac:dyDescent="0.15">
      <c r="A642" s="5" t="s">
        <v>48</v>
      </c>
      <c r="B642" s="5" t="s">
        <v>882</v>
      </c>
      <c r="C642" s="5" t="s">
        <v>37</v>
      </c>
      <c r="D642" s="5" t="s">
        <v>38</v>
      </c>
      <c r="E642" s="9">
        <v>43727</v>
      </c>
      <c r="F642" s="6">
        <v>7507.5</v>
      </c>
      <c r="G642" s="5" t="s">
        <v>15</v>
      </c>
      <c r="H642" s="6">
        <f>SUMIFS(InventTrans!F:F,InventTrans!B:B,AtlasReport_3_Table_1[[#This Row],[Lot ID]],InventTrans!C:C,AtlasReport_3_Table_1[[#This Row],[Ship date]])</f>
        <v>7507.5</v>
      </c>
      <c r="I642" s="5" t="s">
        <v>15</v>
      </c>
      <c r="J642" s="5" t="s">
        <v>883</v>
      </c>
    </row>
    <row r="643" spans="1:10" x14ac:dyDescent="0.15">
      <c r="A643" s="5" t="s">
        <v>48</v>
      </c>
      <c r="B643" s="5" t="s">
        <v>142</v>
      </c>
      <c r="C643" s="5" t="s">
        <v>35</v>
      </c>
      <c r="D643" s="5" t="s">
        <v>36</v>
      </c>
      <c r="E643" s="9">
        <v>43728</v>
      </c>
      <c r="F643" s="6">
        <v>3120</v>
      </c>
      <c r="G643" s="5" t="s">
        <v>15</v>
      </c>
      <c r="H643" s="6">
        <f>SUMIFS(InventTrans!F:F,InventTrans!B:B,AtlasReport_3_Table_1[[#This Row],[Lot ID]],InventTrans!C:C,AtlasReport_3_Table_1[[#This Row],[Ship date]])</f>
        <v>3120</v>
      </c>
      <c r="I643" s="5" t="s">
        <v>15</v>
      </c>
      <c r="J643" s="5" t="s">
        <v>884</v>
      </c>
    </row>
    <row r="644" spans="1:10" x14ac:dyDescent="0.15">
      <c r="A644" s="5" t="s">
        <v>48</v>
      </c>
      <c r="B644" s="5" t="s">
        <v>143</v>
      </c>
      <c r="C644" s="5" t="s">
        <v>41</v>
      </c>
      <c r="D644" s="5" t="s">
        <v>36</v>
      </c>
      <c r="E644" s="9">
        <v>43731</v>
      </c>
      <c r="F644" s="6">
        <v>5383.5</v>
      </c>
      <c r="G644" s="5" t="s">
        <v>15</v>
      </c>
      <c r="H644" s="6">
        <f>SUMIFS(InventTrans!F:F,InventTrans!B:B,AtlasReport_3_Table_1[[#This Row],[Lot ID]],InventTrans!C:C,AtlasReport_3_Table_1[[#This Row],[Ship date]])</f>
        <v>5383.5</v>
      </c>
      <c r="I644" s="5" t="s">
        <v>15</v>
      </c>
      <c r="J644" s="5" t="s">
        <v>885</v>
      </c>
    </row>
    <row r="645" spans="1:10" x14ac:dyDescent="0.15">
      <c r="A645" s="5" t="s">
        <v>48</v>
      </c>
      <c r="B645" s="5" t="s">
        <v>143</v>
      </c>
      <c r="C645" s="5" t="s">
        <v>35</v>
      </c>
      <c r="D645" s="5" t="s">
        <v>36</v>
      </c>
      <c r="E645" s="9">
        <v>43731</v>
      </c>
      <c r="F645" s="6">
        <v>10822.5</v>
      </c>
      <c r="G645" s="5" t="s">
        <v>15</v>
      </c>
      <c r="H645" s="6">
        <f>SUMIFS(InventTrans!F:F,InventTrans!B:B,AtlasReport_3_Table_1[[#This Row],[Lot ID]],InventTrans!C:C,AtlasReport_3_Table_1[[#This Row],[Ship date]])</f>
        <v>10822.5</v>
      </c>
      <c r="I645" s="5" t="s">
        <v>15</v>
      </c>
      <c r="J645" s="5" t="s">
        <v>886</v>
      </c>
    </row>
    <row r="646" spans="1:10" x14ac:dyDescent="0.15">
      <c r="A646" s="5" t="s">
        <v>48</v>
      </c>
      <c r="B646" s="5" t="s">
        <v>887</v>
      </c>
      <c r="C646" s="5" t="s">
        <v>43</v>
      </c>
      <c r="D646" s="5" t="s">
        <v>38</v>
      </c>
      <c r="E646" s="9">
        <v>43732</v>
      </c>
      <c r="F646" s="6">
        <v>7808.5</v>
      </c>
      <c r="G646" s="5" t="s">
        <v>15</v>
      </c>
      <c r="H646" s="6">
        <f>SUMIFS(InventTrans!F:F,InventTrans!B:B,AtlasReport_3_Table_1[[#This Row],[Lot ID]],InventTrans!C:C,AtlasReport_3_Table_1[[#This Row],[Ship date]])</f>
        <v>7808.5</v>
      </c>
      <c r="I646" s="5" t="s">
        <v>15</v>
      </c>
      <c r="J646" s="5" t="s">
        <v>888</v>
      </c>
    </row>
    <row r="647" spans="1:10" x14ac:dyDescent="0.15">
      <c r="A647" s="5" t="s">
        <v>48</v>
      </c>
      <c r="B647" s="5" t="s">
        <v>887</v>
      </c>
      <c r="C647" s="5" t="s">
        <v>37</v>
      </c>
      <c r="D647" s="5" t="s">
        <v>38</v>
      </c>
      <c r="E647" s="9">
        <v>43732</v>
      </c>
      <c r="F647" s="6">
        <v>13747.5</v>
      </c>
      <c r="G647" s="5" t="s">
        <v>15</v>
      </c>
      <c r="H647" s="6">
        <f>SUMIFS(InventTrans!F:F,InventTrans!B:B,AtlasReport_3_Table_1[[#This Row],[Lot ID]],InventTrans!C:C,AtlasReport_3_Table_1[[#This Row],[Ship date]])</f>
        <v>13747.5</v>
      </c>
      <c r="I647" s="5" t="s">
        <v>15</v>
      </c>
      <c r="J647" s="5" t="s">
        <v>889</v>
      </c>
    </row>
    <row r="648" spans="1:10" x14ac:dyDescent="0.15">
      <c r="A648" s="5" t="s">
        <v>48</v>
      </c>
      <c r="B648" s="5" t="s">
        <v>144</v>
      </c>
      <c r="C648" s="5" t="s">
        <v>37</v>
      </c>
      <c r="D648" s="5" t="s">
        <v>38</v>
      </c>
      <c r="E648" s="9">
        <v>43732</v>
      </c>
      <c r="F648" s="6">
        <v>3315</v>
      </c>
      <c r="G648" s="5" t="s">
        <v>15</v>
      </c>
      <c r="H648" s="6">
        <f>SUMIFS(InventTrans!F:F,InventTrans!B:B,AtlasReport_3_Table_1[[#This Row],[Lot ID]],InventTrans!C:C,AtlasReport_3_Table_1[[#This Row],[Ship date]])</f>
        <v>3315</v>
      </c>
      <c r="I648" s="5" t="s">
        <v>15</v>
      </c>
      <c r="J648" s="5" t="s">
        <v>890</v>
      </c>
    </row>
    <row r="649" spans="1:10" x14ac:dyDescent="0.15">
      <c r="A649" s="5" t="s">
        <v>48</v>
      </c>
      <c r="B649" s="5" t="s">
        <v>145</v>
      </c>
      <c r="C649" s="5" t="s">
        <v>37</v>
      </c>
      <c r="D649" s="5" t="s">
        <v>38</v>
      </c>
      <c r="E649" s="9">
        <v>43732</v>
      </c>
      <c r="F649" s="6">
        <v>5557.5</v>
      </c>
      <c r="G649" s="5" t="s">
        <v>15</v>
      </c>
      <c r="H649" s="6">
        <f>SUMIFS(InventTrans!F:F,InventTrans!B:B,AtlasReport_3_Table_1[[#This Row],[Lot ID]],InventTrans!C:C,AtlasReport_3_Table_1[[#This Row],[Ship date]])</f>
        <v>5557.5</v>
      </c>
      <c r="I649" s="5" t="s">
        <v>15</v>
      </c>
      <c r="J649" s="5" t="s">
        <v>891</v>
      </c>
    </row>
    <row r="650" spans="1:10" x14ac:dyDescent="0.15">
      <c r="A650" s="5" t="s">
        <v>48</v>
      </c>
      <c r="B650" s="5" t="s">
        <v>892</v>
      </c>
      <c r="C650" s="5" t="s">
        <v>37</v>
      </c>
      <c r="D650" s="5" t="s">
        <v>38</v>
      </c>
      <c r="E650" s="9">
        <v>43733</v>
      </c>
      <c r="F650" s="6">
        <v>1560</v>
      </c>
      <c r="G650" s="5" t="s">
        <v>15</v>
      </c>
      <c r="H650" s="6">
        <f>SUMIFS(InventTrans!F:F,InventTrans!B:B,AtlasReport_3_Table_1[[#This Row],[Lot ID]],InventTrans!C:C,AtlasReport_3_Table_1[[#This Row],[Ship date]])</f>
        <v>1560</v>
      </c>
      <c r="I650" s="5" t="s">
        <v>15</v>
      </c>
      <c r="J650" s="5" t="s">
        <v>893</v>
      </c>
    </row>
    <row r="651" spans="1:10" x14ac:dyDescent="0.15">
      <c r="A651" s="5" t="s">
        <v>48</v>
      </c>
      <c r="B651" s="5" t="s">
        <v>892</v>
      </c>
      <c r="C651" s="5" t="s">
        <v>35</v>
      </c>
      <c r="D651" s="5" t="s">
        <v>36</v>
      </c>
      <c r="E651" s="9">
        <v>43733</v>
      </c>
      <c r="F651" s="6">
        <v>1560</v>
      </c>
      <c r="G651" s="5" t="s">
        <v>15</v>
      </c>
      <c r="H651" s="6">
        <f>SUMIFS(InventTrans!F:F,InventTrans!B:B,AtlasReport_3_Table_1[[#This Row],[Lot ID]],InventTrans!C:C,AtlasReport_3_Table_1[[#This Row],[Ship date]])</f>
        <v>1560</v>
      </c>
      <c r="I651" s="5" t="s">
        <v>15</v>
      </c>
      <c r="J651" s="5" t="s">
        <v>894</v>
      </c>
    </row>
    <row r="652" spans="1:10" x14ac:dyDescent="0.15">
      <c r="A652" s="5" t="s">
        <v>48</v>
      </c>
      <c r="B652" s="5" t="s">
        <v>146</v>
      </c>
      <c r="C652" s="5" t="s">
        <v>35</v>
      </c>
      <c r="D652" s="5" t="s">
        <v>36</v>
      </c>
      <c r="E652" s="9">
        <v>43733</v>
      </c>
      <c r="F652" s="6">
        <v>4290</v>
      </c>
      <c r="G652" s="5" t="s">
        <v>15</v>
      </c>
      <c r="H652" s="6">
        <f>SUMIFS(InventTrans!F:F,InventTrans!B:B,AtlasReport_3_Table_1[[#This Row],[Lot ID]],InventTrans!C:C,AtlasReport_3_Table_1[[#This Row],[Ship date]])</f>
        <v>4290</v>
      </c>
      <c r="I652" s="5" t="s">
        <v>15</v>
      </c>
      <c r="J652" s="5" t="s">
        <v>895</v>
      </c>
    </row>
    <row r="653" spans="1:10" x14ac:dyDescent="0.15">
      <c r="A653" s="5" t="s">
        <v>48</v>
      </c>
      <c r="B653" s="5" t="s">
        <v>896</v>
      </c>
      <c r="C653" s="5" t="s">
        <v>35</v>
      </c>
      <c r="D653" s="5" t="s">
        <v>36</v>
      </c>
      <c r="E653" s="9">
        <v>43733</v>
      </c>
      <c r="F653" s="6">
        <v>6045</v>
      </c>
      <c r="G653" s="5" t="s">
        <v>15</v>
      </c>
      <c r="H653" s="6">
        <f>SUMIFS(InventTrans!F:F,InventTrans!B:B,AtlasReport_3_Table_1[[#This Row],[Lot ID]],InventTrans!C:C,AtlasReport_3_Table_1[[#This Row],[Ship date]])</f>
        <v>6045</v>
      </c>
      <c r="I653" s="5" t="s">
        <v>15</v>
      </c>
      <c r="J653" s="5" t="s">
        <v>897</v>
      </c>
    </row>
    <row r="654" spans="1:10" x14ac:dyDescent="0.15">
      <c r="A654" s="5" t="s">
        <v>48</v>
      </c>
      <c r="B654" s="5" t="s">
        <v>898</v>
      </c>
      <c r="C654" s="5" t="s">
        <v>35</v>
      </c>
      <c r="D654" s="5" t="s">
        <v>36</v>
      </c>
      <c r="E654" s="9">
        <v>43733</v>
      </c>
      <c r="F654" s="6">
        <v>877.5</v>
      </c>
      <c r="G654" s="5" t="s">
        <v>15</v>
      </c>
      <c r="H654" s="6">
        <f>SUMIFS(InventTrans!F:F,InventTrans!B:B,AtlasReport_3_Table_1[[#This Row],[Lot ID]],InventTrans!C:C,AtlasReport_3_Table_1[[#This Row],[Ship date]])</f>
        <v>877.5</v>
      </c>
      <c r="I654" s="5" t="s">
        <v>15</v>
      </c>
      <c r="J654" s="5" t="s">
        <v>899</v>
      </c>
    </row>
    <row r="655" spans="1:10" x14ac:dyDescent="0.15">
      <c r="A655" s="5" t="s">
        <v>48</v>
      </c>
      <c r="B655" s="5" t="s">
        <v>898</v>
      </c>
      <c r="C655" s="5" t="s">
        <v>40</v>
      </c>
      <c r="D655" s="5" t="s">
        <v>36</v>
      </c>
      <c r="E655" s="9">
        <v>43733</v>
      </c>
      <c r="F655" s="6">
        <v>375</v>
      </c>
      <c r="G655" s="5" t="s">
        <v>15</v>
      </c>
      <c r="H655" s="6">
        <f>SUMIFS(InventTrans!F:F,InventTrans!B:B,AtlasReport_3_Table_1[[#This Row],[Lot ID]],InventTrans!C:C,AtlasReport_3_Table_1[[#This Row],[Ship date]])</f>
        <v>375</v>
      </c>
      <c r="I655" s="5" t="s">
        <v>15</v>
      </c>
      <c r="J655" s="5" t="s">
        <v>900</v>
      </c>
    </row>
    <row r="656" spans="1:10" x14ac:dyDescent="0.15">
      <c r="A656" s="5" t="s">
        <v>48</v>
      </c>
      <c r="B656" s="5" t="s">
        <v>147</v>
      </c>
      <c r="C656" s="5" t="s">
        <v>43</v>
      </c>
      <c r="D656" s="5" t="s">
        <v>38</v>
      </c>
      <c r="E656" s="9">
        <v>43733</v>
      </c>
      <c r="F656" s="6">
        <v>242.5</v>
      </c>
      <c r="G656" s="5" t="s">
        <v>15</v>
      </c>
      <c r="H656" s="6">
        <f>SUMIFS(InventTrans!F:F,InventTrans!B:B,AtlasReport_3_Table_1[[#This Row],[Lot ID]],InventTrans!C:C,AtlasReport_3_Table_1[[#This Row],[Ship date]])</f>
        <v>242.5</v>
      </c>
      <c r="I656" s="5" t="s">
        <v>15</v>
      </c>
      <c r="J656" s="5" t="s">
        <v>901</v>
      </c>
    </row>
    <row r="657" spans="1:10" ht="27" x14ac:dyDescent="0.15">
      <c r="A657" s="5" t="s">
        <v>48</v>
      </c>
      <c r="B657" s="5" t="s">
        <v>902</v>
      </c>
      <c r="C657" s="5" t="s">
        <v>49</v>
      </c>
      <c r="D657" s="7" t="s">
        <v>50</v>
      </c>
      <c r="E657" s="9">
        <v>43732</v>
      </c>
      <c r="F657" s="6">
        <v>1000</v>
      </c>
      <c r="G657" s="5" t="s">
        <v>15</v>
      </c>
      <c r="H657" s="6">
        <f>SUMIFS(InventTrans!F:F,InventTrans!B:B,AtlasReport_3_Table_1[[#This Row],[Lot ID]],InventTrans!C:C,AtlasReport_3_Table_1[[#This Row],[Ship date]])</f>
        <v>1000</v>
      </c>
      <c r="I657" s="5" t="s">
        <v>15</v>
      </c>
      <c r="J657" s="5" t="s">
        <v>903</v>
      </c>
    </row>
    <row r="658" spans="1:10" ht="27" x14ac:dyDescent="0.15">
      <c r="A658" s="5" t="s">
        <v>48</v>
      </c>
      <c r="B658" s="5" t="s">
        <v>902</v>
      </c>
      <c r="C658" s="5" t="s">
        <v>49</v>
      </c>
      <c r="D658" s="7" t="s">
        <v>50</v>
      </c>
      <c r="E658" s="9">
        <v>43732</v>
      </c>
      <c r="F658" s="6">
        <v>1000</v>
      </c>
      <c r="G658" s="5" t="s">
        <v>15</v>
      </c>
      <c r="H658" s="6">
        <f>SUMIFS(InventTrans!F:F,InventTrans!B:B,AtlasReport_3_Table_1[[#This Row],[Lot ID]],InventTrans!C:C,AtlasReport_3_Table_1[[#This Row],[Ship date]])</f>
        <v>1000</v>
      </c>
      <c r="I658" s="5" t="s">
        <v>15</v>
      </c>
      <c r="J658" s="5" t="s">
        <v>904</v>
      </c>
    </row>
    <row r="659" spans="1:10" x14ac:dyDescent="0.15">
      <c r="A659" s="5" t="s">
        <v>48</v>
      </c>
      <c r="B659" s="5" t="s">
        <v>149</v>
      </c>
      <c r="C659" s="5" t="s">
        <v>37</v>
      </c>
      <c r="D659" s="5" t="s">
        <v>38</v>
      </c>
      <c r="E659" s="9">
        <v>43733</v>
      </c>
      <c r="F659" s="6">
        <v>975</v>
      </c>
      <c r="G659" s="5" t="s">
        <v>15</v>
      </c>
      <c r="H659" s="6">
        <f>SUMIFS(InventTrans!F:F,InventTrans!B:B,AtlasReport_3_Table_1[[#This Row],[Lot ID]],InventTrans!C:C,AtlasReport_3_Table_1[[#This Row],[Ship date]])</f>
        <v>975</v>
      </c>
      <c r="I659" s="5" t="s">
        <v>15</v>
      </c>
      <c r="J659" s="5" t="s">
        <v>905</v>
      </c>
    </row>
    <row r="660" spans="1:10" x14ac:dyDescent="0.15">
      <c r="A660" s="5" t="s">
        <v>48</v>
      </c>
      <c r="B660" s="5" t="s">
        <v>906</v>
      </c>
      <c r="C660" s="5" t="s">
        <v>37</v>
      </c>
      <c r="D660" s="5" t="s">
        <v>38</v>
      </c>
      <c r="E660" s="9">
        <v>43733</v>
      </c>
      <c r="F660" s="6">
        <v>3120</v>
      </c>
      <c r="G660" s="5" t="s">
        <v>15</v>
      </c>
      <c r="H660" s="6">
        <f>SUMIFS(InventTrans!F:F,InventTrans!B:B,AtlasReport_3_Table_1[[#This Row],[Lot ID]],InventTrans!C:C,AtlasReport_3_Table_1[[#This Row],[Ship date]])</f>
        <v>3120</v>
      </c>
      <c r="I660" s="5" t="s">
        <v>15</v>
      </c>
      <c r="J660" s="5" t="s">
        <v>907</v>
      </c>
    </row>
    <row r="661" spans="1:10" x14ac:dyDescent="0.15">
      <c r="A661" s="5" t="s">
        <v>48</v>
      </c>
      <c r="B661" s="5" t="s">
        <v>908</v>
      </c>
      <c r="C661" s="5" t="s">
        <v>37</v>
      </c>
      <c r="D661" s="5" t="s">
        <v>38</v>
      </c>
      <c r="E661" s="9">
        <v>43734</v>
      </c>
      <c r="F661" s="6">
        <v>1950</v>
      </c>
      <c r="G661" s="5" t="s">
        <v>15</v>
      </c>
      <c r="H661" s="6">
        <f>SUMIFS(InventTrans!F:F,InventTrans!B:B,AtlasReport_3_Table_1[[#This Row],[Lot ID]],InventTrans!C:C,AtlasReport_3_Table_1[[#This Row],[Ship date]])</f>
        <v>1950</v>
      </c>
      <c r="I661" s="5" t="s">
        <v>15</v>
      </c>
      <c r="J661" s="5" t="s">
        <v>909</v>
      </c>
    </row>
    <row r="662" spans="1:10" x14ac:dyDescent="0.15">
      <c r="A662" s="5" t="s">
        <v>48</v>
      </c>
      <c r="B662" s="5" t="s">
        <v>910</v>
      </c>
      <c r="C662" s="5" t="s">
        <v>37</v>
      </c>
      <c r="D662" s="5" t="s">
        <v>38</v>
      </c>
      <c r="E662" s="9">
        <v>43734</v>
      </c>
      <c r="F662" s="6">
        <v>7800</v>
      </c>
      <c r="G662" s="5" t="s">
        <v>15</v>
      </c>
      <c r="H662" s="6">
        <f>SUMIFS(InventTrans!F:F,InventTrans!B:B,AtlasReport_3_Table_1[[#This Row],[Lot ID]],InventTrans!C:C,AtlasReport_3_Table_1[[#This Row],[Ship date]])</f>
        <v>7800</v>
      </c>
      <c r="I662" s="5" t="s">
        <v>15</v>
      </c>
      <c r="J662" s="5" t="s">
        <v>911</v>
      </c>
    </row>
    <row r="663" spans="1:10" x14ac:dyDescent="0.15">
      <c r="A663" s="5" t="s">
        <v>48</v>
      </c>
      <c r="B663" s="5" t="s">
        <v>912</v>
      </c>
      <c r="C663" s="5" t="s">
        <v>37</v>
      </c>
      <c r="D663" s="5" t="s">
        <v>38</v>
      </c>
      <c r="E663" s="9">
        <v>43735</v>
      </c>
      <c r="F663" s="6">
        <v>-17550</v>
      </c>
      <c r="G663" s="5" t="s">
        <v>15</v>
      </c>
      <c r="H663" s="6">
        <f>SUMIFS(InventTrans!F:F,InventTrans!B:B,AtlasReport_3_Table_1[[#This Row],[Lot ID]],InventTrans!C:C,AtlasReport_3_Table_1[[#This Row],[Ship date]])</f>
        <v>-17550</v>
      </c>
      <c r="I663" s="5" t="s">
        <v>15</v>
      </c>
      <c r="J663" s="5" t="s">
        <v>913</v>
      </c>
    </row>
    <row r="664" spans="1:10" x14ac:dyDescent="0.15">
      <c r="A664" s="5" t="s">
        <v>48</v>
      </c>
      <c r="B664" s="5" t="s">
        <v>912</v>
      </c>
      <c r="C664" s="5" t="s">
        <v>37</v>
      </c>
      <c r="D664" s="5" t="s">
        <v>38</v>
      </c>
      <c r="E664" s="9">
        <v>43735</v>
      </c>
      <c r="F664" s="6">
        <v>17550</v>
      </c>
      <c r="G664" s="5" t="s">
        <v>15</v>
      </c>
      <c r="H664" s="6">
        <f>SUMIFS(InventTrans!F:F,InventTrans!B:B,AtlasReport_3_Table_1[[#This Row],[Lot ID]],InventTrans!C:C,AtlasReport_3_Table_1[[#This Row],[Ship date]])</f>
        <v>17550</v>
      </c>
      <c r="I664" s="5" t="s">
        <v>15</v>
      </c>
      <c r="J664" s="5" t="s">
        <v>914</v>
      </c>
    </row>
    <row r="665" spans="1:10" x14ac:dyDescent="0.15">
      <c r="A665" s="5" t="s">
        <v>48</v>
      </c>
      <c r="B665" s="5" t="s">
        <v>912</v>
      </c>
      <c r="C665" s="5" t="s">
        <v>35</v>
      </c>
      <c r="D665" s="5" t="s">
        <v>36</v>
      </c>
      <c r="E665" s="9">
        <v>43735</v>
      </c>
      <c r="F665" s="6">
        <v>-7800</v>
      </c>
      <c r="G665" s="5" t="s">
        <v>15</v>
      </c>
      <c r="H665" s="6">
        <f>SUMIFS(InventTrans!F:F,InventTrans!B:B,AtlasReport_3_Table_1[[#This Row],[Lot ID]],InventTrans!C:C,AtlasReport_3_Table_1[[#This Row],[Ship date]])</f>
        <v>-7800</v>
      </c>
      <c r="I665" s="5" t="s">
        <v>15</v>
      </c>
      <c r="J665" s="5" t="s">
        <v>915</v>
      </c>
    </row>
    <row r="666" spans="1:10" x14ac:dyDescent="0.15">
      <c r="A666" s="5" t="s">
        <v>48</v>
      </c>
      <c r="B666" s="5" t="s">
        <v>912</v>
      </c>
      <c r="C666" s="5" t="s">
        <v>35</v>
      </c>
      <c r="D666" s="5" t="s">
        <v>36</v>
      </c>
      <c r="E666" s="9">
        <v>43735</v>
      </c>
      <c r="F666" s="6">
        <v>3900</v>
      </c>
      <c r="G666" s="5" t="s">
        <v>15</v>
      </c>
      <c r="H666" s="6">
        <f>SUMIFS(InventTrans!F:F,InventTrans!B:B,AtlasReport_3_Table_1[[#This Row],[Lot ID]],InventTrans!C:C,AtlasReport_3_Table_1[[#This Row],[Ship date]])</f>
        <v>3900</v>
      </c>
      <c r="I666" s="5" t="s">
        <v>15</v>
      </c>
      <c r="J666" s="5" t="s">
        <v>916</v>
      </c>
    </row>
    <row r="667" spans="1:10" x14ac:dyDescent="0.15">
      <c r="A667" s="5" t="s">
        <v>48</v>
      </c>
      <c r="B667" s="5" t="s">
        <v>150</v>
      </c>
      <c r="C667" s="5" t="s">
        <v>40</v>
      </c>
      <c r="D667" s="5" t="s">
        <v>36</v>
      </c>
      <c r="E667" s="9">
        <v>43740</v>
      </c>
      <c r="F667" s="6">
        <v>4575</v>
      </c>
      <c r="G667" s="5" t="s">
        <v>15</v>
      </c>
      <c r="H667" s="6">
        <f>SUMIFS(InventTrans!F:F,InventTrans!B:B,AtlasReport_3_Table_1[[#This Row],[Lot ID]],InventTrans!C:C,AtlasReport_3_Table_1[[#This Row],[Ship date]])</f>
        <v>4575</v>
      </c>
      <c r="I667" s="5" t="s">
        <v>15</v>
      </c>
      <c r="J667" s="5" t="s">
        <v>917</v>
      </c>
    </row>
    <row r="668" spans="1:10" x14ac:dyDescent="0.15">
      <c r="A668" s="5" t="s">
        <v>48</v>
      </c>
      <c r="B668" s="5" t="s">
        <v>150</v>
      </c>
      <c r="C668" s="5" t="s">
        <v>35</v>
      </c>
      <c r="D668" s="5" t="s">
        <v>36</v>
      </c>
      <c r="E668" s="9">
        <v>43740</v>
      </c>
      <c r="F668" s="6">
        <v>1950</v>
      </c>
      <c r="G668" s="5" t="s">
        <v>15</v>
      </c>
      <c r="H668" s="6">
        <f>SUMIFS(InventTrans!F:F,InventTrans!B:B,AtlasReport_3_Table_1[[#This Row],[Lot ID]],InventTrans!C:C,AtlasReport_3_Table_1[[#This Row],[Ship date]])</f>
        <v>1950</v>
      </c>
      <c r="I668" s="5" t="s">
        <v>15</v>
      </c>
      <c r="J668" s="5" t="s">
        <v>918</v>
      </c>
    </row>
    <row r="669" spans="1:10" x14ac:dyDescent="0.15">
      <c r="A669" s="5" t="s">
        <v>48</v>
      </c>
      <c r="B669" s="5" t="s">
        <v>151</v>
      </c>
      <c r="C669" s="5" t="s">
        <v>37</v>
      </c>
      <c r="D669" s="5" t="s">
        <v>38</v>
      </c>
      <c r="E669" s="9">
        <v>43739</v>
      </c>
      <c r="F669" s="6">
        <v>10627.5</v>
      </c>
      <c r="G669" s="5" t="s">
        <v>15</v>
      </c>
      <c r="H669" s="6">
        <f>SUMIFS(InventTrans!F:F,InventTrans!B:B,AtlasReport_3_Table_1[[#This Row],[Lot ID]],InventTrans!C:C,AtlasReport_3_Table_1[[#This Row],[Ship date]])</f>
        <v>10627.5</v>
      </c>
      <c r="I669" s="5" t="s">
        <v>15</v>
      </c>
      <c r="J669" s="5" t="s">
        <v>919</v>
      </c>
    </row>
    <row r="670" spans="1:10" x14ac:dyDescent="0.15">
      <c r="A670" s="5" t="s">
        <v>48</v>
      </c>
      <c r="B670" s="5" t="s">
        <v>152</v>
      </c>
      <c r="C670" s="5" t="s">
        <v>37</v>
      </c>
      <c r="D670" s="5" t="s">
        <v>38</v>
      </c>
      <c r="E670" s="9">
        <v>43739</v>
      </c>
      <c r="F670" s="6">
        <v>11505</v>
      </c>
      <c r="G670" s="5" t="s">
        <v>15</v>
      </c>
      <c r="H670" s="6">
        <f>SUMIFS(InventTrans!F:F,InventTrans!B:B,AtlasReport_3_Table_1[[#This Row],[Lot ID]],InventTrans!C:C,AtlasReport_3_Table_1[[#This Row],[Ship date]])</f>
        <v>11505</v>
      </c>
      <c r="I670" s="5" t="s">
        <v>15</v>
      </c>
      <c r="J670" s="5" t="s">
        <v>920</v>
      </c>
    </row>
    <row r="671" spans="1:10" x14ac:dyDescent="0.15">
      <c r="A671" s="5" t="s">
        <v>48</v>
      </c>
      <c r="B671" s="5" t="s">
        <v>153</v>
      </c>
      <c r="C671" s="5" t="s">
        <v>37</v>
      </c>
      <c r="D671" s="5" t="s">
        <v>38</v>
      </c>
      <c r="E671" s="9">
        <v>43739</v>
      </c>
      <c r="F671" s="6">
        <v>2437.5</v>
      </c>
      <c r="G671" s="5" t="s">
        <v>15</v>
      </c>
      <c r="H671" s="6">
        <f>SUMIFS(InventTrans!F:F,InventTrans!B:B,AtlasReport_3_Table_1[[#This Row],[Lot ID]],InventTrans!C:C,AtlasReport_3_Table_1[[#This Row],[Ship date]])</f>
        <v>2437.5</v>
      </c>
      <c r="I671" s="5" t="s">
        <v>15</v>
      </c>
      <c r="J671" s="5" t="s">
        <v>921</v>
      </c>
    </row>
    <row r="672" spans="1:10" x14ac:dyDescent="0.15">
      <c r="A672" s="5" t="s">
        <v>48</v>
      </c>
      <c r="B672" s="5" t="s">
        <v>153</v>
      </c>
      <c r="C672" s="5" t="s">
        <v>42</v>
      </c>
      <c r="D672" s="5" t="s">
        <v>38</v>
      </c>
      <c r="E672" s="9">
        <v>43739</v>
      </c>
      <c r="F672" s="6">
        <v>450</v>
      </c>
      <c r="G672" s="5" t="s">
        <v>15</v>
      </c>
      <c r="H672" s="6">
        <f>SUMIFS(InventTrans!F:F,InventTrans!B:B,AtlasReport_3_Table_1[[#This Row],[Lot ID]],InventTrans!C:C,AtlasReport_3_Table_1[[#This Row],[Ship date]])</f>
        <v>450</v>
      </c>
      <c r="I672" s="5" t="s">
        <v>15</v>
      </c>
      <c r="J672" s="5" t="s">
        <v>922</v>
      </c>
    </row>
    <row r="673" spans="1:10" x14ac:dyDescent="0.15">
      <c r="A673" s="5" t="s">
        <v>48</v>
      </c>
      <c r="B673" s="5" t="s">
        <v>153</v>
      </c>
      <c r="C673" s="5" t="s">
        <v>57</v>
      </c>
      <c r="D673" s="5" t="s">
        <v>54</v>
      </c>
      <c r="E673" s="9">
        <v>43739</v>
      </c>
      <c r="F673" s="6">
        <v>582</v>
      </c>
      <c r="G673" s="5" t="s">
        <v>15</v>
      </c>
      <c r="H673" s="6">
        <f>SUMIFS(InventTrans!F:F,InventTrans!B:B,AtlasReport_3_Table_1[[#This Row],[Lot ID]],InventTrans!C:C,AtlasReport_3_Table_1[[#This Row],[Ship date]])</f>
        <v>582</v>
      </c>
      <c r="I673" s="5" t="s">
        <v>15</v>
      </c>
      <c r="J673" s="5" t="s">
        <v>923</v>
      </c>
    </row>
    <row r="674" spans="1:10" x14ac:dyDescent="0.15">
      <c r="A674" s="5" t="s">
        <v>48</v>
      </c>
      <c r="B674" s="5" t="s">
        <v>154</v>
      </c>
      <c r="C674" s="5" t="s">
        <v>35</v>
      </c>
      <c r="D674" s="5" t="s">
        <v>36</v>
      </c>
      <c r="E674" s="9">
        <v>43739</v>
      </c>
      <c r="F674" s="6">
        <v>17355</v>
      </c>
      <c r="G674" s="5" t="s">
        <v>15</v>
      </c>
      <c r="H674" s="6">
        <f>SUMIFS(InventTrans!F:F,InventTrans!B:B,AtlasReport_3_Table_1[[#This Row],[Lot ID]],InventTrans!C:C,AtlasReport_3_Table_1[[#This Row],[Ship date]])</f>
        <v>17355</v>
      </c>
      <c r="I674" s="5" t="s">
        <v>15</v>
      </c>
      <c r="J674" s="5" t="s">
        <v>924</v>
      </c>
    </row>
    <row r="675" spans="1:10" x14ac:dyDescent="0.15">
      <c r="A675" s="5" t="s">
        <v>48</v>
      </c>
      <c r="B675" s="5" t="s">
        <v>154</v>
      </c>
      <c r="C675" s="5" t="s">
        <v>37</v>
      </c>
      <c r="D675" s="5" t="s">
        <v>38</v>
      </c>
      <c r="E675" s="9">
        <v>43739</v>
      </c>
      <c r="F675" s="6">
        <v>1365</v>
      </c>
      <c r="G675" s="5" t="s">
        <v>15</v>
      </c>
      <c r="H675" s="6">
        <f>SUMIFS(InventTrans!F:F,InventTrans!B:B,AtlasReport_3_Table_1[[#This Row],[Lot ID]],InventTrans!C:C,AtlasReport_3_Table_1[[#This Row],[Ship date]])</f>
        <v>1365</v>
      </c>
      <c r="I675" s="5" t="s">
        <v>15</v>
      </c>
      <c r="J675" s="5" t="s">
        <v>925</v>
      </c>
    </row>
    <row r="676" spans="1:10" x14ac:dyDescent="0.15">
      <c r="A676" s="5" t="s">
        <v>48</v>
      </c>
      <c r="B676" s="5" t="s">
        <v>155</v>
      </c>
      <c r="C676" s="5" t="s">
        <v>37</v>
      </c>
      <c r="D676" s="5" t="s">
        <v>38</v>
      </c>
      <c r="E676" s="9">
        <v>43739</v>
      </c>
      <c r="F676" s="6">
        <v>10237.5</v>
      </c>
      <c r="G676" s="5" t="s">
        <v>15</v>
      </c>
      <c r="H676" s="6">
        <f>SUMIFS(InventTrans!F:F,InventTrans!B:B,AtlasReport_3_Table_1[[#This Row],[Lot ID]],InventTrans!C:C,AtlasReport_3_Table_1[[#This Row],[Ship date]])</f>
        <v>10237.5</v>
      </c>
      <c r="I676" s="5" t="s">
        <v>15</v>
      </c>
      <c r="J676" s="5" t="s">
        <v>926</v>
      </c>
    </row>
    <row r="677" spans="1:10" x14ac:dyDescent="0.15">
      <c r="A677" s="5" t="s">
        <v>48</v>
      </c>
      <c r="B677" s="5" t="s">
        <v>156</v>
      </c>
      <c r="C677" s="5" t="s">
        <v>35</v>
      </c>
      <c r="D677" s="5" t="s">
        <v>36</v>
      </c>
      <c r="E677" s="9">
        <v>43739</v>
      </c>
      <c r="F677" s="6">
        <v>4192.5</v>
      </c>
      <c r="G677" s="5" t="s">
        <v>15</v>
      </c>
      <c r="H677" s="6">
        <f>SUMIFS(InventTrans!F:F,InventTrans!B:B,AtlasReport_3_Table_1[[#This Row],[Lot ID]],InventTrans!C:C,AtlasReport_3_Table_1[[#This Row],[Ship date]])</f>
        <v>4192.5</v>
      </c>
      <c r="I677" s="5" t="s">
        <v>15</v>
      </c>
      <c r="J677" s="5" t="s">
        <v>927</v>
      </c>
    </row>
    <row r="678" spans="1:10" x14ac:dyDescent="0.15">
      <c r="A678" s="5" t="s">
        <v>48</v>
      </c>
      <c r="B678" s="5" t="s">
        <v>928</v>
      </c>
      <c r="C678" s="5" t="s">
        <v>35</v>
      </c>
      <c r="D678" s="5" t="s">
        <v>36</v>
      </c>
      <c r="E678" s="9">
        <v>43739</v>
      </c>
      <c r="F678" s="6">
        <v>9457.5</v>
      </c>
      <c r="G678" s="5" t="s">
        <v>15</v>
      </c>
      <c r="H678" s="6">
        <f>SUMIFS(InventTrans!F:F,InventTrans!B:B,AtlasReport_3_Table_1[[#This Row],[Lot ID]],InventTrans!C:C,AtlasReport_3_Table_1[[#This Row],[Ship date]])</f>
        <v>9457.5</v>
      </c>
      <c r="I678" s="5" t="s">
        <v>15</v>
      </c>
      <c r="J678" s="5" t="s">
        <v>929</v>
      </c>
    </row>
    <row r="679" spans="1:10" x14ac:dyDescent="0.15">
      <c r="A679" s="5" t="s">
        <v>48</v>
      </c>
      <c r="B679" s="5" t="s">
        <v>157</v>
      </c>
      <c r="C679" s="5" t="s">
        <v>37</v>
      </c>
      <c r="D679" s="5" t="s">
        <v>38</v>
      </c>
      <c r="E679" s="9">
        <v>43739</v>
      </c>
      <c r="F679" s="6">
        <v>2145</v>
      </c>
      <c r="G679" s="5" t="s">
        <v>15</v>
      </c>
      <c r="H679" s="6">
        <f>SUMIFS(InventTrans!F:F,InventTrans!B:B,AtlasReport_3_Table_1[[#This Row],[Lot ID]],InventTrans!C:C,AtlasReport_3_Table_1[[#This Row],[Ship date]])</f>
        <v>2145</v>
      </c>
      <c r="I679" s="5" t="s">
        <v>15</v>
      </c>
      <c r="J679" s="5" t="s">
        <v>930</v>
      </c>
    </row>
    <row r="680" spans="1:10" x14ac:dyDescent="0.15">
      <c r="A680" s="5" t="s">
        <v>48</v>
      </c>
      <c r="B680" s="5" t="s">
        <v>160</v>
      </c>
      <c r="C680" s="5" t="s">
        <v>35</v>
      </c>
      <c r="D680" s="5" t="s">
        <v>36</v>
      </c>
      <c r="E680" s="9">
        <v>43739</v>
      </c>
      <c r="F680" s="6">
        <v>1950</v>
      </c>
      <c r="G680" s="5" t="s">
        <v>15</v>
      </c>
      <c r="H680" s="6">
        <f>SUMIFS(InventTrans!F:F,InventTrans!B:B,AtlasReport_3_Table_1[[#This Row],[Lot ID]],InventTrans!C:C,AtlasReport_3_Table_1[[#This Row],[Ship date]])</f>
        <v>1950</v>
      </c>
      <c r="I680" s="5" t="s">
        <v>15</v>
      </c>
      <c r="J680" s="5" t="s">
        <v>931</v>
      </c>
    </row>
    <row r="681" spans="1:10" x14ac:dyDescent="0.15">
      <c r="A681" s="5" t="s">
        <v>48</v>
      </c>
      <c r="B681" s="5" t="s">
        <v>160</v>
      </c>
      <c r="C681" s="5" t="s">
        <v>40</v>
      </c>
      <c r="D681" s="5" t="s">
        <v>36</v>
      </c>
      <c r="E681" s="9">
        <v>43739</v>
      </c>
      <c r="F681" s="6">
        <v>1500</v>
      </c>
      <c r="G681" s="5" t="s">
        <v>15</v>
      </c>
      <c r="H681" s="6">
        <f>SUMIFS(InventTrans!F:F,InventTrans!B:B,AtlasReport_3_Table_1[[#This Row],[Lot ID]],InventTrans!C:C,AtlasReport_3_Table_1[[#This Row],[Ship date]])</f>
        <v>1500</v>
      </c>
      <c r="I681" s="5" t="s">
        <v>15</v>
      </c>
      <c r="J681" s="5" t="s">
        <v>932</v>
      </c>
    </row>
    <row r="682" spans="1:10" x14ac:dyDescent="0.15">
      <c r="A682" s="5" t="s">
        <v>48</v>
      </c>
      <c r="B682" s="5" t="s">
        <v>161</v>
      </c>
      <c r="C682" s="5" t="s">
        <v>35</v>
      </c>
      <c r="D682" s="5" t="s">
        <v>36</v>
      </c>
      <c r="E682" s="9">
        <v>43739</v>
      </c>
      <c r="F682" s="6">
        <v>4387.5</v>
      </c>
      <c r="G682" s="5" t="s">
        <v>15</v>
      </c>
      <c r="H682" s="6">
        <f>SUMIFS(InventTrans!F:F,InventTrans!B:B,AtlasReport_3_Table_1[[#This Row],[Lot ID]],InventTrans!C:C,AtlasReport_3_Table_1[[#This Row],[Ship date]])</f>
        <v>4387.5</v>
      </c>
      <c r="I682" s="5" t="s">
        <v>15</v>
      </c>
      <c r="J682" s="5" t="s">
        <v>933</v>
      </c>
    </row>
    <row r="683" spans="1:10" x14ac:dyDescent="0.15">
      <c r="A683" s="5" t="s">
        <v>48</v>
      </c>
      <c r="B683" s="5" t="s">
        <v>162</v>
      </c>
      <c r="C683" s="5" t="s">
        <v>37</v>
      </c>
      <c r="D683" s="5" t="s">
        <v>38</v>
      </c>
      <c r="E683" s="9">
        <v>43739</v>
      </c>
      <c r="F683" s="6">
        <v>2925</v>
      </c>
      <c r="G683" s="5" t="s">
        <v>15</v>
      </c>
      <c r="H683" s="6">
        <f>SUMIFS(InventTrans!F:F,InventTrans!B:B,AtlasReport_3_Table_1[[#This Row],[Lot ID]],InventTrans!C:C,AtlasReport_3_Table_1[[#This Row],[Ship date]])</f>
        <v>2925</v>
      </c>
      <c r="I683" s="5" t="s">
        <v>15</v>
      </c>
      <c r="J683" s="5" t="s">
        <v>934</v>
      </c>
    </row>
    <row r="684" spans="1:10" x14ac:dyDescent="0.15">
      <c r="A684" s="5" t="s">
        <v>48</v>
      </c>
      <c r="B684" s="5" t="s">
        <v>163</v>
      </c>
      <c r="C684" s="5" t="s">
        <v>37</v>
      </c>
      <c r="D684" s="5" t="s">
        <v>38</v>
      </c>
      <c r="E684" s="9">
        <v>43740</v>
      </c>
      <c r="F684" s="6">
        <v>2145</v>
      </c>
      <c r="G684" s="5" t="s">
        <v>15</v>
      </c>
      <c r="H684" s="6">
        <f>SUMIFS(InventTrans!F:F,InventTrans!B:B,AtlasReport_3_Table_1[[#This Row],[Lot ID]],InventTrans!C:C,AtlasReport_3_Table_1[[#This Row],[Ship date]])</f>
        <v>2145</v>
      </c>
      <c r="I684" s="5" t="s">
        <v>15</v>
      </c>
      <c r="J684" s="5" t="s">
        <v>935</v>
      </c>
    </row>
    <row r="685" spans="1:10" x14ac:dyDescent="0.15">
      <c r="A685" s="5" t="s">
        <v>48</v>
      </c>
      <c r="B685" s="5" t="s">
        <v>164</v>
      </c>
      <c r="C685" s="5" t="s">
        <v>35</v>
      </c>
      <c r="D685" s="5" t="s">
        <v>36</v>
      </c>
      <c r="E685" s="9">
        <v>43740</v>
      </c>
      <c r="F685" s="6">
        <v>4485</v>
      </c>
      <c r="G685" s="5" t="s">
        <v>15</v>
      </c>
      <c r="H685" s="6">
        <f>SUMIFS(InventTrans!F:F,InventTrans!B:B,AtlasReport_3_Table_1[[#This Row],[Lot ID]],InventTrans!C:C,AtlasReport_3_Table_1[[#This Row],[Ship date]])</f>
        <v>4485</v>
      </c>
      <c r="I685" s="5" t="s">
        <v>15</v>
      </c>
      <c r="J685" s="5" t="s">
        <v>936</v>
      </c>
    </row>
    <row r="686" spans="1:10" x14ac:dyDescent="0.15">
      <c r="A686" s="5" t="s">
        <v>48</v>
      </c>
      <c r="B686" s="5" t="s">
        <v>937</v>
      </c>
      <c r="C686" s="5" t="s">
        <v>37</v>
      </c>
      <c r="D686" s="5" t="s">
        <v>38</v>
      </c>
      <c r="E686" s="9">
        <v>43740</v>
      </c>
      <c r="F686" s="6">
        <v>195</v>
      </c>
      <c r="G686" s="5" t="s">
        <v>15</v>
      </c>
      <c r="H686" s="6">
        <f>SUMIFS(InventTrans!F:F,InventTrans!B:B,AtlasReport_3_Table_1[[#This Row],[Lot ID]],InventTrans!C:C,AtlasReport_3_Table_1[[#This Row],[Ship date]])</f>
        <v>195</v>
      </c>
      <c r="I686" s="5" t="s">
        <v>15</v>
      </c>
      <c r="J686" s="5" t="s">
        <v>938</v>
      </c>
    </row>
    <row r="687" spans="1:10" x14ac:dyDescent="0.15">
      <c r="A687" s="5" t="s">
        <v>48</v>
      </c>
      <c r="B687" s="5" t="s">
        <v>937</v>
      </c>
      <c r="C687" s="5" t="s">
        <v>43</v>
      </c>
      <c r="D687" s="5" t="s">
        <v>38</v>
      </c>
      <c r="E687" s="9">
        <v>43740</v>
      </c>
      <c r="F687" s="6">
        <v>97</v>
      </c>
      <c r="G687" s="5" t="s">
        <v>15</v>
      </c>
      <c r="H687" s="6">
        <f>SUMIFS(InventTrans!F:F,InventTrans!B:B,AtlasReport_3_Table_1[[#This Row],[Lot ID]],InventTrans!C:C,AtlasReport_3_Table_1[[#This Row],[Ship date]])</f>
        <v>97</v>
      </c>
      <c r="I687" s="5" t="s">
        <v>15</v>
      </c>
      <c r="J687" s="5" t="s">
        <v>939</v>
      </c>
    </row>
    <row r="688" spans="1:10" x14ac:dyDescent="0.15">
      <c r="A688" s="5" t="s">
        <v>48</v>
      </c>
      <c r="B688" s="5" t="s">
        <v>165</v>
      </c>
      <c r="C688" s="5" t="s">
        <v>37</v>
      </c>
      <c r="D688" s="5" t="s">
        <v>38</v>
      </c>
      <c r="E688" s="9">
        <v>43741</v>
      </c>
      <c r="F688" s="6">
        <v>5070</v>
      </c>
      <c r="G688" s="5" t="s">
        <v>15</v>
      </c>
      <c r="H688" s="6">
        <f>SUMIFS(InventTrans!F:F,InventTrans!B:B,AtlasReport_3_Table_1[[#This Row],[Lot ID]],InventTrans!C:C,AtlasReport_3_Table_1[[#This Row],[Ship date]])</f>
        <v>5070</v>
      </c>
      <c r="I688" s="5" t="s">
        <v>15</v>
      </c>
      <c r="J688" s="5" t="s">
        <v>940</v>
      </c>
    </row>
    <row r="689" spans="1:10" x14ac:dyDescent="0.15">
      <c r="A689" s="5" t="s">
        <v>48</v>
      </c>
      <c r="B689" s="5" t="s">
        <v>941</v>
      </c>
      <c r="C689" s="5" t="s">
        <v>35</v>
      </c>
      <c r="D689" s="5" t="s">
        <v>36</v>
      </c>
      <c r="E689" s="9">
        <v>43741</v>
      </c>
      <c r="F689" s="6">
        <v>3705</v>
      </c>
      <c r="G689" s="5" t="s">
        <v>15</v>
      </c>
      <c r="H689" s="6">
        <f>SUMIFS(InventTrans!F:F,InventTrans!B:B,AtlasReport_3_Table_1[[#This Row],[Lot ID]],InventTrans!C:C,AtlasReport_3_Table_1[[#This Row],[Ship date]])</f>
        <v>3705</v>
      </c>
      <c r="I689" s="5" t="s">
        <v>15</v>
      </c>
      <c r="J689" s="5" t="s">
        <v>942</v>
      </c>
    </row>
    <row r="690" spans="1:10" x14ac:dyDescent="0.15">
      <c r="A690" s="5" t="s">
        <v>48</v>
      </c>
      <c r="B690" s="5" t="s">
        <v>943</v>
      </c>
      <c r="C690" s="5" t="s">
        <v>37</v>
      </c>
      <c r="D690" s="5" t="s">
        <v>38</v>
      </c>
      <c r="E690" s="9">
        <v>43741</v>
      </c>
      <c r="F690" s="6">
        <v>2535</v>
      </c>
      <c r="G690" s="5" t="s">
        <v>15</v>
      </c>
      <c r="H690" s="6">
        <f>SUMIFS(InventTrans!F:F,InventTrans!B:B,AtlasReport_3_Table_1[[#This Row],[Lot ID]],InventTrans!C:C,AtlasReport_3_Table_1[[#This Row],[Ship date]])</f>
        <v>2535</v>
      </c>
      <c r="I690" s="5" t="s">
        <v>15</v>
      </c>
      <c r="J690" s="5" t="s">
        <v>944</v>
      </c>
    </row>
    <row r="691" spans="1:10" x14ac:dyDescent="0.15">
      <c r="A691" s="5" t="s">
        <v>48</v>
      </c>
      <c r="B691" s="5" t="s">
        <v>166</v>
      </c>
      <c r="C691" s="5" t="s">
        <v>37</v>
      </c>
      <c r="D691" s="5" t="s">
        <v>38</v>
      </c>
      <c r="E691" s="9">
        <v>43742</v>
      </c>
      <c r="F691" s="6">
        <v>-2535</v>
      </c>
      <c r="G691" s="5" t="s">
        <v>15</v>
      </c>
      <c r="H691" s="6">
        <f>SUMIFS(InventTrans!F:F,InventTrans!B:B,AtlasReport_3_Table_1[[#This Row],[Lot ID]],InventTrans!C:C,AtlasReport_3_Table_1[[#This Row],[Ship date]])</f>
        <v>-2535</v>
      </c>
      <c r="I691" s="5" t="s">
        <v>15</v>
      </c>
      <c r="J691" s="5" t="s">
        <v>945</v>
      </c>
    </row>
    <row r="692" spans="1:10" x14ac:dyDescent="0.15">
      <c r="A692" s="5" t="s">
        <v>48</v>
      </c>
      <c r="B692" s="5" t="s">
        <v>166</v>
      </c>
      <c r="C692" s="5" t="s">
        <v>37</v>
      </c>
      <c r="D692" s="5" t="s">
        <v>38</v>
      </c>
      <c r="E692" s="9">
        <v>43742</v>
      </c>
      <c r="F692" s="6">
        <v>2437.5</v>
      </c>
      <c r="G692" s="5" t="s">
        <v>15</v>
      </c>
      <c r="H692" s="6">
        <f>SUMIFS(InventTrans!F:F,InventTrans!B:B,AtlasReport_3_Table_1[[#This Row],[Lot ID]],InventTrans!C:C,AtlasReport_3_Table_1[[#This Row],[Ship date]])</f>
        <v>2437.5</v>
      </c>
      <c r="I692" s="5" t="s">
        <v>15</v>
      </c>
      <c r="J692" s="5" t="s">
        <v>946</v>
      </c>
    </row>
    <row r="693" spans="1:10" ht="27" x14ac:dyDescent="0.15">
      <c r="A693" s="5" t="s">
        <v>48</v>
      </c>
      <c r="B693" s="5" t="s">
        <v>167</v>
      </c>
      <c r="C693" s="5" t="s">
        <v>49</v>
      </c>
      <c r="D693" s="7" t="s">
        <v>50</v>
      </c>
      <c r="E693" s="9">
        <v>43742</v>
      </c>
      <c r="F693" s="6">
        <v>1500</v>
      </c>
      <c r="G693" s="5" t="s">
        <v>15</v>
      </c>
      <c r="H693" s="6">
        <f>SUMIFS(InventTrans!F:F,InventTrans!B:B,AtlasReport_3_Table_1[[#This Row],[Lot ID]],InventTrans!C:C,AtlasReport_3_Table_1[[#This Row],[Ship date]])</f>
        <v>1500</v>
      </c>
      <c r="I693" s="5" t="s">
        <v>15</v>
      </c>
      <c r="J693" s="5" t="s">
        <v>947</v>
      </c>
    </row>
    <row r="694" spans="1:10" x14ac:dyDescent="0.15">
      <c r="A694" s="5" t="s">
        <v>48</v>
      </c>
      <c r="B694" s="5" t="s">
        <v>168</v>
      </c>
      <c r="C694" s="5" t="s">
        <v>37</v>
      </c>
      <c r="D694" s="5" t="s">
        <v>38</v>
      </c>
      <c r="E694" s="9">
        <v>43745</v>
      </c>
      <c r="F694" s="6">
        <v>4875</v>
      </c>
      <c r="G694" s="5" t="s">
        <v>15</v>
      </c>
      <c r="H694" s="6">
        <f>SUMIFS(InventTrans!F:F,InventTrans!B:B,AtlasReport_3_Table_1[[#This Row],[Lot ID]],InventTrans!C:C,AtlasReport_3_Table_1[[#This Row],[Ship date]])</f>
        <v>4875</v>
      </c>
      <c r="I694" s="5" t="s">
        <v>15</v>
      </c>
      <c r="J694" s="5" t="s">
        <v>948</v>
      </c>
    </row>
    <row r="695" spans="1:10" x14ac:dyDescent="0.15">
      <c r="A695" s="5" t="s">
        <v>48</v>
      </c>
      <c r="B695" s="5" t="s">
        <v>169</v>
      </c>
      <c r="C695" s="5" t="s">
        <v>35</v>
      </c>
      <c r="D695" s="5" t="s">
        <v>36</v>
      </c>
      <c r="E695" s="9">
        <v>43745</v>
      </c>
      <c r="F695" s="6">
        <v>390</v>
      </c>
      <c r="G695" s="5" t="s">
        <v>15</v>
      </c>
      <c r="H695" s="6">
        <f>SUMIFS(InventTrans!F:F,InventTrans!B:B,AtlasReport_3_Table_1[[#This Row],[Lot ID]],InventTrans!C:C,AtlasReport_3_Table_1[[#This Row],[Ship date]])</f>
        <v>390</v>
      </c>
      <c r="I695" s="5" t="s">
        <v>15</v>
      </c>
      <c r="J695" s="5" t="s">
        <v>949</v>
      </c>
    </row>
    <row r="696" spans="1:10" x14ac:dyDescent="0.15">
      <c r="A696" s="5" t="s">
        <v>48</v>
      </c>
      <c r="B696" s="5" t="s">
        <v>170</v>
      </c>
      <c r="C696" s="5" t="s">
        <v>35</v>
      </c>
      <c r="D696" s="5" t="s">
        <v>36</v>
      </c>
      <c r="E696" s="9">
        <v>43742</v>
      </c>
      <c r="F696" s="6">
        <v>975</v>
      </c>
      <c r="G696" s="5" t="s">
        <v>15</v>
      </c>
      <c r="H696" s="6">
        <f>SUMIFS(InventTrans!F:F,InventTrans!B:B,AtlasReport_3_Table_1[[#This Row],[Lot ID]],InventTrans!C:C,AtlasReport_3_Table_1[[#This Row],[Ship date]])</f>
        <v>975</v>
      </c>
      <c r="I696" s="5" t="s">
        <v>15</v>
      </c>
      <c r="J696" s="5" t="s">
        <v>950</v>
      </c>
    </row>
    <row r="697" spans="1:10" x14ac:dyDescent="0.15">
      <c r="A697" s="5" t="s">
        <v>48</v>
      </c>
      <c r="B697" s="5" t="s">
        <v>171</v>
      </c>
      <c r="C697" s="5" t="s">
        <v>42</v>
      </c>
      <c r="D697" s="5" t="s">
        <v>38</v>
      </c>
      <c r="E697" s="9">
        <v>43746</v>
      </c>
      <c r="F697" s="6">
        <v>3000</v>
      </c>
      <c r="G697" s="5" t="s">
        <v>15</v>
      </c>
      <c r="H697" s="6">
        <f>SUMIFS(InventTrans!F:F,InventTrans!B:B,AtlasReport_3_Table_1[[#This Row],[Lot ID]],InventTrans!C:C,AtlasReport_3_Table_1[[#This Row],[Ship date]])</f>
        <v>3000</v>
      </c>
      <c r="I697" s="5" t="s">
        <v>15</v>
      </c>
      <c r="J697" s="5" t="s">
        <v>951</v>
      </c>
    </row>
    <row r="698" spans="1:10" x14ac:dyDescent="0.15">
      <c r="A698" s="5" t="s">
        <v>48</v>
      </c>
      <c r="B698" s="5" t="s">
        <v>171</v>
      </c>
      <c r="C698" s="5" t="s">
        <v>37</v>
      </c>
      <c r="D698" s="5" t="s">
        <v>38</v>
      </c>
      <c r="E698" s="9">
        <v>43746</v>
      </c>
      <c r="F698" s="6">
        <v>1950</v>
      </c>
      <c r="G698" s="5" t="s">
        <v>15</v>
      </c>
      <c r="H698" s="6">
        <f>SUMIFS(InventTrans!F:F,InventTrans!B:B,AtlasReport_3_Table_1[[#This Row],[Lot ID]],InventTrans!C:C,AtlasReport_3_Table_1[[#This Row],[Ship date]])</f>
        <v>1950</v>
      </c>
      <c r="I698" s="5" t="s">
        <v>15</v>
      </c>
      <c r="J698" s="5" t="s">
        <v>952</v>
      </c>
    </row>
    <row r="699" spans="1:10" x14ac:dyDescent="0.15">
      <c r="A699" s="5" t="s">
        <v>48</v>
      </c>
      <c r="B699" s="5" t="s">
        <v>172</v>
      </c>
      <c r="C699" s="5" t="s">
        <v>37</v>
      </c>
      <c r="D699" s="5" t="s">
        <v>38</v>
      </c>
      <c r="E699" s="9">
        <v>43746</v>
      </c>
      <c r="F699" s="6">
        <v>6337.5</v>
      </c>
      <c r="G699" s="5" t="s">
        <v>15</v>
      </c>
      <c r="H699" s="6">
        <f>SUMIFS(InventTrans!F:F,InventTrans!B:B,AtlasReport_3_Table_1[[#This Row],[Lot ID]],InventTrans!C:C,AtlasReport_3_Table_1[[#This Row],[Ship date]])</f>
        <v>6337.5</v>
      </c>
      <c r="I699" s="5" t="s">
        <v>15</v>
      </c>
      <c r="J699" s="5" t="s">
        <v>953</v>
      </c>
    </row>
    <row r="700" spans="1:10" x14ac:dyDescent="0.15">
      <c r="A700" s="5" t="s">
        <v>48</v>
      </c>
      <c r="B700" s="5" t="s">
        <v>172</v>
      </c>
      <c r="C700" s="5" t="s">
        <v>43</v>
      </c>
      <c r="D700" s="5" t="s">
        <v>38</v>
      </c>
      <c r="E700" s="9">
        <v>43746</v>
      </c>
      <c r="F700" s="6">
        <v>388</v>
      </c>
      <c r="G700" s="5" t="s">
        <v>15</v>
      </c>
      <c r="H700" s="6">
        <f>SUMIFS(InventTrans!F:F,InventTrans!B:B,AtlasReport_3_Table_1[[#This Row],[Lot ID]],InventTrans!C:C,AtlasReport_3_Table_1[[#This Row],[Ship date]])</f>
        <v>388</v>
      </c>
      <c r="I700" s="5" t="s">
        <v>15</v>
      </c>
      <c r="J700" s="5" t="s">
        <v>954</v>
      </c>
    </row>
    <row r="701" spans="1:10" x14ac:dyDescent="0.15">
      <c r="A701" s="5" t="s">
        <v>48</v>
      </c>
      <c r="B701" s="5" t="s">
        <v>955</v>
      </c>
      <c r="C701" s="5" t="s">
        <v>42</v>
      </c>
      <c r="D701" s="5" t="s">
        <v>38</v>
      </c>
      <c r="E701" s="9">
        <v>43746</v>
      </c>
      <c r="F701" s="6">
        <v>3000</v>
      </c>
      <c r="G701" s="5" t="s">
        <v>15</v>
      </c>
      <c r="H701" s="6">
        <f>SUMIFS(InventTrans!F:F,InventTrans!B:B,AtlasReport_3_Table_1[[#This Row],[Lot ID]],InventTrans!C:C,AtlasReport_3_Table_1[[#This Row],[Ship date]])</f>
        <v>3000</v>
      </c>
      <c r="I701" s="5" t="s">
        <v>15</v>
      </c>
      <c r="J701" s="5" t="s">
        <v>956</v>
      </c>
    </row>
    <row r="702" spans="1:10" x14ac:dyDescent="0.15">
      <c r="A702" s="5" t="s">
        <v>48</v>
      </c>
      <c r="B702" s="5" t="s">
        <v>955</v>
      </c>
      <c r="C702" s="5" t="s">
        <v>37</v>
      </c>
      <c r="D702" s="5" t="s">
        <v>38</v>
      </c>
      <c r="E702" s="9">
        <v>43746</v>
      </c>
      <c r="F702" s="6">
        <v>7897.5</v>
      </c>
      <c r="G702" s="5" t="s">
        <v>15</v>
      </c>
      <c r="H702" s="6">
        <f>SUMIFS(InventTrans!F:F,InventTrans!B:B,AtlasReport_3_Table_1[[#This Row],[Lot ID]],InventTrans!C:C,AtlasReport_3_Table_1[[#This Row],[Ship date]])</f>
        <v>7897.5</v>
      </c>
      <c r="I702" s="5" t="s">
        <v>15</v>
      </c>
      <c r="J702" s="5" t="s">
        <v>957</v>
      </c>
    </row>
    <row r="703" spans="1:10" x14ac:dyDescent="0.15">
      <c r="A703" s="5" t="s">
        <v>48</v>
      </c>
      <c r="B703" s="5" t="s">
        <v>173</v>
      </c>
      <c r="C703" s="5" t="s">
        <v>35</v>
      </c>
      <c r="D703" s="5" t="s">
        <v>36</v>
      </c>
      <c r="E703" s="9">
        <v>43746</v>
      </c>
      <c r="F703" s="6">
        <v>3022.5</v>
      </c>
      <c r="G703" s="5" t="s">
        <v>15</v>
      </c>
      <c r="H703" s="6">
        <f>SUMIFS(InventTrans!F:F,InventTrans!B:B,AtlasReport_3_Table_1[[#This Row],[Lot ID]],InventTrans!C:C,AtlasReport_3_Table_1[[#This Row],[Ship date]])</f>
        <v>3022.5</v>
      </c>
      <c r="I703" s="5" t="s">
        <v>15</v>
      </c>
      <c r="J703" s="5" t="s">
        <v>958</v>
      </c>
    </row>
    <row r="704" spans="1:10" x14ac:dyDescent="0.15">
      <c r="A704" s="5" t="s">
        <v>48</v>
      </c>
      <c r="B704" s="5" t="s">
        <v>959</v>
      </c>
      <c r="C704" s="5" t="s">
        <v>37</v>
      </c>
      <c r="D704" s="5" t="s">
        <v>38</v>
      </c>
      <c r="E704" s="9">
        <v>43747</v>
      </c>
      <c r="F704" s="6">
        <v>3997.5</v>
      </c>
      <c r="G704" s="5" t="s">
        <v>15</v>
      </c>
      <c r="H704" s="6">
        <f>SUMIFS(InventTrans!F:F,InventTrans!B:B,AtlasReport_3_Table_1[[#This Row],[Lot ID]],InventTrans!C:C,AtlasReport_3_Table_1[[#This Row],[Ship date]])</f>
        <v>3997.5</v>
      </c>
      <c r="I704" s="5" t="s">
        <v>15</v>
      </c>
      <c r="J704" s="5" t="s">
        <v>960</v>
      </c>
    </row>
    <row r="705" spans="1:10" x14ac:dyDescent="0.15">
      <c r="A705" s="5" t="s">
        <v>48</v>
      </c>
      <c r="B705" s="5" t="s">
        <v>961</v>
      </c>
      <c r="C705" s="5" t="s">
        <v>43</v>
      </c>
      <c r="D705" s="5" t="s">
        <v>38</v>
      </c>
      <c r="E705" s="9">
        <v>43747</v>
      </c>
      <c r="F705" s="6">
        <v>1212.5</v>
      </c>
      <c r="G705" s="5" t="s">
        <v>15</v>
      </c>
      <c r="H705" s="6">
        <f>SUMIFS(InventTrans!F:F,InventTrans!B:B,AtlasReport_3_Table_1[[#This Row],[Lot ID]],InventTrans!C:C,AtlasReport_3_Table_1[[#This Row],[Ship date]])</f>
        <v>1212.5</v>
      </c>
      <c r="I705" s="5" t="s">
        <v>15</v>
      </c>
      <c r="J705" s="5" t="s">
        <v>962</v>
      </c>
    </row>
    <row r="706" spans="1:10" x14ac:dyDescent="0.15">
      <c r="A706" s="5" t="s">
        <v>48</v>
      </c>
      <c r="B706" s="5" t="s">
        <v>961</v>
      </c>
      <c r="C706" s="5" t="s">
        <v>37</v>
      </c>
      <c r="D706" s="5" t="s">
        <v>38</v>
      </c>
      <c r="E706" s="9">
        <v>43747</v>
      </c>
      <c r="F706" s="6">
        <v>4875</v>
      </c>
      <c r="G706" s="5" t="s">
        <v>15</v>
      </c>
      <c r="H706" s="6">
        <f>SUMIFS(InventTrans!F:F,InventTrans!B:B,AtlasReport_3_Table_1[[#This Row],[Lot ID]],InventTrans!C:C,AtlasReport_3_Table_1[[#This Row],[Ship date]])</f>
        <v>4875</v>
      </c>
      <c r="I706" s="5" t="s">
        <v>15</v>
      </c>
      <c r="J706" s="5" t="s">
        <v>963</v>
      </c>
    </row>
    <row r="707" spans="1:10" x14ac:dyDescent="0.15">
      <c r="A707" s="5" t="s">
        <v>48</v>
      </c>
      <c r="B707" s="5" t="s">
        <v>964</v>
      </c>
      <c r="C707" s="5" t="s">
        <v>35</v>
      </c>
      <c r="D707" s="5" t="s">
        <v>36</v>
      </c>
      <c r="E707" s="9">
        <v>43748</v>
      </c>
      <c r="F707" s="6">
        <v>195</v>
      </c>
      <c r="G707" s="5" t="s">
        <v>15</v>
      </c>
      <c r="H707" s="6">
        <f>SUMIFS(InventTrans!F:F,InventTrans!B:B,AtlasReport_3_Table_1[[#This Row],[Lot ID]],InventTrans!C:C,AtlasReport_3_Table_1[[#This Row],[Ship date]])</f>
        <v>195</v>
      </c>
      <c r="I707" s="5" t="s">
        <v>15</v>
      </c>
      <c r="J707" s="5" t="s">
        <v>965</v>
      </c>
    </row>
    <row r="708" spans="1:10" x14ac:dyDescent="0.15">
      <c r="A708" s="5" t="s">
        <v>48</v>
      </c>
      <c r="B708" s="5" t="s">
        <v>966</v>
      </c>
      <c r="C708" s="5" t="s">
        <v>41</v>
      </c>
      <c r="D708" s="5" t="s">
        <v>36</v>
      </c>
      <c r="E708" s="9">
        <v>43752</v>
      </c>
      <c r="F708" s="6">
        <v>97</v>
      </c>
      <c r="G708" s="5" t="s">
        <v>15</v>
      </c>
      <c r="H708" s="6">
        <f>SUMIFS(InventTrans!F:F,InventTrans!B:B,AtlasReport_3_Table_1[[#This Row],[Lot ID]],InventTrans!C:C,AtlasReport_3_Table_1[[#This Row],[Ship date]])</f>
        <v>97</v>
      </c>
      <c r="I708" s="5" t="s">
        <v>15</v>
      </c>
      <c r="J708" s="5" t="s">
        <v>967</v>
      </c>
    </row>
    <row r="709" spans="1:10" x14ac:dyDescent="0.15">
      <c r="A709" s="5" t="s">
        <v>48</v>
      </c>
      <c r="B709" s="5" t="s">
        <v>966</v>
      </c>
      <c r="C709" s="5" t="s">
        <v>40</v>
      </c>
      <c r="D709" s="5" t="s">
        <v>36</v>
      </c>
      <c r="E709" s="9">
        <v>43752</v>
      </c>
      <c r="F709" s="6">
        <v>4650</v>
      </c>
      <c r="G709" s="5" t="s">
        <v>15</v>
      </c>
      <c r="H709" s="6">
        <f>SUMIFS(InventTrans!F:F,InventTrans!B:B,AtlasReport_3_Table_1[[#This Row],[Lot ID]],InventTrans!C:C,AtlasReport_3_Table_1[[#This Row],[Ship date]])</f>
        <v>4650</v>
      </c>
      <c r="I709" s="5" t="s">
        <v>15</v>
      </c>
      <c r="J709" s="5" t="s">
        <v>968</v>
      </c>
    </row>
    <row r="710" spans="1:10" x14ac:dyDescent="0.15">
      <c r="A710" s="5" t="s">
        <v>48</v>
      </c>
      <c r="B710" s="5" t="s">
        <v>966</v>
      </c>
      <c r="C710" s="5" t="s">
        <v>35</v>
      </c>
      <c r="D710" s="5" t="s">
        <v>36</v>
      </c>
      <c r="E710" s="9">
        <v>43752</v>
      </c>
      <c r="F710" s="6">
        <v>18135</v>
      </c>
      <c r="G710" s="5" t="s">
        <v>15</v>
      </c>
      <c r="H710" s="6">
        <f>SUMIFS(InventTrans!F:F,InventTrans!B:B,AtlasReport_3_Table_1[[#This Row],[Lot ID]],InventTrans!C:C,AtlasReport_3_Table_1[[#This Row],[Ship date]])</f>
        <v>18135</v>
      </c>
      <c r="I710" s="5" t="s">
        <v>15</v>
      </c>
      <c r="J710" s="5" t="s">
        <v>969</v>
      </c>
    </row>
    <row r="711" spans="1:10" x14ac:dyDescent="0.15">
      <c r="A711" s="5" t="s">
        <v>48</v>
      </c>
      <c r="B711" s="5" t="s">
        <v>175</v>
      </c>
      <c r="C711" s="5" t="s">
        <v>37</v>
      </c>
      <c r="D711" s="5" t="s">
        <v>38</v>
      </c>
      <c r="E711" s="9">
        <v>43753</v>
      </c>
      <c r="F711" s="6">
        <v>2145</v>
      </c>
      <c r="G711" s="5" t="s">
        <v>15</v>
      </c>
      <c r="H711" s="6">
        <f>SUMIFS(InventTrans!F:F,InventTrans!B:B,AtlasReport_3_Table_1[[#This Row],[Lot ID]],InventTrans!C:C,AtlasReport_3_Table_1[[#This Row],[Ship date]])</f>
        <v>2145</v>
      </c>
      <c r="I711" s="5" t="s">
        <v>15</v>
      </c>
      <c r="J711" s="5" t="s">
        <v>970</v>
      </c>
    </row>
    <row r="712" spans="1:10" x14ac:dyDescent="0.15">
      <c r="A712" s="5" t="s">
        <v>48</v>
      </c>
      <c r="B712" s="5" t="s">
        <v>175</v>
      </c>
      <c r="C712" s="5" t="s">
        <v>37</v>
      </c>
      <c r="D712" s="5" t="s">
        <v>38</v>
      </c>
      <c r="E712" s="9">
        <v>43753</v>
      </c>
      <c r="F712" s="6">
        <v>-2145</v>
      </c>
      <c r="G712" s="5" t="s">
        <v>15</v>
      </c>
      <c r="H712" s="6">
        <f>SUMIFS(InventTrans!F:F,InventTrans!B:B,AtlasReport_3_Table_1[[#This Row],[Lot ID]],InventTrans!C:C,AtlasReport_3_Table_1[[#This Row],[Ship date]])</f>
        <v>-2145</v>
      </c>
      <c r="I712" s="5" t="s">
        <v>15</v>
      </c>
      <c r="J712" s="5" t="s">
        <v>971</v>
      </c>
    </row>
    <row r="713" spans="1:10" x14ac:dyDescent="0.15">
      <c r="A713" s="5" t="s">
        <v>48</v>
      </c>
      <c r="B713" s="5" t="s">
        <v>175</v>
      </c>
      <c r="C713" s="5" t="s">
        <v>43</v>
      </c>
      <c r="D713" s="5" t="s">
        <v>38</v>
      </c>
      <c r="E713" s="9">
        <v>43753</v>
      </c>
      <c r="F713" s="6">
        <v>2134</v>
      </c>
      <c r="G713" s="5" t="s">
        <v>15</v>
      </c>
      <c r="H713" s="6">
        <f>SUMIFS(InventTrans!F:F,InventTrans!B:B,AtlasReport_3_Table_1[[#This Row],[Lot ID]],InventTrans!C:C,AtlasReport_3_Table_1[[#This Row],[Ship date]])</f>
        <v>2134</v>
      </c>
      <c r="I713" s="5" t="s">
        <v>15</v>
      </c>
      <c r="J713" s="5" t="s">
        <v>972</v>
      </c>
    </row>
    <row r="714" spans="1:10" x14ac:dyDescent="0.15">
      <c r="A714" s="5" t="s">
        <v>48</v>
      </c>
      <c r="B714" s="5" t="s">
        <v>176</v>
      </c>
      <c r="C714" s="5" t="s">
        <v>37</v>
      </c>
      <c r="D714" s="5" t="s">
        <v>38</v>
      </c>
      <c r="E714" s="9">
        <v>43753</v>
      </c>
      <c r="F714" s="6">
        <v>7800</v>
      </c>
      <c r="G714" s="5" t="s">
        <v>15</v>
      </c>
      <c r="H714" s="6">
        <f>SUMIFS(InventTrans!F:F,InventTrans!B:B,AtlasReport_3_Table_1[[#This Row],[Lot ID]],InventTrans!C:C,AtlasReport_3_Table_1[[#This Row],[Ship date]])</f>
        <v>7800</v>
      </c>
      <c r="I714" s="5" t="s">
        <v>15</v>
      </c>
      <c r="J714" s="5" t="s">
        <v>973</v>
      </c>
    </row>
    <row r="715" spans="1:10" x14ac:dyDescent="0.15">
      <c r="A715" s="5" t="s">
        <v>48</v>
      </c>
      <c r="B715" s="5" t="s">
        <v>176</v>
      </c>
      <c r="C715" s="5" t="s">
        <v>35</v>
      </c>
      <c r="D715" s="5" t="s">
        <v>36</v>
      </c>
      <c r="E715" s="9">
        <v>43753</v>
      </c>
      <c r="F715" s="6">
        <v>5850</v>
      </c>
      <c r="G715" s="5" t="s">
        <v>15</v>
      </c>
      <c r="H715" s="6">
        <f>SUMIFS(InventTrans!F:F,InventTrans!B:B,AtlasReport_3_Table_1[[#This Row],[Lot ID]],InventTrans!C:C,AtlasReport_3_Table_1[[#This Row],[Ship date]])</f>
        <v>5850</v>
      </c>
      <c r="I715" s="5" t="s">
        <v>15</v>
      </c>
      <c r="J715" s="5" t="s">
        <v>974</v>
      </c>
    </row>
    <row r="716" spans="1:10" x14ac:dyDescent="0.15">
      <c r="A716" s="5" t="s">
        <v>48</v>
      </c>
      <c r="B716" s="5" t="s">
        <v>177</v>
      </c>
      <c r="C716" s="5" t="s">
        <v>42</v>
      </c>
      <c r="D716" s="5" t="s">
        <v>38</v>
      </c>
      <c r="E716" s="9">
        <v>43753</v>
      </c>
      <c r="F716" s="6">
        <v>3750</v>
      </c>
      <c r="G716" s="5" t="s">
        <v>15</v>
      </c>
      <c r="H716" s="6">
        <f>SUMIFS(InventTrans!F:F,InventTrans!B:B,AtlasReport_3_Table_1[[#This Row],[Lot ID]],InventTrans!C:C,AtlasReport_3_Table_1[[#This Row],[Ship date]])</f>
        <v>3750</v>
      </c>
      <c r="I716" s="5" t="s">
        <v>15</v>
      </c>
      <c r="J716" s="5" t="s">
        <v>975</v>
      </c>
    </row>
    <row r="717" spans="1:10" x14ac:dyDescent="0.15">
      <c r="A717" s="5" t="s">
        <v>48</v>
      </c>
      <c r="B717" s="5" t="s">
        <v>177</v>
      </c>
      <c r="C717" s="5" t="s">
        <v>37</v>
      </c>
      <c r="D717" s="5" t="s">
        <v>38</v>
      </c>
      <c r="E717" s="9">
        <v>43753</v>
      </c>
      <c r="F717" s="6">
        <v>2437.5</v>
      </c>
      <c r="G717" s="5" t="s">
        <v>15</v>
      </c>
      <c r="H717" s="6">
        <f>SUMIFS(InventTrans!F:F,InventTrans!B:B,AtlasReport_3_Table_1[[#This Row],[Lot ID]],InventTrans!C:C,AtlasReport_3_Table_1[[#This Row],[Ship date]])</f>
        <v>2437.5</v>
      </c>
      <c r="I717" s="5" t="s">
        <v>15</v>
      </c>
      <c r="J717" s="5" t="s">
        <v>976</v>
      </c>
    </row>
    <row r="718" spans="1:10" x14ac:dyDescent="0.15">
      <c r="A718" s="5" t="s">
        <v>48</v>
      </c>
      <c r="B718" s="5" t="s">
        <v>977</v>
      </c>
      <c r="C718" s="5" t="s">
        <v>37</v>
      </c>
      <c r="D718" s="5" t="s">
        <v>38</v>
      </c>
      <c r="E718" s="9">
        <v>43753</v>
      </c>
      <c r="F718" s="6">
        <v>8190</v>
      </c>
      <c r="G718" s="5" t="s">
        <v>15</v>
      </c>
      <c r="H718" s="6">
        <f>SUMIFS(InventTrans!F:F,InventTrans!B:B,AtlasReport_3_Table_1[[#This Row],[Lot ID]],InventTrans!C:C,AtlasReport_3_Table_1[[#This Row],[Ship date]])</f>
        <v>8190</v>
      </c>
      <c r="I718" s="5" t="s">
        <v>15</v>
      </c>
      <c r="J718" s="5" t="s">
        <v>978</v>
      </c>
    </row>
    <row r="719" spans="1:10" ht="27" x14ac:dyDescent="0.15">
      <c r="A719" s="5" t="s">
        <v>48</v>
      </c>
      <c r="B719" s="5" t="s">
        <v>178</v>
      </c>
      <c r="C719" s="5" t="s">
        <v>49</v>
      </c>
      <c r="D719" s="7" t="s">
        <v>50</v>
      </c>
      <c r="E719" s="9">
        <v>43753</v>
      </c>
      <c r="F719" s="6">
        <v>80</v>
      </c>
      <c r="G719" s="5" t="s">
        <v>15</v>
      </c>
      <c r="H719" s="6">
        <f>SUMIFS(InventTrans!F:F,InventTrans!B:B,AtlasReport_3_Table_1[[#This Row],[Lot ID]],InventTrans!C:C,AtlasReport_3_Table_1[[#This Row],[Ship date]])</f>
        <v>80</v>
      </c>
      <c r="I719" s="5" t="s">
        <v>15</v>
      </c>
      <c r="J719" s="5" t="s">
        <v>979</v>
      </c>
    </row>
    <row r="720" spans="1:10" x14ac:dyDescent="0.15">
      <c r="A720" s="5" t="s">
        <v>48</v>
      </c>
      <c r="B720" s="5" t="s">
        <v>179</v>
      </c>
      <c r="C720" s="5" t="s">
        <v>35</v>
      </c>
      <c r="D720" s="5" t="s">
        <v>36</v>
      </c>
      <c r="E720" s="9">
        <v>43754</v>
      </c>
      <c r="F720" s="6">
        <v>11992.5</v>
      </c>
      <c r="G720" s="5" t="s">
        <v>15</v>
      </c>
      <c r="H720" s="6">
        <f>SUMIFS(InventTrans!F:F,InventTrans!B:B,AtlasReport_3_Table_1[[#This Row],[Lot ID]],InventTrans!C:C,AtlasReport_3_Table_1[[#This Row],[Ship date]])</f>
        <v>11992.5</v>
      </c>
      <c r="I720" s="5" t="s">
        <v>15</v>
      </c>
      <c r="J720" s="5" t="s">
        <v>980</v>
      </c>
    </row>
    <row r="721" spans="1:10" x14ac:dyDescent="0.15">
      <c r="A721" s="5" t="s">
        <v>48</v>
      </c>
      <c r="B721" s="5" t="s">
        <v>180</v>
      </c>
      <c r="C721" s="5" t="s">
        <v>43</v>
      </c>
      <c r="D721" s="5" t="s">
        <v>38</v>
      </c>
      <c r="E721" s="9">
        <v>43754</v>
      </c>
      <c r="F721" s="6">
        <v>97</v>
      </c>
      <c r="G721" s="5" t="s">
        <v>15</v>
      </c>
      <c r="H721" s="6">
        <f>SUMIFS(InventTrans!F:F,InventTrans!B:B,AtlasReport_3_Table_1[[#This Row],[Lot ID]],InventTrans!C:C,AtlasReport_3_Table_1[[#This Row],[Ship date]])</f>
        <v>97</v>
      </c>
      <c r="I721" s="5" t="s">
        <v>15</v>
      </c>
      <c r="J721" s="5" t="s">
        <v>981</v>
      </c>
    </row>
    <row r="722" spans="1:10" x14ac:dyDescent="0.15">
      <c r="A722" s="5" t="s">
        <v>48</v>
      </c>
      <c r="B722" s="5" t="s">
        <v>180</v>
      </c>
      <c r="C722" s="5" t="s">
        <v>37</v>
      </c>
      <c r="D722" s="5" t="s">
        <v>38</v>
      </c>
      <c r="E722" s="9">
        <v>43754</v>
      </c>
      <c r="F722" s="6">
        <v>975</v>
      </c>
      <c r="G722" s="5" t="s">
        <v>15</v>
      </c>
      <c r="H722" s="6">
        <f>SUMIFS(InventTrans!F:F,InventTrans!B:B,AtlasReport_3_Table_1[[#This Row],[Lot ID]],InventTrans!C:C,AtlasReport_3_Table_1[[#This Row],[Ship date]])</f>
        <v>975</v>
      </c>
      <c r="I722" s="5" t="s">
        <v>15</v>
      </c>
      <c r="J722" s="5" t="s">
        <v>982</v>
      </c>
    </row>
    <row r="723" spans="1:10" x14ac:dyDescent="0.15">
      <c r="A723" s="5" t="s">
        <v>48</v>
      </c>
      <c r="B723" s="5" t="s">
        <v>983</v>
      </c>
      <c r="C723" s="5" t="s">
        <v>43</v>
      </c>
      <c r="D723" s="5" t="s">
        <v>38</v>
      </c>
      <c r="E723" s="9">
        <v>43755</v>
      </c>
      <c r="F723" s="6">
        <v>97</v>
      </c>
      <c r="G723" s="5" t="s">
        <v>15</v>
      </c>
      <c r="H723" s="6">
        <f>SUMIFS(InventTrans!F:F,InventTrans!B:B,AtlasReport_3_Table_1[[#This Row],[Lot ID]],InventTrans!C:C,AtlasReport_3_Table_1[[#This Row],[Ship date]])</f>
        <v>97</v>
      </c>
      <c r="I723" s="5" t="s">
        <v>15</v>
      </c>
      <c r="J723" s="5" t="s">
        <v>984</v>
      </c>
    </row>
    <row r="724" spans="1:10" x14ac:dyDescent="0.15">
      <c r="A724" s="5" t="s">
        <v>48</v>
      </c>
      <c r="B724" s="5" t="s">
        <v>983</v>
      </c>
      <c r="C724" s="5" t="s">
        <v>37</v>
      </c>
      <c r="D724" s="5" t="s">
        <v>38</v>
      </c>
      <c r="E724" s="9">
        <v>43755</v>
      </c>
      <c r="F724" s="6">
        <v>487.5</v>
      </c>
      <c r="G724" s="5" t="s">
        <v>15</v>
      </c>
      <c r="H724" s="6">
        <f>SUMIFS(InventTrans!F:F,InventTrans!B:B,AtlasReport_3_Table_1[[#This Row],[Lot ID]],InventTrans!C:C,AtlasReport_3_Table_1[[#This Row],[Ship date]])</f>
        <v>487.5</v>
      </c>
      <c r="I724" s="5" t="s">
        <v>15</v>
      </c>
      <c r="J724" s="5" t="s">
        <v>985</v>
      </c>
    </row>
    <row r="725" spans="1:10" x14ac:dyDescent="0.15">
      <c r="A725" s="5" t="s">
        <v>48</v>
      </c>
      <c r="B725" s="5" t="s">
        <v>986</v>
      </c>
      <c r="C725" s="5" t="s">
        <v>43</v>
      </c>
      <c r="D725" s="5" t="s">
        <v>38</v>
      </c>
      <c r="E725" s="9">
        <v>43755</v>
      </c>
      <c r="F725" s="6">
        <v>1018.5</v>
      </c>
      <c r="G725" s="5" t="s">
        <v>15</v>
      </c>
      <c r="H725" s="6">
        <f>SUMIFS(InventTrans!F:F,InventTrans!B:B,AtlasReport_3_Table_1[[#This Row],[Lot ID]],InventTrans!C:C,AtlasReport_3_Table_1[[#This Row],[Ship date]])</f>
        <v>1018.5</v>
      </c>
      <c r="I725" s="5" t="s">
        <v>15</v>
      </c>
      <c r="J725" s="5" t="s">
        <v>987</v>
      </c>
    </row>
    <row r="726" spans="1:10" x14ac:dyDescent="0.15">
      <c r="A726" s="5" t="s">
        <v>48</v>
      </c>
      <c r="B726" s="5" t="s">
        <v>181</v>
      </c>
      <c r="C726" s="5" t="s">
        <v>35</v>
      </c>
      <c r="D726" s="5" t="s">
        <v>36</v>
      </c>
      <c r="E726" s="9">
        <v>43756</v>
      </c>
      <c r="F726" s="6">
        <v>2242.5</v>
      </c>
      <c r="G726" s="5" t="s">
        <v>15</v>
      </c>
      <c r="H726" s="6">
        <f>SUMIFS(InventTrans!F:F,InventTrans!B:B,AtlasReport_3_Table_1[[#This Row],[Lot ID]],InventTrans!C:C,AtlasReport_3_Table_1[[#This Row],[Ship date]])</f>
        <v>2242.5</v>
      </c>
      <c r="I726" s="5" t="s">
        <v>15</v>
      </c>
      <c r="J726" s="5" t="s">
        <v>988</v>
      </c>
    </row>
    <row r="727" spans="1:10" x14ac:dyDescent="0.15">
      <c r="A727" s="5" t="s">
        <v>48</v>
      </c>
      <c r="B727" s="5" t="s">
        <v>989</v>
      </c>
      <c r="C727" s="5" t="s">
        <v>43</v>
      </c>
      <c r="D727" s="5" t="s">
        <v>38</v>
      </c>
      <c r="E727" s="9">
        <v>43754</v>
      </c>
      <c r="F727" s="6">
        <v>2134</v>
      </c>
      <c r="G727" s="5" t="s">
        <v>15</v>
      </c>
      <c r="H727" s="6">
        <f>SUMIFS(InventTrans!F:F,InventTrans!B:B,AtlasReport_3_Table_1[[#This Row],[Lot ID]],InventTrans!C:C,AtlasReport_3_Table_1[[#This Row],[Ship date]])</f>
        <v>2134</v>
      </c>
      <c r="I727" s="5" t="s">
        <v>15</v>
      </c>
      <c r="J727" s="5" t="s">
        <v>990</v>
      </c>
    </row>
    <row r="728" spans="1:10" x14ac:dyDescent="0.15">
      <c r="A728" s="5" t="s">
        <v>48</v>
      </c>
      <c r="B728" s="5" t="s">
        <v>182</v>
      </c>
      <c r="C728" s="5" t="s">
        <v>37</v>
      </c>
      <c r="D728" s="5" t="s">
        <v>38</v>
      </c>
      <c r="E728" s="9">
        <v>43759</v>
      </c>
      <c r="F728" s="6">
        <v>487.5</v>
      </c>
      <c r="G728" s="5" t="s">
        <v>15</v>
      </c>
      <c r="H728" s="6">
        <f>SUMIFS(InventTrans!F:F,InventTrans!B:B,AtlasReport_3_Table_1[[#This Row],[Lot ID]],InventTrans!C:C,AtlasReport_3_Table_1[[#This Row],[Ship date]])</f>
        <v>487.5</v>
      </c>
      <c r="I728" s="5" t="s">
        <v>15</v>
      </c>
      <c r="J728" s="5" t="s">
        <v>991</v>
      </c>
    </row>
    <row r="729" spans="1:10" x14ac:dyDescent="0.15">
      <c r="A729" s="5" t="s">
        <v>48</v>
      </c>
      <c r="B729" s="5" t="s">
        <v>183</v>
      </c>
      <c r="C729" s="5" t="s">
        <v>35</v>
      </c>
      <c r="D729" s="5" t="s">
        <v>36</v>
      </c>
      <c r="E729" s="9">
        <v>43759</v>
      </c>
      <c r="F729" s="6">
        <v>1755</v>
      </c>
      <c r="G729" s="5" t="s">
        <v>15</v>
      </c>
      <c r="H729" s="6">
        <f>SUMIFS(InventTrans!F:F,InventTrans!B:B,AtlasReport_3_Table_1[[#This Row],[Lot ID]],InventTrans!C:C,AtlasReport_3_Table_1[[#This Row],[Ship date]])</f>
        <v>1755</v>
      </c>
      <c r="I729" s="5" t="s">
        <v>15</v>
      </c>
      <c r="J729" s="5" t="s">
        <v>992</v>
      </c>
    </row>
    <row r="730" spans="1:10" x14ac:dyDescent="0.15">
      <c r="A730" s="5" t="s">
        <v>48</v>
      </c>
      <c r="B730" s="5" t="s">
        <v>184</v>
      </c>
      <c r="C730" s="5" t="s">
        <v>35</v>
      </c>
      <c r="D730" s="5" t="s">
        <v>36</v>
      </c>
      <c r="E730" s="9">
        <v>43759</v>
      </c>
      <c r="F730" s="6">
        <v>487.5</v>
      </c>
      <c r="G730" s="5" t="s">
        <v>15</v>
      </c>
      <c r="H730" s="6">
        <f>SUMIFS(InventTrans!F:F,InventTrans!B:B,AtlasReport_3_Table_1[[#This Row],[Lot ID]],InventTrans!C:C,AtlasReport_3_Table_1[[#This Row],[Ship date]])</f>
        <v>487.5</v>
      </c>
      <c r="I730" s="5" t="s">
        <v>15</v>
      </c>
      <c r="J730" s="5" t="s">
        <v>993</v>
      </c>
    </row>
    <row r="731" spans="1:10" x14ac:dyDescent="0.15">
      <c r="A731" s="5" t="s">
        <v>48</v>
      </c>
      <c r="B731" s="5" t="s">
        <v>185</v>
      </c>
      <c r="C731" s="5" t="s">
        <v>37</v>
      </c>
      <c r="D731" s="5" t="s">
        <v>38</v>
      </c>
      <c r="E731" s="9">
        <v>43759</v>
      </c>
      <c r="F731" s="6">
        <v>6045</v>
      </c>
      <c r="G731" s="5" t="s">
        <v>15</v>
      </c>
      <c r="H731" s="6">
        <f>SUMIFS(InventTrans!F:F,InventTrans!B:B,AtlasReport_3_Table_1[[#This Row],[Lot ID]],InventTrans!C:C,AtlasReport_3_Table_1[[#This Row],[Ship date]])</f>
        <v>6045</v>
      </c>
      <c r="I731" s="5" t="s">
        <v>15</v>
      </c>
      <c r="J731" s="5" t="s">
        <v>994</v>
      </c>
    </row>
    <row r="732" spans="1:10" x14ac:dyDescent="0.15">
      <c r="A732" s="5" t="s">
        <v>48</v>
      </c>
      <c r="B732" s="5" t="s">
        <v>186</v>
      </c>
      <c r="C732" s="5" t="s">
        <v>37</v>
      </c>
      <c r="D732" s="5" t="s">
        <v>38</v>
      </c>
      <c r="E732" s="9">
        <v>43759</v>
      </c>
      <c r="F732" s="6">
        <v>15307.5</v>
      </c>
      <c r="G732" s="5" t="s">
        <v>15</v>
      </c>
      <c r="H732" s="6">
        <f>SUMIFS(InventTrans!F:F,InventTrans!B:B,AtlasReport_3_Table_1[[#This Row],[Lot ID]],InventTrans!C:C,AtlasReport_3_Table_1[[#This Row],[Ship date]])</f>
        <v>15307.5</v>
      </c>
      <c r="I732" s="5" t="s">
        <v>15</v>
      </c>
      <c r="J732" s="5" t="s">
        <v>995</v>
      </c>
    </row>
    <row r="733" spans="1:10" x14ac:dyDescent="0.15">
      <c r="A733" s="5" t="s">
        <v>48</v>
      </c>
      <c r="B733" s="5" t="s">
        <v>996</v>
      </c>
      <c r="C733" s="5" t="s">
        <v>37</v>
      </c>
      <c r="D733" s="5" t="s">
        <v>38</v>
      </c>
      <c r="E733" s="9">
        <v>43759</v>
      </c>
      <c r="F733" s="6">
        <v>7020</v>
      </c>
      <c r="G733" s="5" t="s">
        <v>15</v>
      </c>
      <c r="H733" s="6">
        <f>SUMIFS(InventTrans!F:F,InventTrans!B:B,AtlasReport_3_Table_1[[#This Row],[Lot ID]],InventTrans!C:C,AtlasReport_3_Table_1[[#This Row],[Ship date]])</f>
        <v>7020</v>
      </c>
      <c r="I733" s="5" t="s">
        <v>15</v>
      </c>
      <c r="J733" s="5" t="s">
        <v>997</v>
      </c>
    </row>
    <row r="734" spans="1:10" x14ac:dyDescent="0.15">
      <c r="A734" s="5" t="s">
        <v>48</v>
      </c>
      <c r="B734" s="5" t="s">
        <v>187</v>
      </c>
      <c r="C734" s="5" t="s">
        <v>37</v>
      </c>
      <c r="D734" s="5" t="s">
        <v>38</v>
      </c>
      <c r="E734" s="9">
        <v>43759</v>
      </c>
      <c r="F734" s="6">
        <v>17647.5</v>
      </c>
      <c r="G734" s="5" t="s">
        <v>15</v>
      </c>
      <c r="H734" s="6">
        <f>SUMIFS(InventTrans!F:F,InventTrans!B:B,AtlasReport_3_Table_1[[#This Row],[Lot ID]],InventTrans!C:C,AtlasReport_3_Table_1[[#This Row],[Ship date]])</f>
        <v>17647.5</v>
      </c>
      <c r="I734" s="5" t="s">
        <v>15</v>
      </c>
      <c r="J734" s="5" t="s">
        <v>998</v>
      </c>
    </row>
    <row r="735" spans="1:10" x14ac:dyDescent="0.15">
      <c r="A735" s="5" t="s">
        <v>48</v>
      </c>
      <c r="B735" s="5" t="s">
        <v>188</v>
      </c>
      <c r="C735" s="5" t="s">
        <v>41</v>
      </c>
      <c r="D735" s="5" t="s">
        <v>36</v>
      </c>
      <c r="E735" s="9">
        <v>43759</v>
      </c>
      <c r="F735" s="6">
        <v>2473.5</v>
      </c>
      <c r="G735" s="5" t="s">
        <v>15</v>
      </c>
      <c r="H735" s="6">
        <f>SUMIFS(InventTrans!F:F,InventTrans!B:B,AtlasReport_3_Table_1[[#This Row],[Lot ID]],InventTrans!C:C,AtlasReport_3_Table_1[[#This Row],[Ship date]])</f>
        <v>2473.5</v>
      </c>
      <c r="I735" s="5" t="s">
        <v>15</v>
      </c>
      <c r="J735" s="5" t="s">
        <v>999</v>
      </c>
    </row>
    <row r="736" spans="1:10" x14ac:dyDescent="0.15">
      <c r="A736" s="5" t="s">
        <v>48</v>
      </c>
      <c r="B736" s="5" t="s">
        <v>188</v>
      </c>
      <c r="C736" s="5" t="s">
        <v>35</v>
      </c>
      <c r="D736" s="5" t="s">
        <v>36</v>
      </c>
      <c r="E736" s="9">
        <v>43759</v>
      </c>
      <c r="F736" s="6">
        <v>24375</v>
      </c>
      <c r="G736" s="5" t="s">
        <v>15</v>
      </c>
      <c r="H736" s="6">
        <f>SUMIFS(InventTrans!F:F,InventTrans!B:B,AtlasReport_3_Table_1[[#This Row],[Lot ID]],InventTrans!C:C,AtlasReport_3_Table_1[[#This Row],[Ship date]])</f>
        <v>24375</v>
      </c>
      <c r="I736" s="5" t="s">
        <v>15</v>
      </c>
      <c r="J736" s="5" t="s">
        <v>1000</v>
      </c>
    </row>
    <row r="737" spans="1:10" x14ac:dyDescent="0.15">
      <c r="A737" s="5" t="s">
        <v>48</v>
      </c>
      <c r="B737" s="5" t="s">
        <v>1001</v>
      </c>
      <c r="C737" s="5" t="s">
        <v>35</v>
      </c>
      <c r="D737" s="5" t="s">
        <v>36</v>
      </c>
      <c r="E737" s="9">
        <v>43760</v>
      </c>
      <c r="F737" s="6">
        <v>5557.5</v>
      </c>
      <c r="G737" s="5" t="s">
        <v>15</v>
      </c>
      <c r="H737" s="6">
        <f>SUMIFS(InventTrans!F:F,InventTrans!B:B,AtlasReport_3_Table_1[[#This Row],[Lot ID]],InventTrans!C:C,AtlasReport_3_Table_1[[#This Row],[Ship date]])</f>
        <v>5557.5</v>
      </c>
      <c r="I737" s="5" t="s">
        <v>15</v>
      </c>
      <c r="J737" s="5" t="s">
        <v>1002</v>
      </c>
    </row>
    <row r="738" spans="1:10" x14ac:dyDescent="0.15">
      <c r="A738" s="5" t="s">
        <v>48</v>
      </c>
      <c r="B738" s="5" t="s">
        <v>1537</v>
      </c>
      <c r="C738" s="5" t="s">
        <v>43</v>
      </c>
      <c r="D738" s="5" t="s">
        <v>38</v>
      </c>
      <c r="E738" s="9">
        <v>43760</v>
      </c>
      <c r="F738" s="6">
        <v>-388</v>
      </c>
      <c r="G738" s="5" t="s">
        <v>15</v>
      </c>
      <c r="H738" s="6">
        <f>SUMIFS(InventTrans!F:F,InventTrans!B:B,AtlasReport_3_Table_1[[#This Row],[Lot ID]],InventTrans!C:C,AtlasReport_3_Table_1[[#This Row],[Ship date]])</f>
        <v>-388</v>
      </c>
      <c r="I738" s="5" t="s">
        <v>15</v>
      </c>
      <c r="J738" s="5" t="s">
        <v>1538</v>
      </c>
    </row>
    <row r="739" spans="1:10" x14ac:dyDescent="0.15">
      <c r="A739" s="5" t="s">
        <v>48</v>
      </c>
      <c r="B739" s="5" t="s">
        <v>1003</v>
      </c>
      <c r="C739" s="5" t="s">
        <v>43</v>
      </c>
      <c r="D739" s="5" t="s">
        <v>38</v>
      </c>
      <c r="E739" s="9">
        <v>43760</v>
      </c>
      <c r="F739" s="6">
        <v>485</v>
      </c>
      <c r="G739" s="5" t="s">
        <v>15</v>
      </c>
      <c r="H739" s="6">
        <f>SUMIFS(InventTrans!F:F,InventTrans!B:B,AtlasReport_3_Table_1[[#This Row],[Lot ID]],InventTrans!C:C,AtlasReport_3_Table_1[[#This Row],[Ship date]])</f>
        <v>485</v>
      </c>
      <c r="I739" s="5" t="s">
        <v>15</v>
      </c>
      <c r="J739" s="5" t="s">
        <v>1004</v>
      </c>
    </row>
    <row r="740" spans="1:10" x14ac:dyDescent="0.15">
      <c r="A740" s="5" t="s">
        <v>48</v>
      </c>
      <c r="B740" s="5" t="s">
        <v>1003</v>
      </c>
      <c r="C740" s="5" t="s">
        <v>37</v>
      </c>
      <c r="D740" s="5" t="s">
        <v>38</v>
      </c>
      <c r="E740" s="9">
        <v>43760</v>
      </c>
      <c r="F740" s="6">
        <v>390</v>
      </c>
      <c r="G740" s="5" t="s">
        <v>15</v>
      </c>
      <c r="H740" s="6">
        <f>SUMIFS(InventTrans!F:F,InventTrans!B:B,AtlasReport_3_Table_1[[#This Row],[Lot ID]],InventTrans!C:C,AtlasReport_3_Table_1[[#This Row],[Ship date]])</f>
        <v>390</v>
      </c>
      <c r="I740" s="5" t="s">
        <v>15</v>
      </c>
      <c r="J740" s="5" t="s">
        <v>1005</v>
      </c>
    </row>
    <row r="741" spans="1:10" x14ac:dyDescent="0.15">
      <c r="A741" s="5" t="s">
        <v>48</v>
      </c>
      <c r="B741" s="5" t="s">
        <v>1006</v>
      </c>
      <c r="C741" s="5" t="s">
        <v>35</v>
      </c>
      <c r="D741" s="5" t="s">
        <v>36</v>
      </c>
      <c r="E741" s="9">
        <v>43760</v>
      </c>
      <c r="F741" s="6">
        <v>2437.5</v>
      </c>
      <c r="G741" s="5" t="s">
        <v>15</v>
      </c>
      <c r="H741" s="6">
        <f>SUMIFS(InventTrans!F:F,InventTrans!B:B,AtlasReport_3_Table_1[[#This Row],[Lot ID]],InventTrans!C:C,AtlasReport_3_Table_1[[#This Row],[Ship date]])</f>
        <v>2437.5</v>
      </c>
      <c r="I741" s="5" t="s">
        <v>15</v>
      </c>
      <c r="J741" s="5" t="s">
        <v>1007</v>
      </c>
    </row>
    <row r="742" spans="1:10" x14ac:dyDescent="0.15">
      <c r="A742" s="5" t="s">
        <v>48</v>
      </c>
      <c r="B742" s="5" t="s">
        <v>1006</v>
      </c>
      <c r="C742" s="5" t="s">
        <v>35</v>
      </c>
      <c r="D742" s="5" t="s">
        <v>36</v>
      </c>
      <c r="E742" s="9">
        <v>43760</v>
      </c>
      <c r="F742" s="6">
        <v>97.5</v>
      </c>
      <c r="G742" s="5" t="s">
        <v>15</v>
      </c>
      <c r="H742" s="6">
        <f>SUMIFS(InventTrans!F:F,InventTrans!B:B,AtlasReport_3_Table_1[[#This Row],[Lot ID]],InventTrans!C:C,AtlasReport_3_Table_1[[#This Row],[Ship date]])</f>
        <v>97.5</v>
      </c>
      <c r="I742" s="5" t="s">
        <v>15</v>
      </c>
      <c r="J742" s="5" t="s">
        <v>1008</v>
      </c>
    </row>
    <row r="743" spans="1:10" x14ac:dyDescent="0.15">
      <c r="A743" s="5" t="s">
        <v>48</v>
      </c>
      <c r="B743" s="5" t="s">
        <v>189</v>
      </c>
      <c r="C743" s="5" t="s">
        <v>35</v>
      </c>
      <c r="D743" s="5" t="s">
        <v>36</v>
      </c>
      <c r="E743" s="9">
        <v>43747</v>
      </c>
      <c r="F743" s="6">
        <v>3120</v>
      </c>
      <c r="G743" s="5" t="s">
        <v>15</v>
      </c>
      <c r="H743" s="6">
        <f>SUMIFS(InventTrans!F:F,InventTrans!B:B,AtlasReport_3_Table_1[[#This Row],[Lot ID]],InventTrans!C:C,AtlasReport_3_Table_1[[#This Row],[Ship date]])</f>
        <v>3120</v>
      </c>
      <c r="I743" s="5" t="s">
        <v>15</v>
      </c>
      <c r="J743" s="5" t="s">
        <v>1009</v>
      </c>
    </row>
    <row r="744" spans="1:10" x14ac:dyDescent="0.15">
      <c r="A744" s="5" t="s">
        <v>48</v>
      </c>
      <c r="B744" s="5" t="s">
        <v>190</v>
      </c>
      <c r="C744" s="5" t="s">
        <v>37</v>
      </c>
      <c r="D744" s="5" t="s">
        <v>38</v>
      </c>
      <c r="E744" s="9">
        <v>43761</v>
      </c>
      <c r="F744" s="6">
        <v>9067.5</v>
      </c>
      <c r="G744" s="5" t="s">
        <v>15</v>
      </c>
      <c r="H744" s="6">
        <f>SUMIFS(InventTrans!F:F,InventTrans!B:B,AtlasReport_3_Table_1[[#This Row],[Lot ID]],InventTrans!C:C,AtlasReport_3_Table_1[[#This Row],[Ship date]])</f>
        <v>9067.5</v>
      </c>
      <c r="I744" s="5" t="s">
        <v>15</v>
      </c>
      <c r="J744" s="5" t="s">
        <v>1010</v>
      </c>
    </row>
    <row r="745" spans="1:10" x14ac:dyDescent="0.15">
      <c r="A745" s="5" t="s">
        <v>48</v>
      </c>
      <c r="B745" s="5" t="s">
        <v>191</v>
      </c>
      <c r="C745" s="5" t="s">
        <v>37</v>
      </c>
      <c r="D745" s="5" t="s">
        <v>38</v>
      </c>
      <c r="E745" s="9">
        <v>43762</v>
      </c>
      <c r="F745" s="6">
        <v>1950</v>
      </c>
      <c r="G745" s="5" t="s">
        <v>15</v>
      </c>
      <c r="H745" s="6">
        <f>SUMIFS(InventTrans!F:F,InventTrans!B:B,AtlasReport_3_Table_1[[#This Row],[Lot ID]],InventTrans!C:C,AtlasReport_3_Table_1[[#This Row],[Ship date]])</f>
        <v>1950</v>
      </c>
      <c r="I745" s="5" t="s">
        <v>15</v>
      </c>
      <c r="J745" s="5" t="s">
        <v>1011</v>
      </c>
    </row>
    <row r="746" spans="1:10" x14ac:dyDescent="0.15">
      <c r="A746" s="5" t="s">
        <v>48</v>
      </c>
      <c r="B746" s="5" t="s">
        <v>192</v>
      </c>
      <c r="C746" s="5" t="s">
        <v>41</v>
      </c>
      <c r="D746" s="5" t="s">
        <v>36</v>
      </c>
      <c r="E746" s="9">
        <v>43762</v>
      </c>
      <c r="F746" s="6">
        <v>3783</v>
      </c>
      <c r="G746" s="5" t="s">
        <v>15</v>
      </c>
      <c r="H746" s="6">
        <f>SUMIFS(InventTrans!F:F,InventTrans!B:B,AtlasReport_3_Table_1[[#This Row],[Lot ID]],InventTrans!C:C,AtlasReport_3_Table_1[[#This Row],[Ship date]])</f>
        <v>3783</v>
      </c>
      <c r="I746" s="5" t="s">
        <v>15</v>
      </c>
      <c r="J746" s="5" t="s">
        <v>1012</v>
      </c>
    </row>
    <row r="747" spans="1:10" x14ac:dyDescent="0.15">
      <c r="A747" s="5" t="s">
        <v>48</v>
      </c>
      <c r="B747" s="5" t="s">
        <v>193</v>
      </c>
      <c r="C747" s="5" t="s">
        <v>35</v>
      </c>
      <c r="D747" s="5" t="s">
        <v>36</v>
      </c>
      <c r="E747" s="9">
        <v>43761</v>
      </c>
      <c r="F747" s="6">
        <v>1852.5</v>
      </c>
      <c r="G747" s="5" t="s">
        <v>15</v>
      </c>
      <c r="H747" s="6">
        <f>SUMIFS(InventTrans!F:F,InventTrans!B:B,AtlasReport_3_Table_1[[#This Row],[Lot ID]],InventTrans!C:C,AtlasReport_3_Table_1[[#This Row],[Ship date]])</f>
        <v>1852.5</v>
      </c>
      <c r="I747" s="5" t="s">
        <v>15</v>
      </c>
      <c r="J747" s="5" t="s">
        <v>1013</v>
      </c>
    </row>
    <row r="748" spans="1:10" x14ac:dyDescent="0.15">
      <c r="A748" s="5" t="s">
        <v>48</v>
      </c>
      <c r="B748" s="5" t="s">
        <v>194</v>
      </c>
      <c r="C748" s="5" t="s">
        <v>35</v>
      </c>
      <c r="D748" s="5" t="s">
        <v>36</v>
      </c>
      <c r="E748" s="9">
        <v>43762</v>
      </c>
      <c r="F748" s="6">
        <v>6142.5</v>
      </c>
      <c r="G748" s="5" t="s">
        <v>15</v>
      </c>
      <c r="H748" s="6">
        <f>SUMIFS(InventTrans!F:F,InventTrans!B:B,AtlasReport_3_Table_1[[#This Row],[Lot ID]],InventTrans!C:C,AtlasReport_3_Table_1[[#This Row],[Ship date]])</f>
        <v>6142.5</v>
      </c>
      <c r="I748" s="5" t="s">
        <v>15</v>
      </c>
      <c r="J748" s="5" t="s">
        <v>1014</v>
      </c>
    </row>
    <row r="749" spans="1:10" x14ac:dyDescent="0.15">
      <c r="A749" s="5" t="s">
        <v>48</v>
      </c>
      <c r="B749" s="5" t="s">
        <v>1015</v>
      </c>
      <c r="C749" s="5" t="s">
        <v>51</v>
      </c>
      <c r="D749" s="5" t="s">
        <v>52</v>
      </c>
      <c r="E749" s="9">
        <v>43766</v>
      </c>
      <c r="F749" s="6">
        <v>5070</v>
      </c>
      <c r="G749" s="5" t="s">
        <v>15</v>
      </c>
      <c r="H749" s="6">
        <f>SUMIFS(InventTrans!F:F,InventTrans!B:B,AtlasReport_3_Table_1[[#This Row],[Lot ID]],InventTrans!C:C,AtlasReport_3_Table_1[[#This Row],[Ship date]])</f>
        <v>5070</v>
      </c>
      <c r="I749" s="5" t="s">
        <v>15</v>
      </c>
      <c r="J749" s="5" t="s">
        <v>1016</v>
      </c>
    </row>
    <row r="750" spans="1:10" x14ac:dyDescent="0.15">
      <c r="A750" s="5" t="s">
        <v>48</v>
      </c>
      <c r="B750" s="5" t="s">
        <v>1015</v>
      </c>
      <c r="C750" s="5" t="s">
        <v>53</v>
      </c>
      <c r="D750" s="5" t="s">
        <v>54</v>
      </c>
      <c r="E750" s="9">
        <v>43766</v>
      </c>
      <c r="F750" s="6">
        <v>6630</v>
      </c>
      <c r="G750" s="5" t="s">
        <v>15</v>
      </c>
      <c r="H750" s="6">
        <f>SUMIFS(InventTrans!F:F,InventTrans!B:B,AtlasReport_3_Table_1[[#This Row],[Lot ID]],InventTrans!C:C,AtlasReport_3_Table_1[[#This Row],[Ship date]])</f>
        <v>6630</v>
      </c>
      <c r="I750" s="5" t="s">
        <v>15</v>
      </c>
      <c r="J750" s="5" t="s">
        <v>1017</v>
      </c>
    </row>
    <row r="751" spans="1:10" x14ac:dyDescent="0.15">
      <c r="A751" s="5" t="s">
        <v>48</v>
      </c>
      <c r="B751" s="5" t="s">
        <v>1018</v>
      </c>
      <c r="C751" s="5" t="s">
        <v>37</v>
      </c>
      <c r="D751" s="5" t="s">
        <v>38</v>
      </c>
      <c r="E751" s="9">
        <v>43766</v>
      </c>
      <c r="F751" s="6">
        <v>6045</v>
      </c>
      <c r="G751" s="5" t="s">
        <v>15</v>
      </c>
      <c r="H751" s="6">
        <f>SUMIFS(InventTrans!F:F,InventTrans!B:B,AtlasReport_3_Table_1[[#This Row],[Lot ID]],InventTrans!C:C,AtlasReport_3_Table_1[[#This Row],[Ship date]])</f>
        <v>6045</v>
      </c>
      <c r="I751" s="5" t="s">
        <v>15</v>
      </c>
      <c r="J751" s="5" t="s">
        <v>1019</v>
      </c>
    </row>
    <row r="752" spans="1:10" x14ac:dyDescent="0.15">
      <c r="A752" s="5" t="s">
        <v>48</v>
      </c>
      <c r="B752" s="5" t="s">
        <v>195</v>
      </c>
      <c r="C752" s="5" t="s">
        <v>37</v>
      </c>
      <c r="D752" s="5" t="s">
        <v>38</v>
      </c>
      <c r="E752" s="9">
        <v>43766</v>
      </c>
      <c r="F752" s="6">
        <v>7215</v>
      </c>
      <c r="G752" s="5" t="s">
        <v>15</v>
      </c>
      <c r="H752" s="6">
        <f>SUMIFS(InventTrans!F:F,InventTrans!B:B,AtlasReport_3_Table_1[[#This Row],[Lot ID]],InventTrans!C:C,AtlasReport_3_Table_1[[#This Row],[Ship date]])</f>
        <v>7215</v>
      </c>
      <c r="I752" s="5" t="s">
        <v>15</v>
      </c>
      <c r="J752" s="5" t="s">
        <v>1020</v>
      </c>
    </row>
    <row r="753" spans="1:10" x14ac:dyDescent="0.15">
      <c r="A753" s="5" t="s">
        <v>48</v>
      </c>
      <c r="B753" s="5" t="s">
        <v>195</v>
      </c>
      <c r="C753" s="5" t="s">
        <v>42</v>
      </c>
      <c r="D753" s="5" t="s">
        <v>38</v>
      </c>
      <c r="E753" s="9">
        <v>43766</v>
      </c>
      <c r="F753" s="6">
        <v>1950</v>
      </c>
      <c r="G753" s="5" t="s">
        <v>15</v>
      </c>
      <c r="H753" s="6">
        <f>SUMIFS(InventTrans!F:F,InventTrans!B:B,AtlasReport_3_Table_1[[#This Row],[Lot ID]],InventTrans!C:C,AtlasReport_3_Table_1[[#This Row],[Ship date]])</f>
        <v>1950</v>
      </c>
      <c r="I753" s="5" t="s">
        <v>15</v>
      </c>
      <c r="J753" s="5" t="s">
        <v>1021</v>
      </c>
    </row>
    <row r="754" spans="1:10" x14ac:dyDescent="0.15">
      <c r="A754" s="5" t="s">
        <v>48</v>
      </c>
      <c r="B754" s="5" t="s">
        <v>196</v>
      </c>
      <c r="C754" s="5" t="s">
        <v>37</v>
      </c>
      <c r="D754" s="5" t="s">
        <v>38</v>
      </c>
      <c r="E754" s="9">
        <v>43766</v>
      </c>
      <c r="F754" s="6">
        <v>9457.5</v>
      </c>
      <c r="G754" s="5" t="s">
        <v>15</v>
      </c>
      <c r="H754" s="6">
        <f>SUMIFS(InventTrans!F:F,InventTrans!B:B,AtlasReport_3_Table_1[[#This Row],[Lot ID]],InventTrans!C:C,AtlasReport_3_Table_1[[#This Row],[Ship date]])</f>
        <v>9457.5</v>
      </c>
      <c r="I754" s="5" t="s">
        <v>15</v>
      </c>
      <c r="J754" s="5" t="s">
        <v>1022</v>
      </c>
    </row>
    <row r="755" spans="1:10" x14ac:dyDescent="0.15">
      <c r="A755" s="5" t="s">
        <v>48</v>
      </c>
      <c r="B755" s="5" t="s">
        <v>196</v>
      </c>
      <c r="C755" s="5" t="s">
        <v>42</v>
      </c>
      <c r="D755" s="5" t="s">
        <v>38</v>
      </c>
      <c r="E755" s="9">
        <v>43766</v>
      </c>
      <c r="F755" s="6">
        <v>3600</v>
      </c>
      <c r="G755" s="5" t="s">
        <v>15</v>
      </c>
      <c r="H755" s="6">
        <f>SUMIFS(InventTrans!F:F,InventTrans!B:B,AtlasReport_3_Table_1[[#This Row],[Lot ID]],InventTrans!C:C,AtlasReport_3_Table_1[[#This Row],[Ship date]])</f>
        <v>3600</v>
      </c>
      <c r="I755" s="5" t="s">
        <v>15</v>
      </c>
      <c r="J755" s="5" t="s">
        <v>1023</v>
      </c>
    </row>
    <row r="756" spans="1:10" x14ac:dyDescent="0.15">
      <c r="A756" s="5" t="s">
        <v>48</v>
      </c>
      <c r="B756" s="5" t="s">
        <v>197</v>
      </c>
      <c r="C756" s="5" t="s">
        <v>35</v>
      </c>
      <c r="D756" s="5" t="s">
        <v>36</v>
      </c>
      <c r="E756" s="9">
        <v>43766</v>
      </c>
      <c r="F756" s="6">
        <v>4875</v>
      </c>
      <c r="G756" s="5" t="s">
        <v>15</v>
      </c>
      <c r="H756" s="6">
        <f>SUMIFS(InventTrans!F:F,InventTrans!B:B,AtlasReport_3_Table_1[[#This Row],[Lot ID]],InventTrans!C:C,AtlasReport_3_Table_1[[#This Row],[Ship date]])</f>
        <v>4875</v>
      </c>
      <c r="I756" s="5" t="s">
        <v>15</v>
      </c>
      <c r="J756" s="5" t="s">
        <v>1024</v>
      </c>
    </row>
    <row r="757" spans="1:10" x14ac:dyDescent="0.15">
      <c r="A757" s="5" t="s">
        <v>48</v>
      </c>
      <c r="B757" s="5" t="s">
        <v>197</v>
      </c>
      <c r="C757" s="5" t="s">
        <v>40</v>
      </c>
      <c r="D757" s="5" t="s">
        <v>36</v>
      </c>
      <c r="E757" s="9">
        <v>43766</v>
      </c>
      <c r="F757" s="6">
        <v>3750</v>
      </c>
      <c r="G757" s="5" t="s">
        <v>15</v>
      </c>
      <c r="H757" s="6">
        <f>SUMIFS(InventTrans!F:F,InventTrans!B:B,AtlasReport_3_Table_1[[#This Row],[Lot ID]],InventTrans!C:C,AtlasReport_3_Table_1[[#This Row],[Ship date]])</f>
        <v>3750</v>
      </c>
      <c r="I757" s="5" t="s">
        <v>15</v>
      </c>
      <c r="J757" s="5" t="s">
        <v>1025</v>
      </c>
    </row>
    <row r="758" spans="1:10" x14ac:dyDescent="0.15">
      <c r="A758" s="5" t="s">
        <v>48</v>
      </c>
      <c r="B758" s="5" t="s">
        <v>1026</v>
      </c>
      <c r="C758" s="5" t="s">
        <v>37</v>
      </c>
      <c r="D758" s="5" t="s">
        <v>38</v>
      </c>
      <c r="E758" s="9">
        <v>43766</v>
      </c>
      <c r="F758" s="6">
        <v>1560</v>
      </c>
      <c r="G758" s="5" t="s">
        <v>15</v>
      </c>
      <c r="H758" s="6">
        <f>SUMIFS(InventTrans!F:F,InventTrans!B:B,AtlasReport_3_Table_1[[#This Row],[Lot ID]],InventTrans!C:C,AtlasReport_3_Table_1[[#This Row],[Ship date]])</f>
        <v>1560</v>
      </c>
      <c r="I758" s="5" t="s">
        <v>15</v>
      </c>
      <c r="J758" s="5" t="s">
        <v>1027</v>
      </c>
    </row>
    <row r="759" spans="1:10" x14ac:dyDescent="0.15">
      <c r="A759" s="5" t="s">
        <v>48</v>
      </c>
      <c r="B759" s="5" t="s">
        <v>198</v>
      </c>
      <c r="C759" s="5" t="s">
        <v>37</v>
      </c>
      <c r="D759" s="5" t="s">
        <v>38</v>
      </c>
      <c r="E759" s="9">
        <v>43767</v>
      </c>
      <c r="F759" s="6">
        <v>1365</v>
      </c>
      <c r="G759" s="5" t="s">
        <v>15</v>
      </c>
      <c r="H759" s="6">
        <f>SUMIFS(InventTrans!F:F,InventTrans!B:B,AtlasReport_3_Table_1[[#This Row],[Lot ID]],InventTrans!C:C,AtlasReport_3_Table_1[[#This Row],[Ship date]])</f>
        <v>1365</v>
      </c>
      <c r="I759" s="5" t="s">
        <v>15</v>
      </c>
      <c r="J759" s="5" t="s">
        <v>1028</v>
      </c>
    </row>
    <row r="760" spans="1:10" x14ac:dyDescent="0.15">
      <c r="A760" s="5" t="s">
        <v>48</v>
      </c>
      <c r="B760" s="5" t="s">
        <v>199</v>
      </c>
      <c r="C760" s="5" t="s">
        <v>37</v>
      </c>
      <c r="D760" s="5" t="s">
        <v>38</v>
      </c>
      <c r="E760" s="9">
        <v>43767</v>
      </c>
      <c r="F760" s="6">
        <v>1950</v>
      </c>
      <c r="G760" s="5" t="s">
        <v>15</v>
      </c>
      <c r="H760" s="6">
        <f>SUMIFS(InventTrans!F:F,InventTrans!B:B,AtlasReport_3_Table_1[[#This Row],[Lot ID]],InventTrans!C:C,AtlasReport_3_Table_1[[#This Row],[Ship date]])</f>
        <v>1950</v>
      </c>
      <c r="I760" s="5" t="s">
        <v>15</v>
      </c>
      <c r="J760" s="5" t="s">
        <v>1029</v>
      </c>
    </row>
    <row r="761" spans="1:10" x14ac:dyDescent="0.15">
      <c r="A761" s="5" t="s">
        <v>48</v>
      </c>
      <c r="B761" s="5" t="s">
        <v>1030</v>
      </c>
      <c r="C761" s="5" t="s">
        <v>37</v>
      </c>
      <c r="D761" s="5" t="s">
        <v>38</v>
      </c>
      <c r="E761" s="9">
        <v>43767</v>
      </c>
      <c r="F761" s="6">
        <v>682.5</v>
      </c>
      <c r="G761" s="5" t="s">
        <v>15</v>
      </c>
      <c r="H761" s="6">
        <f>SUMIFS(InventTrans!F:F,InventTrans!B:B,AtlasReport_3_Table_1[[#This Row],[Lot ID]],InventTrans!C:C,AtlasReport_3_Table_1[[#This Row],[Ship date]])</f>
        <v>682.5</v>
      </c>
      <c r="I761" s="5" t="s">
        <v>15</v>
      </c>
      <c r="J761" s="5" t="s">
        <v>1031</v>
      </c>
    </row>
    <row r="762" spans="1:10" x14ac:dyDescent="0.15">
      <c r="A762" s="5" t="s">
        <v>48</v>
      </c>
      <c r="B762" s="5" t="s">
        <v>1539</v>
      </c>
      <c r="C762" s="5" t="s">
        <v>43</v>
      </c>
      <c r="D762" s="5" t="s">
        <v>38</v>
      </c>
      <c r="E762" s="9">
        <v>43769</v>
      </c>
      <c r="F762" s="6">
        <v>-388</v>
      </c>
      <c r="G762" s="5" t="s">
        <v>15</v>
      </c>
      <c r="H762" s="6">
        <f>SUMIFS(InventTrans!F:F,InventTrans!B:B,AtlasReport_3_Table_1[[#This Row],[Lot ID]],InventTrans!C:C,AtlasReport_3_Table_1[[#This Row],[Ship date]])</f>
        <v>-388</v>
      </c>
      <c r="I762" s="5" t="s">
        <v>15</v>
      </c>
      <c r="J762" s="5" t="s">
        <v>1540</v>
      </c>
    </row>
    <row r="763" spans="1:10" x14ac:dyDescent="0.15">
      <c r="A763" s="5" t="s">
        <v>48</v>
      </c>
      <c r="B763" s="5" t="s">
        <v>1032</v>
      </c>
      <c r="C763" s="5" t="s">
        <v>42</v>
      </c>
      <c r="D763" s="5" t="s">
        <v>38</v>
      </c>
      <c r="E763" s="9">
        <v>43769</v>
      </c>
      <c r="F763" s="6">
        <v>675</v>
      </c>
      <c r="G763" s="5" t="s">
        <v>15</v>
      </c>
      <c r="H763" s="6">
        <f>SUMIFS(InventTrans!F:F,InventTrans!B:B,AtlasReport_3_Table_1[[#This Row],[Lot ID]],InventTrans!C:C,AtlasReport_3_Table_1[[#This Row],[Ship date]])</f>
        <v>675</v>
      </c>
      <c r="I763" s="5" t="s">
        <v>15</v>
      </c>
      <c r="J763" s="5" t="s">
        <v>1033</v>
      </c>
    </row>
    <row r="764" spans="1:10" x14ac:dyDescent="0.15">
      <c r="A764" s="5" t="s">
        <v>48</v>
      </c>
      <c r="B764" s="5" t="s">
        <v>1032</v>
      </c>
      <c r="C764" s="5" t="s">
        <v>37</v>
      </c>
      <c r="D764" s="5" t="s">
        <v>38</v>
      </c>
      <c r="E764" s="9">
        <v>43769</v>
      </c>
      <c r="F764" s="6">
        <v>1755</v>
      </c>
      <c r="G764" s="5" t="s">
        <v>15</v>
      </c>
      <c r="H764" s="6">
        <f>SUMIFS(InventTrans!F:F,InventTrans!B:B,AtlasReport_3_Table_1[[#This Row],[Lot ID]],InventTrans!C:C,AtlasReport_3_Table_1[[#This Row],[Ship date]])</f>
        <v>1755</v>
      </c>
      <c r="I764" s="5" t="s">
        <v>15</v>
      </c>
      <c r="J764" s="5" t="s">
        <v>1034</v>
      </c>
    </row>
    <row r="765" spans="1:10" x14ac:dyDescent="0.15">
      <c r="A765" s="5" t="s">
        <v>48</v>
      </c>
      <c r="B765" s="5" t="s">
        <v>1035</v>
      </c>
      <c r="C765" s="5" t="s">
        <v>37</v>
      </c>
      <c r="D765" s="5" t="s">
        <v>38</v>
      </c>
      <c r="E765" s="9">
        <v>43773</v>
      </c>
      <c r="F765" s="6">
        <v>585</v>
      </c>
      <c r="G765" s="5" t="s">
        <v>15</v>
      </c>
      <c r="H765" s="6">
        <f>SUMIFS(InventTrans!F:F,InventTrans!B:B,AtlasReport_3_Table_1[[#This Row],[Lot ID]],InventTrans!C:C,AtlasReport_3_Table_1[[#This Row],[Ship date]])</f>
        <v>585</v>
      </c>
      <c r="I765" s="5" t="s">
        <v>15</v>
      </c>
      <c r="J765" s="5" t="s">
        <v>1036</v>
      </c>
    </row>
    <row r="766" spans="1:10" x14ac:dyDescent="0.15">
      <c r="A766" s="5" t="s">
        <v>48</v>
      </c>
      <c r="B766" s="5" t="s">
        <v>200</v>
      </c>
      <c r="C766" s="5" t="s">
        <v>51</v>
      </c>
      <c r="D766" s="5" t="s">
        <v>52</v>
      </c>
      <c r="E766" s="9">
        <v>43773</v>
      </c>
      <c r="F766" s="6">
        <v>2925</v>
      </c>
      <c r="G766" s="5" t="s">
        <v>15</v>
      </c>
      <c r="H766" s="6">
        <f>SUMIFS(InventTrans!F:F,InventTrans!B:B,AtlasReport_3_Table_1[[#This Row],[Lot ID]],InventTrans!C:C,AtlasReport_3_Table_1[[#This Row],[Ship date]])</f>
        <v>2925</v>
      </c>
      <c r="I766" s="5" t="s">
        <v>15</v>
      </c>
      <c r="J766" s="5" t="s">
        <v>1037</v>
      </c>
    </row>
    <row r="767" spans="1:10" x14ac:dyDescent="0.15">
      <c r="A767" s="5" t="s">
        <v>48</v>
      </c>
      <c r="B767" s="5" t="s">
        <v>201</v>
      </c>
      <c r="C767" s="5" t="s">
        <v>40</v>
      </c>
      <c r="D767" s="5" t="s">
        <v>36</v>
      </c>
      <c r="E767" s="9">
        <v>43773</v>
      </c>
      <c r="F767" s="6">
        <v>3750</v>
      </c>
      <c r="G767" s="5" t="s">
        <v>15</v>
      </c>
      <c r="H767" s="6">
        <f>SUMIFS(InventTrans!F:F,InventTrans!B:B,AtlasReport_3_Table_1[[#This Row],[Lot ID]],InventTrans!C:C,AtlasReport_3_Table_1[[#This Row],[Ship date]])</f>
        <v>3750</v>
      </c>
      <c r="I767" s="5" t="s">
        <v>15</v>
      </c>
      <c r="J767" s="5" t="s">
        <v>1038</v>
      </c>
    </row>
    <row r="768" spans="1:10" x14ac:dyDescent="0.15">
      <c r="A768" s="5" t="s">
        <v>48</v>
      </c>
      <c r="B768" s="5" t="s">
        <v>201</v>
      </c>
      <c r="C768" s="5" t="s">
        <v>35</v>
      </c>
      <c r="D768" s="5" t="s">
        <v>36</v>
      </c>
      <c r="E768" s="9">
        <v>43773</v>
      </c>
      <c r="F768" s="6">
        <v>2145</v>
      </c>
      <c r="G768" s="5" t="s">
        <v>15</v>
      </c>
      <c r="H768" s="6">
        <f>SUMIFS(InventTrans!F:F,InventTrans!B:B,AtlasReport_3_Table_1[[#This Row],[Lot ID]],InventTrans!C:C,AtlasReport_3_Table_1[[#This Row],[Ship date]])</f>
        <v>2145</v>
      </c>
      <c r="I768" s="5" t="s">
        <v>15</v>
      </c>
      <c r="J768" s="5" t="s">
        <v>1039</v>
      </c>
    </row>
    <row r="769" spans="1:10" x14ac:dyDescent="0.15">
      <c r="A769" s="5" t="s">
        <v>48</v>
      </c>
      <c r="B769" s="5" t="s">
        <v>202</v>
      </c>
      <c r="C769" s="5" t="s">
        <v>41</v>
      </c>
      <c r="D769" s="5" t="s">
        <v>36</v>
      </c>
      <c r="E769" s="9">
        <v>43773</v>
      </c>
      <c r="F769" s="6">
        <v>3298</v>
      </c>
      <c r="G769" s="5" t="s">
        <v>15</v>
      </c>
      <c r="H769" s="6">
        <f>SUMIFS(InventTrans!F:F,InventTrans!B:B,AtlasReport_3_Table_1[[#This Row],[Lot ID]],InventTrans!C:C,AtlasReport_3_Table_1[[#This Row],[Ship date]])</f>
        <v>3298</v>
      </c>
      <c r="I769" s="5" t="s">
        <v>15</v>
      </c>
      <c r="J769" s="5" t="s">
        <v>1040</v>
      </c>
    </row>
    <row r="770" spans="1:10" x14ac:dyDescent="0.15">
      <c r="A770" s="5" t="s">
        <v>48</v>
      </c>
      <c r="B770" s="5" t="s">
        <v>202</v>
      </c>
      <c r="C770" s="5" t="s">
        <v>35</v>
      </c>
      <c r="D770" s="5" t="s">
        <v>36</v>
      </c>
      <c r="E770" s="9">
        <v>43773</v>
      </c>
      <c r="F770" s="6">
        <v>7215</v>
      </c>
      <c r="G770" s="5" t="s">
        <v>15</v>
      </c>
      <c r="H770" s="6">
        <f>SUMIFS(InventTrans!F:F,InventTrans!B:B,AtlasReport_3_Table_1[[#This Row],[Lot ID]],InventTrans!C:C,AtlasReport_3_Table_1[[#This Row],[Ship date]])</f>
        <v>7215</v>
      </c>
      <c r="I770" s="5" t="s">
        <v>15</v>
      </c>
      <c r="J770" s="5" t="s">
        <v>1041</v>
      </c>
    </row>
    <row r="771" spans="1:10" x14ac:dyDescent="0.15">
      <c r="A771" s="5" t="s">
        <v>48</v>
      </c>
      <c r="B771" s="5" t="s">
        <v>1042</v>
      </c>
      <c r="C771" s="5" t="s">
        <v>35</v>
      </c>
      <c r="D771" s="5" t="s">
        <v>36</v>
      </c>
      <c r="E771" s="9">
        <v>43773</v>
      </c>
      <c r="F771" s="6">
        <v>780</v>
      </c>
      <c r="G771" s="5" t="s">
        <v>15</v>
      </c>
      <c r="H771" s="6">
        <f>SUMIFS(InventTrans!F:F,InventTrans!B:B,AtlasReport_3_Table_1[[#This Row],[Lot ID]],InventTrans!C:C,AtlasReport_3_Table_1[[#This Row],[Ship date]])</f>
        <v>780</v>
      </c>
      <c r="I771" s="5" t="s">
        <v>15</v>
      </c>
      <c r="J771" s="5" t="s">
        <v>1043</v>
      </c>
    </row>
    <row r="772" spans="1:10" x14ac:dyDescent="0.15">
      <c r="A772" s="5" t="s">
        <v>48</v>
      </c>
      <c r="B772" s="5" t="s">
        <v>1044</v>
      </c>
      <c r="C772" s="5" t="s">
        <v>41</v>
      </c>
      <c r="D772" s="5" t="s">
        <v>36</v>
      </c>
      <c r="E772" s="9">
        <v>43773</v>
      </c>
      <c r="F772" s="6">
        <v>194</v>
      </c>
      <c r="G772" s="5" t="s">
        <v>15</v>
      </c>
      <c r="H772" s="6">
        <f>SUMIFS(InventTrans!F:F,InventTrans!B:B,AtlasReport_3_Table_1[[#This Row],[Lot ID]],InventTrans!C:C,AtlasReport_3_Table_1[[#This Row],[Ship date]])</f>
        <v>194</v>
      </c>
      <c r="I772" s="5" t="s">
        <v>15</v>
      </c>
      <c r="J772" s="5" t="s">
        <v>1045</v>
      </c>
    </row>
    <row r="773" spans="1:10" x14ac:dyDescent="0.15">
      <c r="A773" s="5" t="s">
        <v>48</v>
      </c>
      <c r="B773" s="5" t="s">
        <v>1044</v>
      </c>
      <c r="C773" s="5" t="s">
        <v>35</v>
      </c>
      <c r="D773" s="5" t="s">
        <v>36</v>
      </c>
      <c r="E773" s="9">
        <v>43773</v>
      </c>
      <c r="F773" s="6">
        <v>585</v>
      </c>
      <c r="G773" s="5" t="s">
        <v>15</v>
      </c>
      <c r="H773" s="6">
        <f>SUMIFS(InventTrans!F:F,InventTrans!B:B,AtlasReport_3_Table_1[[#This Row],[Lot ID]],InventTrans!C:C,AtlasReport_3_Table_1[[#This Row],[Ship date]])</f>
        <v>585</v>
      </c>
      <c r="I773" s="5" t="s">
        <v>15</v>
      </c>
      <c r="J773" s="5" t="s">
        <v>1046</v>
      </c>
    </row>
    <row r="774" spans="1:10" x14ac:dyDescent="0.15">
      <c r="A774" s="5" t="s">
        <v>48</v>
      </c>
      <c r="B774" s="5" t="s">
        <v>1047</v>
      </c>
      <c r="C774" s="5" t="s">
        <v>43</v>
      </c>
      <c r="D774" s="5" t="s">
        <v>38</v>
      </c>
      <c r="E774" s="9">
        <v>43773</v>
      </c>
      <c r="F774" s="6">
        <v>2667.5</v>
      </c>
      <c r="G774" s="5" t="s">
        <v>15</v>
      </c>
      <c r="H774" s="6">
        <f>SUMIFS(InventTrans!F:F,InventTrans!B:B,AtlasReport_3_Table_1[[#This Row],[Lot ID]],InventTrans!C:C,AtlasReport_3_Table_1[[#This Row],[Ship date]])</f>
        <v>2667.5</v>
      </c>
      <c r="I774" s="5" t="s">
        <v>15</v>
      </c>
      <c r="J774" s="5" t="s">
        <v>1048</v>
      </c>
    </row>
    <row r="775" spans="1:10" x14ac:dyDescent="0.15">
      <c r="A775" s="5" t="s">
        <v>48</v>
      </c>
      <c r="B775" s="5" t="s">
        <v>203</v>
      </c>
      <c r="C775" s="5" t="s">
        <v>37</v>
      </c>
      <c r="D775" s="5" t="s">
        <v>38</v>
      </c>
      <c r="E775" s="9">
        <v>43773</v>
      </c>
      <c r="F775" s="6">
        <v>8190</v>
      </c>
      <c r="G775" s="5" t="s">
        <v>15</v>
      </c>
      <c r="H775" s="6">
        <f>SUMIFS(InventTrans!F:F,InventTrans!B:B,AtlasReport_3_Table_1[[#This Row],[Lot ID]],InventTrans!C:C,AtlasReport_3_Table_1[[#This Row],[Ship date]])</f>
        <v>8190</v>
      </c>
      <c r="I775" s="5" t="s">
        <v>15</v>
      </c>
      <c r="J775" s="5" t="s">
        <v>1049</v>
      </c>
    </row>
    <row r="776" spans="1:10" x14ac:dyDescent="0.15">
      <c r="A776" s="5" t="s">
        <v>48</v>
      </c>
      <c r="B776" s="5" t="s">
        <v>204</v>
      </c>
      <c r="C776" s="5" t="s">
        <v>37</v>
      </c>
      <c r="D776" s="5" t="s">
        <v>38</v>
      </c>
      <c r="E776" s="9">
        <v>43773</v>
      </c>
      <c r="F776" s="6">
        <v>1950</v>
      </c>
      <c r="G776" s="5" t="s">
        <v>15</v>
      </c>
      <c r="H776" s="6">
        <f>SUMIFS(InventTrans!F:F,InventTrans!B:B,AtlasReport_3_Table_1[[#This Row],[Lot ID]],InventTrans!C:C,AtlasReport_3_Table_1[[#This Row],[Ship date]])</f>
        <v>1950</v>
      </c>
      <c r="I776" s="5" t="s">
        <v>15</v>
      </c>
      <c r="J776" s="5" t="s">
        <v>1050</v>
      </c>
    </row>
    <row r="777" spans="1:10" x14ac:dyDescent="0.15">
      <c r="A777" s="5" t="s">
        <v>48</v>
      </c>
      <c r="B777" s="5" t="s">
        <v>205</v>
      </c>
      <c r="C777" s="5" t="s">
        <v>37</v>
      </c>
      <c r="D777" s="5" t="s">
        <v>38</v>
      </c>
      <c r="E777" s="9">
        <v>43774</v>
      </c>
      <c r="F777" s="6">
        <v>1950</v>
      </c>
      <c r="G777" s="5" t="s">
        <v>15</v>
      </c>
      <c r="H777" s="6">
        <f>SUMIFS(InventTrans!F:F,InventTrans!B:B,AtlasReport_3_Table_1[[#This Row],[Lot ID]],InventTrans!C:C,AtlasReport_3_Table_1[[#This Row],[Ship date]])</f>
        <v>1950</v>
      </c>
      <c r="I777" s="5" t="s">
        <v>15</v>
      </c>
      <c r="J777" s="5" t="s">
        <v>1051</v>
      </c>
    </row>
    <row r="778" spans="1:10" x14ac:dyDescent="0.15">
      <c r="A778" s="5" t="s">
        <v>48</v>
      </c>
      <c r="B778" s="5" t="s">
        <v>206</v>
      </c>
      <c r="C778" s="5" t="s">
        <v>35</v>
      </c>
      <c r="D778" s="5" t="s">
        <v>36</v>
      </c>
      <c r="E778" s="9">
        <v>43775</v>
      </c>
      <c r="F778" s="6">
        <v>975</v>
      </c>
      <c r="G778" s="5" t="s">
        <v>15</v>
      </c>
      <c r="H778" s="6">
        <f>SUMIFS(InventTrans!F:F,InventTrans!B:B,AtlasReport_3_Table_1[[#This Row],[Lot ID]],InventTrans!C:C,AtlasReport_3_Table_1[[#This Row],[Ship date]])</f>
        <v>975</v>
      </c>
      <c r="I778" s="5" t="s">
        <v>15</v>
      </c>
      <c r="J778" s="5" t="s">
        <v>1052</v>
      </c>
    </row>
    <row r="779" spans="1:10" x14ac:dyDescent="0.15">
      <c r="A779" s="5" t="s">
        <v>48</v>
      </c>
      <c r="B779" s="5" t="s">
        <v>206</v>
      </c>
      <c r="C779" s="5" t="s">
        <v>35</v>
      </c>
      <c r="D779" s="5" t="s">
        <v>36</v>
      </c>
      <c r="E779" s="9">
        <v>43775</v>
      </c>
      <c r="F779" s="6">
        <v>-292.5</v>
      </c>
      <c r="G779" s="5" t="s">
        <v>15</v>
      </c>
      <c r="H779" s="6">
        <f>SUMIFS(InventTrans!F:F,InventTrans!B:B,AtlasReport_3_Table_1[[#This Row],[Lot ID]],InventTrans!C:C,AtlasReport_3_Table_1[[#This Row],[Ship date]])</f>
        <v>-292.5</v>
      </c>
      <c r="I779" s="5" t="s">
        <v>15</v>
      </c>
      <c r="J779" s="5" t="s">
        <v>1053</v>
      </c>
    </row>
    <row r="780" spans="1:10" x14ac:dyDescent="0.15">
      <c r="A780" s="5" t="s">
        <v>48</v>
      </c>
      <c r="B780" s="5" t="s">
        <v>207</v>
      </c>
      <c r="C780" s="5" t="s">
        <v>42</v>
      </c>
      <c r="D780" s="5" t="s">
        <v>38</v>
      </c>
      <c r="E780" s="9">
        <v>43774</v>
      </c>
      <c r="F780" s="6">
        <v>7950</v>
      </c>
      <c r="G780" s="5" t="s">
        <v>15</v>
      </c>
      <c r="H780" s="6">
        <f>SUMIFS(InventTrans!F:F,InventTrans!B:B,AtlasReport_3_Table_1[[#This Row],[Lot ID]],InventTrans!C:C,AtlasReport_3_Table_1[[#This Row],[Ship date]])</f>
        <v>7950</v>
      </c>
      <c r="I780" s="5" t="s">
        <v>15</v>
      </c>
      <c r="J780" s="5" t="s">
        <v>1054</v>
      </c>
    </row>
    <row r="781" spans="1:10" x14ac:dyDescent="0.15">
      <c r="A781" s="5" t="s">
        <v>48</v>
      </c>
      <c r="B781" s="5" t="s">
        <v>207</v>
      </c>
      <c r="C781" s="5" t="s">
        <v>37</v>
      </c>
      <c r="D781" s="5" t="s">
        <v>38</v>
      </c>
      <c r="E781" s="9">
        <v>43774</v>
      </c>
      <c r="F781" s="6">
        <v>487.5</v>
      </c>
      <c r="G781" s="5" t="s">
        <v>15</v>
      </c>
      <c r="H781" s="6">
        <f>SUMIFS(InventTrans!F:F,InventTrans!B:B,AtlasReport_3_Table_1[[#This Row],[Lot ID]],InventTrans!C:C,AtlasReport_3_Table_1[[#This Row],[Ship date]])</f>
        <v>487.5</v>
      </c>
      <c r="I781" s="5" t="s">
        <v>15</v>
      </c>
      <c r="J781" s="5" t="s">
        <v>1055</v>
      </c>
    </row>
    <row r="782" spans="1:10" x14ac:dyDescent="0.15">
      <c r="A782" s="5" t="s">
        <v>48</v>
      </c>
      <c r="B782" s="5" t="s">
        <v>208</v>
      </c>
      <c r="C782" s="5" t="s">
        <v>37</v>
      </c>
      <c r="D782" s="5" t="s">
        <v>38</v>
      </c>
      <c r="E782" s="9">
        <v>43774</v>
      </c>
      <c r="F782" s="6">
        <v>6045</v>
      </c>
      <c r="G782" s="5" t="s">
        <v>15</v>
      </c>
      <c r="H782" s="6">
        <f>SUMIFS(InventTrans!F:F,InventTrans!B:B,AtlasReport_3_Table_1[[#This Row],[Lot ID]],InventTrans!C:C,AtlasReport_3_Table_1[[#This Row],[Ship date]])</f>
        <v>6045</v>
      </c>
      <c r="I782" s="5" t="s">
        <v>15</v>
      </c>
      <c r="J782" s="5" t="s">
        <v>1056</v>
      </c>
    </row>
    <row r="783" spans="1:10" x14ac:dyDescent="0.15">
      <c r="A783" s="5" t="s">
        <v>48</v>
      </c>
      <c r="B783" s="5" t="s">
        <v>209</v>
      </c>
      <c r="C783" s="5" t="s">
        <v>37</v>
      </c>
      <c r="D783" s="5" t="s">
        <v>38</v>
      </c>
      <c r="E783" s="9">
        <v>43774</v>
      </c>
      <c r="F783" s="6">
        <v>2145</v>
      </c>
      <c r="G783" s="5" t="s">
        <v>15</v>
      </c>
      <c r="H783" s="6">
        <f>SUMIFS(InventTrans!F:F,InventTrans!B:B,AtlasReport_3_Table_1[[#This Row],[Lot ID]],InventTrans!C:C,AtlasReport_3_Table_1[[#This Row],[Ship date]])</f>
        <v>2145</v>
      </c>
      <c r="I783" s="5" t="s">
        <v>15</v>
      </c>
      <c r="J783" s="5" t="s">
        <v>1057</v>
      </c>
    </row>
    <row r="784" spans="1:10" x14ac:dyDescent="0.15">
      <c r="A784" s="5" t="s">
        <v>48</v>
      </c>
      <c r="B784" s="5" t="s">
        <v>210</v>
      </c>
      <c r="C784" s="5" t="s">
        <v>37</v>
      </c>
      <c r="D784" s="5" t="s">
        <v>38</v>
      </c>
      <c r="E784" s="9">
        <v>43775</v>
      </c>
      <c r="F784" s="6">
        <v>5070</v>
      </c>
      <c r="G784" s="5" t="s">
        <v>15</v>
      </c>
      <c r="H784" s="6">
        <f>SUMIFS(InventTrans!F:F,InventTrans!B:B,AtlasReport_3_Table_1[[#This Row],[Lot ID]],InventTrans!C:C,AtlasReport_3_Table_1[[#This Row],[Ship date]])</f>
        <v>5070</v>
      </c>
      <c r="I784" s="5" t="s">
        <v>15</v>
      </c>
      <c r="J784" s="5" t="s">
        <v>1058</v>
      </c>
    </row>
    <row r="785" spans="1:10" x14ac:dyDescent="0.15">
      <c r="A785" s="5" t="s">
        <v>48</v>
      </c>
      <c r="B785" s="5" t="s">
        <v>1059</v>
      </c>
      <c r="C785" s="5" t="s">
        <v>37</v>
      </c>
      <c r="D785" s="5" t="s">
        <v>38</v>
      </c>
      <c r="E785" s="9">
        <v>43775</v>
      </c>
      <c r="F785" s="6">
        <v>2535</v>
      </c>
      <c r="G785" s="5" t="s">
        <v>15</v>
      </c>
      <c r="H785" s="6">
        <f>SUMIFS(InventTrans!F:F,InventTrans!B:B,AtlasReport_3_Table_1[[#This Row],[Lot ID]],InventTrans!C:C,AtlasReport_3_Table_1[[#This Row],[Ship date]])</f>
        <v>2535</v>
      </c>
      <c r="I785" s="5" t="s">
        <v>15</v>
      </c>
      <c r="J785" s="5" t="s">
        <v>1060</v>
      </c>
    </row>
    <row r="786" spans="1:10" x14ac:dyDescent="0.15">
      <c r="A786" s="5" t="s">
        <v>48</v>
      </c>
      <c r="B786" s="5" t="s">
        <v>1059</v>
      </c>
      <c r="C786" s="5" t="s">
        <v>43</v>
      </c>
      <c r="D786" s="5" t="s">
        <v>38</v>
      </c>
      <c r="E786" s="9">
        <v>43775</v>
      </c>
      <c r="F786" s="6">
        <v>2037</v>
      </c>
      <c r="G786" s="5" t="s">
        <v>15</v>
      </c>
      <c r="H786" s="6">
        <f>SUMIFS(InventTrans!F:F,InventTrans!B:B,AtlasReport_3_Table_1[[#This Row],[Lot ID]],InventTrans!C:C,AtlasReport_3_Table_1[[#This Row],[Ship date]])</f>
        <v>2037</v>
      </c>
      <c r="I786" s="5" t="s">
        <v>15</v>
      </c>
      <c r="J786" s="5" t="s">
        <v>1061</v>
      </c>
    </row>
    <row r="787" spans="1:10" x14ac:dyDescent="0.15">
      <c r="A787" s="5" t="s">
        <v>48</v>
      </c>
      <c r="B787" s="5" t="s">
        <v>211</v>
      </c>
      <c r="C787" s="5" t="s">
        <v>37</v>
      </c>
      <c r="D787" s="5" t="s">
        <v>38</v>
      </c>
      <c r="E787" s="9">
        <v>43775</v>
      </c>
      <c r="F787" s="6">
        <v>15015</v>
      </c>
      <c r="G787" s="5" t="s">
        <v>15</v>
      </c>
      <c r="H787" s="6">
        <f>SUMIFS(InventTrans!F:F,InventTrans!B:B,AtlasReport_3_Table_1[[#This Row],[Lot ID]],InventTrans!C:C,AtlasReport_3_Table_1[[#This Row],[Ship date]])</f>
        <v>15015</v>
      </c>
      <c r="I787" s="5" t="s">
        <v>15</v>
      </c>
      <c r="J787" s="5" t="s">
        <v>1062</v>
      </c>
    </row>
    <row r="788" spans="1:10" x14ac:dyDescent="0.15">
      <c r="A788" s="5" t="s">
        <v>48</v>
      </c>
      <c r="B788" s="5" t="s">
        <v>1063</v>
      </c>
      <c r="C788" s="5" t="s">
        <v>42</v>
      </c>
      <c r="D788" s="5" t="s">
        <v>38</v>
      </c>
      <c r="E788" s="9">
        <v>43775</v>
      </c>
      <c r="F788" s="6">
        <v>225</v>
      </c>
      <c r="G788" s="5" t="s">
        <v>15</v>
      </c>
      <c r="H788" s="6">
        <f>SUMIFS(InventTrans!F:F,InventTrans!B:B,AtlasReport_3_Table_1[[#This Row],[Lot ID]],InventTrans!C:C,AtlasReport_3_Table_1[[#This Row],[Ship date]])</f>
        <v>225</v>
      </c>
      <c r="I788" s="5" t="s">
        <v>15</v>
      </c>
      <c r="J788" s="5" t="s">
        <v>1064</v>
      </c>
    </row>
    <row r="789" spans="1:10" x14ac:dyDescent="0.15">
      <c r="A789" s="5" t="s">
        <v>48</v>
      </c>
      <c r="B789" s="5" t="s">
        <v>1063</v>
      </c>
      <c r="C789" s="5" t="s">
        <v>37</v>
      </c>
      <c r="D789" s="5" t="s">
        <v>38</v>
      </c>
      <c r="E789" s="9">
        <v>43775</v>
      </c>
      <c r="F789" s="6">
        <v>292.5</v>
      </c>
      <c r="G789" s="5" t="s">
        <v>15</v>
      </c>
      <c r="H789" s="6">
        <f>SUMIFS(InventTrans!F:F,InventTrans!B:B,AtlasReport_3_Table_1[[#This Row],[Lot ID]],InventTrans!C:C,AtlasReport_3_Table_1[[#This Row],[Ship date]])</f>
        <v>292.5</v>
      </c>
      <c r="I789" s="5" t="s">
        <v>15</v>
      </c>
      <c r="J789" s="5" t="s">
        <v>1065</v>
      </c>
    </row>
    <row r="790" spans="1:10" x14ac:dyDescent="0.15">
      <c r="A790" s="5" t="s">
        <v>48</v>
      </c>
      <c r="B790" s="5" t="s">
        <v>212</v>
      </c>
      <c r="C790" s="5" t="s">
        <v>43</v>
      </c>
      <c r="D790" s="5" t="s">
        <v>38</v>
      </c>
      <c r="E790" s="9">
        <v>43776</v>
      </c>
      <c r="F790" s="6">
        <v>145.5</v>
      </c>
      <c r="G790" s="5" t="s">
        <v>15</v>
      </c>
      <c r="H790" s="6">
        <f>SUMIFS(InventTrans!F:F,InventTrans!B:B,AtlasReport_3_Table_1[[#This Row],[Lot ID]],InventTrans!C:C,AtlasReport_3_Table_1[[#This Row],[Ship date]])</f>
        <v>145.5</v>
      </c>
      <c r="I790" s="5" t="s">
        <v>15</v>
      </c>
      <c r="J790" s="5" t="s">
        <v>1066</v>
      </c>
    </row>
    <row r="791" spans="1:10" x14ac:dyDescent="0.15">
      <c r="A791" s="5" t="s">
        <v>48</v>
      </c>
      <c r="B791" s="5" t="s">
        <v>213</v>
      </c>
      <c r="C791" s="5" t="s">
        <v>43</v>
      </c>
      <c r="D791" s="5" t="s">
        <v>38</v>
      </c>
      <c r="E791" s="9">
        <v>43777</v>
      </c>
      <c r="F791" s="6">
        <v>2085.5</v>
      </c>
      <c r="G791" s="5" t="s">
        <v>15</v>
      </c>
      <c r="H791" s="6">
        <f>SUMIFS(InventTrans!F:F,InventTrans!B:B,AtlasReport_3_Table_1[[#This Row],[Lot ID]],InventTrans!C:C,AtlasReport_3_Table_1[[#This Row],[Ship date]])</f>
        <v>2085.5</v>
      </c>
      <c r="I791" s="5" t="s">
        <v>15</v>
      </c>
      <c r="J791" s="5" t="s">
        <v>1067</v>
      </c>
    </row>
    <row r="792" spans="1:10" x14ac:dyDescent="0.15">
      <c r="A792" s="5" t="s">
        <v>48</v>
      </c>
      <c r="B792" s="5" t="s">
        <v>213</v>
      </c>
      <c r="C792" s="5" t="s">
        <v>37</v>
      </c>
      <c r="D792" s="5" t="s">
        <v>38</v>
      </c>
      <c r="E792" s="9">
        <v>43777</v>
      </c>
      <c r="F792" s="6">
        <v>23010</v>
      </c>
      <c r="G792" s="5" t="s">
        <v>15</v>
      </c>
      <c r="H792" s="6">
        <f>SUMIFS(InventTrans!F:F,InventTrans!B:B,AtlasReport_3_Table_1[[#This Row],[Lot ID]],InventTrans!C:C,AtlasReport_3_Table_1[[#This Row],[Ship date]])</f>
        <v>23010</v>
      </c>
      <c r="I792" s="5" t="s">
        <v>15</v>
      </c>
      <c r="J792" s="5" t="s">
        <v>1068</v>
      </c>
    </row>
    <row r="793" spans="1:10" x14ac:dyDescent="0.15">
      <c r="A793" s="5" t="s">
        <v>48</v>
      </c>
      <c r="B793" s="5" t="s">
        <v>214</v>
      </c>
      <c r="C793" s="5" t="s">
        <v>43</v>
      </c>
      <c r="D793" s="5" t="s">
        <v>38</v>
      </c>
      <c r="E793" s="9">
        <v>43776</v>
      </c>
      <c r="F793" s="6">
        <v>2425</v>
      </c>
      <c r="G793" s="5" t="s">
        <v>15</v>
      </c>
      <c r="H793" s="6">
        <f>SUMIFS(InventTrans!F:F,InventTrans!B:B,AtlasReport_3_Table_1[[#This Row],[Lot ID]],InventTrans!C:C,AtlasReport_3_Table_1[[#This Row],[Ship date]])</f>
        <v>2425</v>
      </c>
      <c r="I793" s="5" t="s">
        <v>15</v>
      </c>
      <c r="J793" s="5" t="s">
        <v>1069</v>
      </c>
    </row>
    <row r="794" spans="1:10" x14ac:dyDescent="0.15">
      <c r="A794" s="5" t="s">
        <v>48</v>
      </c>
      <c r="B794" s="5" t="s">
        <v>214</v>
      </c>
      <c r="C794" s="5" t="s">
        <v>37</v>
      </c>
      <c r="D794" s="5" t="s">
        <v>38</v>
      </c>
      <c r="E794" s="9">
        <v>43776</v>
      </c>
      <c r="F794" s="6">
        <v>20865</v>
      </c>
      <c r="G794" s="5" t="s">
        <v>15</v>
      </c>
      <c r="H794" s="6">
        <f>SUMIFS(InventTrans!F:F,InventTrans!B:B,AtlasReport_3_Table_1[[#This Row],[Lot ID]],InventTrans!C:C,AtlasReport_3_Table_1[[#This Row],[Ship date]])</f>
        <v>20865</v>
      </c>
      <c r="I794" s="5" t="s">
        <v>15</v>
      </c>
      <c r="J794" s="5" t="s">
        <v>1070</v>
      </c>
    </row>
    <row r="795" spans="1:10" x14ac:dyDescent="0.15">
      <c r="A795" s="5" t="s">
        <v>48</v>
      </c>
      <c r="B795" s="5" t="s">
        <v>215</v>
      </c>
      <c r="C795" s="5" t="s">
        <v>41</v>
      </c>
      <c r="D795" s="5" t="s">
        <v>36</v>
      </c>
      <c r="E795" s="9">
        <v>43781</v>
      </c>
      <c r="F795" s="6">
        <v>3492</v>
      </c>
      <c r="G795" s="5" t="s">
        <v>15</v>
      </c>
      <c r="H795" s="6">
        <f>SUMIFS(InventTrans!F:F,InventTrans!B:B,AtlasReport_3_Table_1[[#This Row],[Lot ID]],InventTrans!C:C,AtlasReport_3_Table_1[[#This Row],[Ship date]])</f>
        <v>3492</v>
      </c>
      <c r="I795" s="5" t="s">
        <v>15</v>
      </c>
      <c r="J795" s="5" t="s">
        <v>1071</v>
      </c>
    </row>
    <row r="796" spans="1:10" x14ac:dyDescent="0.15">
      <c r="A796" s="5" t="s">
        <v>48</v>
      </c>
      <c r="B796" s="5" t="s">
        <v>216</v>
      </c>
      <c r="C796" s="5" t="s">
        <v>41</v>
      </c>
      <c r="D796" s="5" t="s">
        <v>36</v>
      </c>
      <c r="E796" s="9">
        <v>43781</v>
      </c>
      <c r="F796" s="6">
        <v>339.5</v>
      </c>
      <c r="G796" s="5" t="s">
        <v>15</v>
      </c>
      <c r="H796" s="6">
        <f>SUMIFS(InventTrans!F:F,InventTrans!B:B,AtlasReport_3_Table_1[[#This Row],[Lot ID]],InventTrans!C:C,AtlasReport_3_Table_1[[#This Row],[Ship date]])</f>
        <v>339.5</v>
      </c>
      <c r="I796" s="5" t="s">
        <v>15</v>
      </c>
      <c r="J796" s="5" t="s">
        <v>1072</v>
      </c>
    </row>
    <row r="797" spans="1:10" x14ac:dyDescent="0.15">
      <c r="A797" s="5" t="s">
        <v>48</v>
      </c>
      <c r="B797" s="5" t="s">
        <v>216</v>
      </c>
      <c r="C797" s="5" t="s">
        <v>35</v>
      </c>
      <c r="D797" s="5" t="s">
        <v>36</v>
      </c>
      <c r="E797" s="9">
        <v>43781</v>
      </c>
      <c r="F797" s="6">
        <v>3900</v>
      </c>
      <c r="G797" s="5" t="s">
        <v>15</v>
      </c>
      <c r="H797" s="6">
        <f>SUMIFS(InventTrans!F:F,InventTrans!B:B,AtlasReport_3_Table_1[[#This Row],[Lot ID]],InventTrans!C:C,AtlasReport_3_Table_1[[#This Row],[Ship date]])</f>
        <v>3900</v>
      </c>
      <c r="I797" s="5" t="s">
        <v>15</v>
      </c>
      <c r="J797" s="5" t="s">
        <v>1073</v>
      </c>
    </row>
    <row r="798" spans="1:10" x14ac:dyDescent="0.15">
      <c r="A798" s="5" t="s">
        <v>48</v>
      </c>
      <c r="B798" s="5" t="s">
        <v>217</v>
      </c>
      <c r="C798" s="5" t="s">
        <v>43</v>
      </c>
      <c r="D798" s="5" t="s">
        <v>38</v>
      </c>
      <c r="E798" s="9">
        <v>43777</v>
      </c>
      <c r="F798" s="6">
        <v>48.5</v>
      </c>
      <c r="G798" s="5" t="s">
        <v>15</v>
      </c>
      <c r="H798" s="6">
        <f>SUMIFS(InventTrans!F:F,InventTrans!B:B,AtlasReport_3_Table_1[[#This Row],[Lot ID]],InventTrans!C:C,AtlasReport_3_Table_1[[#This Row],[Ship date]])</f>
        <v>48.5</v>
      </c>
      <c r="I798" s="5" t="s">
        <v>15</v>
      </c>
      <c r="J798" s="5" t="s">
        <v>1074</v>
      </c>
    </row>
    <row r="799" spans="1:10" x14ac:dyDescent="0.15">
      <c r="A799" s="5" t="s">
        <v>48</v>
      </c>
      <c r="B799" s="5" t="s">
        <v>218</v>
      </c>
      <c r="C799" s="5" t="s">
        <v>37</v>
      </c>
      <c r="D799" s="5" t="s">
        <v>38</v>
      </c>
      <c r="E799" s="9">
        <v>43776</v>
      </c>
      <c r="F799" s="6">
        <v>10920</v>
      </c>
      <c r="G799" s="5" t="s">
        <v>15</v>
      </c>
      <c r="H799" s="6">
        <f>SUMIFS(InventTrans!F:F,InventTrans!B:B,AtlasReport_3_Table_1[[#This Row],[Lot ID]],InventTrans!C:C,AtlasReport_3_Table_1[[#This Row],[Ship date]])</f>
        <v>10920</v>
      </c>
      <c r="I799" s="5" t="s">
        <v>15</v>
      </c>
      <c r="J799" s="5" t="s">
        <v>1075</v>
      </c>
    </row>
    <row r="800" spans="1:10" x14ac:dyDescent="0.15">
      <c r="A800" s="5" t="s">
        <v>48</v>
      </c>
      <c r="B800" s="5" t="s">
        <v>219</v>
      </c>
      <c r="C800" s="5" t="s">
        <v>57</v>
      </c>
      <c r="D800" s="5" t="s">
        <v>54</v>
      </c>
      <c r="E800" s="9">
        <v>43781</v>
      </c>
      <c r="F800" s="6">
        <v>2037</v>
      </c>
      <c r="G800" s="5" t="s">
        <v>15</v>
      </c>
      <c r="H800" s="6">
        <f>SUMIFS(InventTrans!F:F,InventTrans!B:B,AtlasReport_3_Table_1[[#This Row],[Lot ID]],InventTrans!C:C,AtlasReport_3_Table_1[[#This Row],[Ship date]])</f>
        <v>2037</v>
      </c>
      <c r="I800" s="5" t="s">
        <v>15</v>
      </c>
      <c r="J800" s="5" t="s">
        <v>1076</v>
      </c>
    </row>
    <row r="801" spans="1:10" x14ac:dyDescent="0.15">
      <c r="A801" s="5" t="s">
        <v>48</v>
      </c>
      <c r="B801" s="5" t="s">
        <v>220</v>
      </c>
      <c r="C801" s="5" t="s">
        <v>37</v>
      </c>
      <c r="D801" s="5" t="s">
        <v>38</v>
      </c>
      <c r="E801" s="9">
        <v>43782</v>
      </c>
      <c r="F801" s="6">
        <v>2340</v>
      </c>
      <c r="G801" s="5" t="s">
        <v>15</v>
      </c>
      <c r="H801" s="6">
        <f>SUMIFS(InventTrans!F:F,InventTrans!B:B,AtlasReport_3_Table_1[[#This Row],[Lot ID]],InventTrans!C:C,AtlasReport_3_Table_1[[#This Row],[Ship date]])</f>
        <v>2340</v>
      </c>
      <c r="I801" s="5" t="s">
        <v>15</v>
      </c>
      <c r="J801" s="5" t="s">
        <v>1077</v>
      </c>
    </row>
    <row r="802" spans="1:10" x14ac:dyDescent="0.15">
      <c r="A802" s="5" t="s">
        <v>48</v>
      </c>
      <c r="B802" s="5" t="s">
        <v>221</v>
      </c>
      <c r="C802" s="5" t="s">
        <v>42</v>
      </c>
      <c r="D802" s="5" t="s">
        <v>38</v>
      </c>
      <c r="E802" s="9">
        <v>43782</v>
      </c>
      <c r="F802" s="6">
        <v>600</v>
      </c>
      <c r="G802" s="5" t="s">
        <v>15</v>
      </c>
      <c r="H802" s="6">
        <f>SUMIFS(InventTrans!F:F,InventTrans!B:B,AtlasReport_3_Table_1[[#This Row],[Lot ID]],InventTrans!C:C,AtlasReport_3_Table_1[[#This Row],[Ship date]])</f>
        <v>600</v>
      </c>
      <c r="I802" s="5" t="s">
        <v>15</v>
      </c>
      <c r="J802" s="5" t="s">
        <v>1078</v>
      </c>
    </row>
    <row r="803" spans="1:10" x14ac:dyDescent="0.15">
      <c r="A803" s="5" t="s">
        <v>48</v>
      </c>
      <c r="B803" s="5" t="s">
        <v>1079</v>
      </c>
      <c r="C803" s="5" t="s">
        <v>37</v>
      </c>
      <c r="D803" s="5" t="s">
        <v>38</v>
      </c>
      <c r="E803" s="9">
        <v>43783</v>
      </c>
      <c r="F803" s="6">
        <v>3900</v>
      </c>
      <c r="G803" s="5" t="s">
        <v>15</v>
      </c>
      <c r="H803" s="6">
        <f>SUMIFS(InventTrans!F:F,InventTrans!B:B,AtlasReport_3_Table_1[[#This Row],[Lot ID]],InventTrans!C:C,AtlasReport_3_Table_1[[#This Row],[Ship date]])</f>
        <v>3900</v>
      </c>
      <c r="I803" s="5" t="s">
        <v>15</v>
      </c>
      <c r="J803" s="5" t="s">
        <v>1080</v>
      </c>
    </row>
    <row r="804" spans="1:10" x14ac:dyDescent="0.15">
      <c r="A804" s="5" t="s">
        <v>48</v>
      </c>
      <c r="B804" s="5" t="s">
        <v>222</v>
      </c>
      <c r="C804" s="5" t="s">
        <v>35</v>
      </c>
      <c r="D804" s="5" t="s">
        <v>36</v>
      </c>
      <c r="E804" s="9">
        <v>43783</v>
      </c>
      <c r="F804" s="6">
        <v>1365</v>
      </c>
      <c r="G804" s="5" t="s">
        <v>15</v>
      </c>
      <c r="H804" s="6">
        <f>SUMIFS(InventTrans!F:F,InventTrans!B:B,AtlasReport_3_Table_1[[#This Row],[Lot ID]],InventTrans!C:C,AtlasReport_3_Table_1[[#This Row],[Ship date]])</f>
        <v>1365</v>
      </c>
      <c r="I804" s="5" t="s">
        <v>15</v>
      </c>
      <c r="J804" s="5" t="s">
        <v>1081</v>
      </c>
    </row>
    <row r="805" spans="1:10" x14ac:dyDescent="0.15">
      <c r="A805" s="5" t="s">
        <v>48</v>
      </c>
      <c r="B805" s="5" t="s">
        <v>223</v>
      </c>
      <c r="C805" s="5" t="s">
        <v>35</v>
      </c>
      <c r="D805" s="5" t="s">
        <v>36</v>
      </c>
      <c r="E805" s="9">
        <v>43783</v>
      </c>
      <c r="F805" s="6">
        <v>585</v>
      </c>
      <c r="G805" s="5" t="s">
        <v>15</v>
      </c>
      <c r="H805" s="6">
        <f>SUMIFS(InventTrans!F:F,InventTrans!B:B,AtlasReport_3_Table_1[[#This Row],[Lot ID]],InventTrans!C:C,AtlasReport_3_Table_1[[#This Row],[Ship date]])</f>
        <v>585</v>
      </c>
      <c r="I805" s="5" t="s">
        <v>15</v>
      </c>
      <c r="J805" s="5" t="s">
        <v>1082</v>
      </c>
    </row>
    <row r="806" spans="1:10" x14ac:dyDescent="0.15">
      <c r="A806" s="5" t="s">
        <v>48</v>
      </c>
      <c r="B806" s="5" t="s">
        <v>224</v>
      </c>
      <c r="C806" s="5" t="s">
        <v>42</v>
      </c>
      <c r="D806" s="5" t="s">
        <v>38</v>
      </c>
      <c r="E806" s="9">
        <v>43783</v>
      </c>
      <c r="F806" s="6">
        <v>5175</v>
      </c>
      <c r="G806" s="5" t="s">
        <v>15</v>
      </c>
      <c r="H806" s="6">
        <f>SUMIFS(InventTrans!F:F,InventTrans!B:B,AtlasReport_3_Table_1[[#This Row],[Lot ID]],InventTrans!C:C,AtlasReport_3_Table_1[[#This Row],[Ship date]])</f>
        <v>5175</v>
      </c>
      <c r="I806" s="5" t="s">
        <v>15</v>
      </c>
      <c r="J806" s="5" t="s">
        <v>1083</v>
      </c>
    </row>
    <row r="807" spans="1:10" x14ac:dyDescent="0.15">
      <c r="A807" s="5" t="s">
        <v>48</v>
      </c>
      <c r="B807" s="5" t="s">
        <v>225</v>
      </c>
      <c r="C807" s="5" t="s">
        <v>37</v>
      </c>
      <c r="D807" s="5" t="s">
        <v>38</v>
      </c>
      <c r="E807" s="9">
        <v>43783</v>
      </c>
      <c r="F807" s="6">
        <v>1950</v>
      </c>
      <c r="G807" s="5" t="s">
        <v>15</v>
      </c>
      <c r="H807" s="6">
        <f>SUMIFS(InventTrans!F:F,InventTrans!B:B,AtlasReport_3_Table_1[[#This Row],[Lot ID]],InventTrans!C:C,AtlasReport_3_Table_1[[#This Row],[Ship date]])</f>
        <v>1950</v>
      </c>
      <c r="I807" s="5" t="s">
        <v>15</v>
      </c>
      <c r="J807" s="5" t="s">
        <v>1084</v>
      </c>
    </row>
    <row r="808" spans="1:10" x14ac:dyDescent="0.15">
      <c r="A808" s="5" t="s">
        <v>48</v>
      </c>
      <c r="B808" s="5" t="s">
        <v>226</v>
      </c>
      <c r="C808" s="5" t="s">
        <v>35</v>
      </c>
      <c r="D808" s="5" t="s">
        <v>36</v>
      </c>
      <c r="E808" s="9">
        <v>43782</v>
      </c>
      <c r="F808" s="6">
        <v>1170</v>
      </c>
      <c r="G808" s="5" t="s">
        <v>15</v>
      </c>
      <c r="H808" s="6">
        <f>SUMIFS(InventTrans!F:F,InventTrans!B:B,AtlasReport_3_Table_1[[#This Row],[Lot ID]],InventTrans!C:C,AtlasReport_3_Table_1[[#This Row],[Ship date]])</f>
        <v>1170</v>
      </c>
      <c r="I808" s="5" t="s">
        <v>15</v>
      </c>
      <c r="J808" s="5" t="s">
        <v>1085</v>
      </c>
    </row>
    <row r="809" spans="1:10" x14ac:dyDescent="0.15">
      <c r="A809" s="5" t="s">
        <v>48</v>
      </c>
      <c r="B809" s="5" t="s">
        <v>227</v>
      </c>
      <c r="C809" s="5" t="s">
        <v>37</v>
      </c>
      <c r="D809" s="5" t="s">
        <v>38</v>
      </c>
      <c r="E809" s="9">
        <v>43787</v>
      </c>
      <c r="F809" s="6">
        <v>2535</v>
      </c>
      <c r="G809" s="5" t="s">
        <v>15</v>
      </c>
      <c r="H809" s="6">
        <f>SUMIFS(InventTrans!F:F,InventTrans!B:B,AtlasReport_3_Table_1[[#This Row],[Lot ID]],InventTrans!C:C,AtlasReport_3_Table_1[[#This Row],[Ship date]])</f>
        <v>2535</v>
      </c>
      <c r="I809" s="5" t="s">
        <v>15</v>
      </c>
      <c r="J809" s="5" t="s">
        <v>1086</v>
      </c>
    </row>
    <row r="810" spans="1:10" x14ac:dyDescent="0.15">
      <c r="A810" s="5" t="s">
        <v>48</v>
      </c>
      <c r="B810" s="5" t="s">
        <v>227</v>
      </c>
      <c r="C810" s="5" t="s">
        <v>42</v>
      </c>
      <c r="D810" s="5" t="s">
        <v>38</v>
      </c>
      <c r="E810" s="9">
        <v>43787</v>
      </c>
      <c r="F810" s="6">
        <v>1950</v>
      </c>
      <c r="G810" s="5" t="s">
        <v>15</v>
      </c>
      <c r="H810" s="6">
        <f>SUMIFS(InventTrans!F:F,InventTrans!B:B,AtlasReport_3_Table_1[[#This Row],[Lot ID]],InventTrans!C:C,AtlasReport_3_Table_1[[#This Row],[Ship date]])</f>
        <v>1950</v>
      </c>
      <c r="I810" s="5" t="s">
        <v>15</v>
      </c>
      <c r="J810" s="5" t="s">
        <v>1087</v>
      </c>
    </row>
    <row r="811" spans="1:10" x14ac:dyDescent="0.15">
      <c r="A811" s="5" t="s">
        <v>48</v>
      </c>
      <c r="B811" s="5" t="s">
        <v>227</v>
      </c>
      <c r="C811" s="5" t="s">
        <v>35</v>
      </c>
      <c r="D811" s="5" t="s">
        <v>36</v>
      </c>
      <c r="E811" s="9">
        <v>43787</v>
      </c>
      <c r="F811" s="6">
        <v>487.5</v>
      </c>
      <c r="G811" s="5" t="s">
        <v>15</v>
      </c>
      <c r="H811" s="6">
        <f>SUMIFS(InventTrans!F:F,InventTrans!B:B,AtlasReport_3_Table_1[[#This Row],[Lot ID]],InventTrans!C:C,AtlasReport_3_Table_1[[#This Row],[Ship date]])</f>
        <v>487.5</v>
      </c>
      <c r="I811" s="5" t="s">
        <v>15</v>
      </c>
      <c r="J811" s="5" t="s">
        <v>1088</v>
      </c>
    </row>
    <row r="812" spans="1:10" x14ac:dyDescent="0.15">
      <c r="A812" s="5" t="s">
        <v>48</v>
      </c>
      <c r="B812" s="5" t="s">
        <v>227</v>
      </c>
      <c r="C812" s="5" t="s">
        <v>40</v>
      </c>
      <c r="D812" s="5" t="s">
        <v>36</v>
      </c>
      <c r="E812" s="9">
        <v>43787</v>
      </c>
      <c r="F812" s="6">
        <v>300</v>
      </c>
      <c r="G812" s="5" t="s">
        <v>15</v>
      </c>
      <c r="H812" s="6">
        <f>SUMIFS(InventTrans!F:F,InventTrans!B:B,AtlasReport_3_Table_1[[#This Row],[Lot ID]],InventTrans!C:C,AtlasReport_3_Table_1[[#This Row],[Ship date]])</f>
        <v>300</v>
      </c>
      <c r="I812" s="5" t="s">
        <v>15</v>
      </c>
      <c r="J812" s="5" t="s">
        <v>1089</v>
      </c>
    </row>
    <row r="813" spans="1:10" x14ac:dyDescent="0.15">
      <c r="A813" s="5" t="s">
        <v>48</v>
      </c>
      <c r="B813" s="5" t="s">
        <v>228</v>
      </c>
      <c r="C813" s="5" t="s">
        <v>37</v>
      </c>
      <c r="D813" s="5" t="s">
        <v>38</v>
      </c>
      <c r="E813" s="9">
        <v>43787</v>
      </c>
      <c r="F813" s="6">
        <v>975</v>
      </c>
      <c r="G813" s="5" t="s">
        <v>15</v>
      </c>
      <c r="H813" s="6">
        <f>SUMIFS(InventTrans!F:F,InventTrans!B:B,AtlasReport_3_Table_1[[#This Row],[Lot ID]],InventTrans!C:C,AtlasReport_3_Table_1[[#This Row],[Ship date]])</f>
        <v>975</v>
      </c>
      <c r="I813" s="5" t="s">
        <v>15</v>
      </c>
      <c r="J813" s="5" t="s">
        <v>1090</v>
      </c>
    </row>
    <row r="814" spans="1:10" x14ac:dyDescent="0.15">
      <c r="A814" s="5" t="s">
        <v>48</v>
      </c>
      <c r="B814" s="5" t="s">
        <v>229</v>
      </c>
      <c r="C814" s="5" t="s">
        <v>37</v>
      </c>
      <c r="D814" s="5" t="s">
        <v>38</v>
      </c>
      <c r="E814" s="9">
        <v>43790</v>
      </c>
      <c r="F814" s="6">
        <v>3900</v>
      </c>
      <c r="G814" s="5" t="s">
        <v>15</v>
      </c>
      <c r="H814" s="6">
        <f>SUMIFS(InventTrans!F:F,InventTrans!B:B,AtlasReport_3_Table_1[[#This Row],[Lot ID]],InventTrans!C:C,AtlasReport_3_Table_1[[#This Row],[Ship date]])</f>
        <v>3900</v>
      </c>
      <c r="I814" s="5" t="s">
        <v>15</v>
      </c>
      <c r="J814" s="5" t="s">
        <v>1091</v>
      </c>
    </row>
    <row r="815" spans="1:10" x14ac:dyDescent="0.15">
      <c r="A815" s="5" t="s">
        <v>48</v>
      </c>
      <c r="B815" s="5" t="s">
        <v>229</v>
      </c>
      <c r="C815" s="5" t="s">
        <v>35</v>
      </c>
      <c r="D815" s="5" t="s">
        <v>36</v>
      </c>
      <c r="E815" s="9">
        <v>43790</v>
      </c>
      <c r="F815" s="6">
        <v>3900</v>
      </c>
      <c r="G815" s="5" t="s">
        <v>15</v>
      </c>
      <c r="H815" s="6">
        <f>SUMIFS(InventTrans!F:F,InventTrans!B:B,AtlasReport_3_Table_1[[#This Row],[Lot ID]],InventTrans!C:C,AtlasReport_3_Table_1[[#This Row],[Ship date]])</f>
        <v>3900</v>
      </c>
      <c r="I815" s="5" t="s">
        <v>15</v>
      </c>
      <c r="J815" s="5" t="s">
        <v>1092</v>
      </c>
    </row>
    <row r="816" spans="1:10" x14ac:dyDescent="0.15">
      <c r="A816" s="5" t="s">
        <v>48</v>
      </c>
      <c r="B816" s="5" t="s">
        <v>230</v>
      </c>
      <c r="C816" s="5" t="s">
        <v>35</v>
      </c>
      <c r="D816" s="5" t="s">
        <v>36</v>
      </c>
      <c r="E816" s="9">
        <v>43787</v>
      </c>
      <c r="F816" s="6">
        <v>1852.5</v>
      </c>
      <c r="G816" s="5" t="s">
        <v>15</v>
      </c>
      <c r="H816" s="6">
        <f>SUMIFS(InventTrans!F:F,InventTrans!B:B,AtlasReport_3_Table_1[[#This Row],[Lot ID]],InventTrans!C:C,AtlasReport_3_Table_1[[#This Row],[Ship date]])</f>
        <v>1852.5</v>
      </c>
      <c r="I816" s="5" t="s">
        <v>15</v>
      </c>
      <c r="J816" s="5" t="s">
        <v>1093</v>
      </c>
    </row>
    <row r="817" spans="1:10" x14ac:dyDescent="0.15">
      <c r="A817" s="5" t="s">
        <v>48</v>
      </c>
      <c r="B817" s="5" t="s">
        <v>231</v>
      </c>
      <c r="C817" s="5" t="s">
        <v>41</v>
      </c>
      <c r="D817" s="5" t="s">
        <v>36</v>
      </c>
      <c r="E817" s="9">
        <v>43788</v>
      </c>
      <c r="F817" s="6">
        <v>485</v>
      </c>
      <c r="G817" s="5" t="s">
        <v>15</v>
      </c>
      <c r="H817" s="6">
        <f>SUMIFS(InventTrans!F:F,InventTrans!B:B,AtlasReport_3_Table_1[[#This Row],[Lot ID]],InventTrans!C:C,AtlasReport_3_Table_1[[#This Row],[Ship date]])</f>
        <v>485</v>
      </c>
      <c r="I817" s="5" t="s">
        <v>15</v>
      </c>
      <c r="J817" s="5" t="s">
        <v>1094</v>
      </c>
    </row>
    <row r="818" spans="1:10" x14ac:dyDescent="0.15">
      <c r="A818" s="5" t="s">
        <v>48</v>
      </c>
      <c r="B818" s="5" t="s">
        <v>1095</v>
      </c>
      <c r="C818" s="5" t="s">
        <v>43</v>
      </c>
      <c r="D818" s="5" t="s">
        <v>38</v>
      </c>
      <c r="E818" s="9">
        <v>43788</v>
      </c>
      <c r="F818" s="6">
        <v>145.5</v>
      </c>
      <c r="G818" s="5" t="s">
        <v>15</v>
      </c>
      <c r="H818" s="6">
        <f>SUMIFS(InventTrans!F:F,InventTrans!B:B,AtlasReport_3_Table_1[[#This Row],[Lot ID]],InventTrans!C:C,AtlasReport_3_Table_1[[#This Row],[Ship date]])</f>
        <v>145.5</v>
      </c>
      <c r="I818" s="5" t="s">
        <v>15</v>
      </c>
      <c r="J818" s="5" t="s">
        <v>1096</v>
      </c>
    </row>
    <row r="819" spans="1:10" x14ac:dyDescent="0.15">
      <c r="A819" s="5" t="s">
        <v>48</v>
      </c>
      <c r="B819" s="5" t="s">
        <v>1095</v>
      </c>
      <c r="C819" s="5" t="s">
        <v>37</v>
      </c>
      <c r="D819" s="5" t="s">
        <v>38</v>
      </c>
      <c r="E819" s="9">
        <v>43788</v>
      </c>
      <c r="F819" s="6">
        <v>292.5</v>
      </c>
      <c r="G819" s="5" t="s">
        <v>15</v>
      </c>
      <c r="H819" s="6">
        <f>SUMIFS(InventTrans!F:F,InventTrans!B:B,AtlasReport_3_Table_1[[#This Row],[Lot ID]],InventTrans!C:C,AtlasReport_3_Table_1[[#This Row],[Ship date]])</f>
        <v>292.5</v>
      </c>
      <c r="I819" s="5" t="s">
        <v>15</v>
      </c>
      <c r="J819" s="5" t="s">
        <v>1097</v>
      </c>
    </row>
    <row r="820" spans="1:10" x14ac:dyDescent="0.15">
      <c r="A820" s="5" t="s">
        <v>48</v>
      </c>
      <c r="B820" s="5" t="s">
        <v>232</v>
      </c>
      <c r="C820" s="5" t="s">
        <v>37</v>
      </c>
      <c r="D820" s="5" t="s">
        <v>38</v>
      </c>
      <c r="E820" s="9">
        <v>43788</v>
      </c>
      <c r="F820" s="6">
        <v>2340</v>
      </c>
      <c r="G820" s="5" t="s">
        <v>15</v>
      </c>
      <c r="H820" s="6">
        <f>SUMIFS(InventTrans!F:F,InventTrans!B:B,AtlasReport_3_Table_1[[#This Row],[Lot ID]],InventTrans!C:C,AtlasReport_3_Table_1[[#This Row],[Ship date]])</f>
        <v>2340</v>
      </c>
      <c r="I820" s="5" t="s">
        <v>15</v>
      </c>
      <c r="J820" s="5" t="s">
        <v>1098</v>
      </c>
    </row>
    <row r="821" spans="1:10" x14ac:dyDescent="0.15">
      <c r="A821" s="5" t="s">
        <v>48</v>
      </c>
      <c r="B821" s="5" t="s">
        <v>232</v>
      </c>
      <c r="C821" s="5" t="s">
        <v>42</v>
      </c>
      <c r="D821" s="5" t="s">
        <v>38</v>
      </c>
      <c r="E821" s="9">
        <v>43788</v>
      </c>
      <c r="F821" s="6">
        <v>750</v>
      </c>
      <c r="G821" s="5" t="s">
        <v>15</v>
      </c>
      <c r="H821" s="6">
        <f>SUMIFS(InventTrans!F:F,InventTrans!B:B,AtlasReport_3_Table_1[[#This Row],[Lot ID]],InventTrans!C:C,AtlasReport_3_Table_1[[#This Row],[Ship date]])</f>
        <v>750</v>
      </c>
      <c r="I821" s="5" t="s">
        <v>15</v>
      </c>
      <c r="J821" s="5" t="s">
        <v>1099</v>
      </c>
    </row>
    <row r="822" spans="1:10" x14ac:dyDescent="0.15">
      <c r="A822" s="5" t="s">
        <v>48</v>
      </c>
      <c r="B822" s="5" t="s">
        <v>232</v>
      </c>
      <c r="C822" s="5" t="s">
        <v>61</v>
      </c>
      <c r="D822" s="5" t="s">
        <v>62</v>
      </c>
      <c r="E822" s="9">
        <v>43788</v>
      </c>
      <c r="F822" s="6">
        <v>1050</v>
      </c>
      <c r="G822" s="5" t="s">
        <v>15</v>
      </c>
      <c r="H822" s="6">
        <f>SUMIFS(InventTrans!F:F,InventTrans!B:B,AtlasReport_3_Table_1[[#This Row],[Lot ID]],InventTrans!C:C,AtlasReport_3_Table_1[[#This Row],[Ship date]])</f>
        <v>1050</v>
      </c>
      <c r="I822" s="5" t="s">
        <v>15</v>
      </c>
      <c r="J822" s="5" t="s">
        <v>1100</v>
      </c>
    </row>
    <row r="823" spans="1:10" x14ac:dyDescent="0.15">
      <c r="A823" s="5" t="s">
        <v>48</v>
      </c>
      <c r="B823" s="5" t="s">
        <v>233</v>
      </c>
      <c r="C823" s="5" t="s">
        <v>35</v>
      </c>
      <c r="D823" s="5" t="s">
        <v>36</v>
      </c>
      <c r="E823" s="9">
        <v>43788</v>
      </c>
      <c r="F823" s="6">
        <v>2047.5</v>
      </c>
      <c r="G823" s="5" t="s">
        <v>15</v>
      </c>
      <c r="H823" s="6">
        <f>SUMIFS(InventTrans!F:F,InventTrans!B:B,AtlasReport_3_Table_1[[#This Row],[Lot ID]],InventTrans!C:C,AtlasReport_3_Table_1[[#This Row],[Ship date]])</f>
        <v>2047.5</v>
      </c>
      <c r="I823" s="5" t="s">
        <v>15</v>
      </c>
      <c r="J823" s="5" t="s">
        <v>1101</v>
      </c>
    </row>
    <row r="824" spans="1:10" x14ac:dyDescent="0.15">
      <c r="A824" s="5" t="s">
        <v>48</v>
      </c>
      <c r="B824" s="5" t="s">
        <v>1102</v>
      </c>
      <c r="C824" s="5" t="s">
        <v>35</v>
      </c>
      <c r="D824" s="5" t="s">
        <v>36</v>
      </c>
      <c r="E824" s="9">
        <v>43788</v>
      </c>
      <c r="F824" s="6">
        <v>1852.5</v>
      </c>
      <c r="G824" s="5" t="s">
        <v>15</v>
      </c>
      <c r="H824" s="6">
        <f>SUMIFS(InventTrans!F:F,InventTrans!B:B,AtlasReport_3_Table_1[[#This Row],[Lot ID]],InventTrans!C:C,AtlasReport_3_Table_1[[#This Row],[Ship date]])</f>
        <v>1852.5</v>
      </c>
      <c r="I824" s="5" t="s">
        <v>15</v>
      </c>
      <c r="J824" s="5" t="s">
        <v>1103</v>
      </c>
    </row>
    <row r="825" spans="1:10" x14ac:dyDescent="0.15">
      <c r="A825" s="5" t="s">
        <v>48</v>
      </c>
      <c r="B825" s="5" t="s">
        <v>1104</v>
      </c>
      <c r="C825" s="5" t="s">
        <v>42</v>
      </c>
      <c r="D825" s="5" t="s">
        <v>38</v>
      </c>
      <c r="E825" s="9">
        <v>43789</v>
      </c>
      <c r="F825" s="6">
        <v>1500</v>
      </c>
      <c r="G825" s="5" t="s">
        <v>15</v>
      </c>
      <c r="H825" s="6">
        <f>SUMIFS(InventTrans!F:F,InventTrans!B:B,AtlasReport_3_Table_1[[#This Row],[Lot ID]],InventTrans!C:C,AtlasReport_3_Table_1[[#This Row],[Ship date]])</f>
        <v>1500</v>
      </c>
      <c r="I825" s="5" t="s">
        <v>15</v>
      </c>
      <c r="J825" s="5" t="s">
        <v>1105</v>
      </c>
    </row>
    <row r="826" spans="1:10" x14ac:dyDescent="0.15">
      <c r="A826" s="5" t="s">
        <v>48</v>
      </c>
      <c r="B826" s="5" t="s">
        <v>1104</v>
      </c>
      <c r="C826" s="5" t="s">
        <v>61</v>
      </c>
      <c r="D826" s="5" t="s">
        <v>62</v>
      </c>
      <c r="E826" s="9">
        <v>43789</v>
      </c>
      <c r="F826" s="6">
        <v>3300</v>
      </c>
      <c r="G826" s="5" t="s">
        <v>15</v>
      </c>
      <c r="H826" s="6">
        <f>SUMIFS(InventTrans!F:F,InventTrans!B:B,AtlasReport_3_Table_1[[#This Row],[Lot ID]],InventTrans!C:C,AtlasReport_3_Table_1[[#This Row],[Ship date]])</f>
        <v>3300</v>
      </c>
      <c r="I826" s="5" t="s">
        <v>15</v>
      </c>
      <c r="J826" s="5" t="s">
        <v>1106</v>
      </c>
    </row>
    <row r="827" spans="1:10" x14ac:dyDescent="0.15">
      <c r="A827" s="5" t="s">
        <v>48</v>
      </c>
      <c r="B827" s="5" t="s">
        <v>234</v>
      </c>
      <c r="C827" s="5" t="s">
        <v>35</v>
      </c>
      <c r="D827" s="5" t="s">
        <v>36</v>
      </c>
      <c r="E827" s="9">
        <v>43790</v>
      </c>
      <c r="F827" s="6">
        <v>-5557.5</v>
      </c>
      <c r="G827" s="5" t="s">
        <v>15</v>
      </c>
      <c r="H827" s="6">
        <f>SUMIFS(InventTrans!F:F,InventTrans!B:B,AtlasReport_3_Table_1[[#This Row],[Lot ID]],InventTrans!C:C,AtlasReport_3_Table_1[[#This Row],[Ship date]])</f>
        <v>-5557.5</v>
      </c>
      <c r="I827" s="5" t="s">
        <v>15</v>
      </c>
      <c r="J827" s="5" t="s">
        <v>1107</v>
      </c>
    </row>
    <row r="828" spans="1:10" x14ac:dyDescent="0.15">
      <c r="A828" s="5" t="s">
        <v>48</v>
      </c>
      <c r="B828" s="5" t="s">
        <v>235</v>
      </c>
      <c r="C828" s="5" t="s">
        <v>37</v>
      </c>
      <c r="D828" s="5" t="s">
        <v>38</v>
      </c>
      <c r="E828" s="9">
        <v>43790</v>
      </c>
      <c r="F828" s="6">
        <v>2437.5</v>
      </c>
      <c r="G828" s="5" t="s">
        <v>15</v>
      </c>
      <c r="H828" s="6">
        <f>SUMIFS(InventTrans!F:F,InventTrans!B:B,AtlasReport_3_Table_1[[#This Row],[Lot ID]],InventTrans!C:C,AtlasReport_3_Table_1[[#This Row],[Ship date]])</f>
        <v>2437.5</v>
      </c>
      <c r="I828" s="5" t="s">
        <v>15</v>
      </c>
      <c r="J828" s="5" t="s">
        <v>1108</v>
      </c>
    </row>
    <row r="829" spans="1:10" x14ac:dyDescent="0.15">
      <c r="A829" s="5" t="s">
        <v>48</v>
      </c>
      <c r="B829" s="5" t="s">
        <v>1109</v>
      </c>
      <c r="C829" s="5" t="s">
        <v>35</v>
      </c>
      <c r="D829" s="5" t="s">
        <v>36</v>
      </c>
      <c r="E829" s="9">
        <v>43790</v>
      </c>
      <c r="F829" s="6">
        <v>20475</v>
      </c>
      <c r="G829" s="5" t="s">
        <v>15</v>
      </c>
      <c r="H829" s="6">
        <f>SUMIFS(InventTrans!F:F,InventTrans!B:B,AtlasReport_3_Table_1[[#This Row],[Lot ID]],InventTrans!C:C,AtlasReport_3_Table_1[[#This Row],[Ship date]])</f>
        <v>20475</v>
      </c>
      <c r="I829" s="5" t="s">
        <v>15</v>
      </c>
      <c r="J829" s="5" t="s">
        <v>1110</v>
      </c>
    </row>
    <row r="830" spans="1:10" x14ac:dyDescent="0.15">
      <c r="A830" s="5" t="s">
        <v>48</v>
      </c>
      <c r="B830" s="5" t="s">
        <v>1111</v>
      </c>
      <c r="C830" s="5" t="s">
        <v>42</v>
      </c>
      <c r="D830" s="5" t="s">
        <v>38</v>
      </c>
      <c r="E830" s="9">
        <v>43791</v>
      </c>
      <c r="F830" s="6">
        <v>-5175</v>
      </c>
      <c r="G830" s="5" t="s">
        <v>15</v>
      </c>
      <c r="H830" s="6">
        <f>SUMIFS(InventTrans!F:F,InventTrans!B:B,AtlasReport_3_Table_1[[#This Row],[Lot ID]],InventTrans!C:C,AtlasReport_3_Table_1[[#This Row],[Ship date]])</f>
        <v>-5175</v>
      </c>
      <c r="I830" s="5" t="s">
        <v>15</v>
      </c>
      <c r="J830" s="5" t="s">
        <v>1112</v>
      </c>
    </row>
    <row r="831" spans="1:10" x14ac:dyDescent="0.15">
      <c r="A831" s="5" t="s">
        <v>48</v>
      </c>
      <c r="B831" s="5" t="s">
        <v>1111</v>
      </c>
      <c r="C831" s="5" t="s">
        <v>42</v>
      </c>
      <c r="D831" s="5" t="s">
        <v>38</v>
      </c>
      <c r="E831" s="9">
        <v>43791</v>
      </c>
      <c r="F831" s="6">
        <v>5175</v>
      </c>
      <c r="G831" s="5" t="s">
        <v>15</v>
      </c>
      <c r="H831" s="6">
        <f>SUMIFS(InventTrans!F:F,InventTrans!B:B,AtlasReport_3_Table_1[[#This Row],[Lot ID]],InventTrans!C:C,AtlasReport_3_Table_1[[#This Row],[Ship date]])</f>
        <v>5175</v>
      </c>
      <c r="I831" s="5" t="s">
        <v>15</v>
      </c>
      <c r="J831" s="5" t="s">
        <v>1113</v>
      </c>
    </row>
    <row r="832" spans="1:10" x14ac:dyDescent="0.15">
      <c r="A832" s="5" t="s">
        <v>48</v>
      </c>
      <c r="B832" s="5" t="s">
        <v>236</v>
      </c>
      <c r="C832" s="5" t="s">
        <v>43</v>
      </c>
      <c r="D832" s="5" t="s">
        <v>38</v>
      </c>
      <c r="E832" s="9">
        <v>43795</v>
      </c>
      <c r="F832" s="6">
        <v>194</v>
      </c>
      <c r="G832" s="5" t="s">
        <v>15</v>
      </c>
      <c r="H832" s="6">
        <f>SUMIFS(InventTrans!F:F,InventTrans!B:B,AtlasReport_3_Table_1[[#This Row],[Lot ID]],InventTrans!C:C,AtlasReport_3_Table_1[[#This Row],[Ship date]])</f>
        <v>194</v>
      </c>
      <c r="I832" s="5" t="s">
        <v>15</v>
      </c>
      <c r="J832" s="5" t="s">
        <v>1114</v>
      </c>
    </row>
    <row r="833" spans="1:10" x14ac:dyDescent="0.15">
      <c r="A833" s="5" t="s">
        <v>48</v>
      </c>
      <c r="B833" s="5" t="s">
        <v>236</v>
      </c>
      <c r="C833" s="5" t="s">
        <v>37</v>
      </c>
      <c r="D833" s="5" t="s">
        <v>38</v>
      </c>
      <c r="E833" s="9">
        <v>43795</v>
      </c>
      <c r="F833" s="6">
        <v>195</v>
      </c>
      <c r="G833" s="5" t="s">
        <v>15</v>
      </c>
      <c r="H833" s="6">
        <f>SUMIFS(InventTrans!F:F,InventTrans!B:B,AtlasReport_3_Table_1[[#This Row],[Lot ID]],InventTrans!C:C,AtlasReport_3_Table_1[[#This Row],[Ship date]])</f>
        <v>195</v>
      </c>
      <c r="I833" s="5" t="s">
        <v>15</v>
      </c>
      <c r="J833" s="5" t="s">
        <v>1115</v>
      </c>
    </row>
    <row r="834" spans="1:10" x14ac:dyDescent="0.15">
      <c r="A834" s="5" t="s">
        <v>48</v>
      </c>
      <c r="B834" s="5" t="s">
        <v>237</v>
      </c>
      <c r="C834" s="5" t="s">
        <v>37</v>
      </c>
      <c r="D834" s="5" t="s">
        <v>38</v>
      </c>
      <c r="E834" s="9">
        <v>43795</v>
      </c>
      <c r="F834" s="6">
        <v>7995</v>
      </c>
      <c r="G834" s="5" t="s">
        <v>15</v>
      </c>
      <c r="H834" s="6">
        <f>SUMIFS(InventTrans!F:F,InventTrans!B:B,AtlasReport_3_Table_1[[#This Row],[Lot ID]],InventTrans!C:C,AtlasReport_3_Table_1[[#This Row],[Ship date]])</f>
        <v>7995</v>
      </c>
      <c r="I834" s="5" t="s">
        <v>15</v>
      </c>
      <c r="J834" s="5" t="s">
        <v>1116</v>
      </c>
    </row>
    <row r="835" spans="1:10" x14ac:dyDescent="0.15">
      <c r="A835" s="5" t="s">
        <v>48</v>
      </c>
      <c r="B835" s="5" t="s">
        <v>238</v>
      </c>
      <c r="C835" s="5" t="s">
        <v>35</v>
      </c>
      <c r="D835" s="5" t="s">
        <v>36</v>
      </c>
      <c r="E835" s="9">
        <v>43796</v>
      </c>
      <c r="F835" s="6">
        <v>2437.5</v>
      </c>
      <c r="G835" s="5" t="s">
        <v>15</v>
      </c>
      <c r="H835" s="6">
        <f>SUMIFS(InventTrans!F:F,InventTrans!B:B,AtlasReport_3_Table_1[[#This Row],[Lot ID]],InventTrans!C:C,AtlasReport_3_Table_1[[#This Row],[Ship date]])</f>
        <v>2437.5</v>
      </c>
      <c r="I835" s="5" t="s">
        <v>15</v>
      </c>
      <c r="J835" s="5" t="s">
        <v>1117</v>
      </c>
    </row>
    <row r="836" spans="1:10" x14ac:dyDescent="0.15">
      <c r="A836" s="5" t="s">
        <v>48</v>
      </c>
      <c r="B836" s="5" t="s">
        <v>239</v>
      </c>
      <c r="C836" s="5" t="s">
        <v>35</v>
      </c>
      <c r="D836" s="5" t="s">
        <v>36</v>
      </c>
      <c r="E836" s="9">
        <v>43796</v>
      </c>
      <c r="F836" s="6">
        <v>3900</v>
      </c>
      <c r="G836" s="5" t="s">
        <v>15</v>
      </c>
      <c r="H836" s="6">
        <f>SUMIFS(InventTrans!F:F,InventTrans!B:B,AtlasReport_3_Table_1[[#This Row],[Lot ID]],InventTrans!C:C,AtlasReport_3_Table_1[[#This Row],[Ship date]])</f>
        <v>3900</v>
      </c>
      <c r="I836" s="5" t="s">
        <v>15</v>
      </c>
      <c r="J836" s="5" t="s">
        <v>1118</v>
      </c>
    </row>
    <row r="837" spans="1:10" x14ac:dyDescent="0.15">
      <c r="A837" s="5" t="s">
        <v>48</v>
      </c>
      <c r="B837" s="5" t="s">
        <v>240</v>
      </c>
      <c r="C837" s="5" t="s">
        <v>43</v>
      </c>
      <c r="D837" s="5" t="s">
        <v>38</v>
      </c>
      <c r="E837" s="9">
        <v>43796</v>
      </c>
      <c r="F837" s="6">
        <v>48.5</v>
      </c>
      <c r="G837" s="5" t="s">
        <v>15</v>
      </c>
      <c r="H837" s="6">
        <f>SUMIFS(InventTrans!F:F,InventTrans!B:B,AtlasReport_3_Table_1[[#This Row],[Lot ID]],InventTrans!C:C,AtlasReport_3_Table_1[[#This Row],[Ship date]])</f>
        <v>48.5</v>
      </c>
      <c r="I837" s="5" t="s">
        <v>15</v>
      </c>
      <c r="J837" s="5" t="s">
        <v>1119</v>
      </c>
    </row>
    <row r="838" spans="1:10" x14ac:dyDescent="0.15">
      <c r="A838" s="5" t="s">
        <v>48</v>
      </c>
      <c r="B838" s="5" t="s">
        <v>1120</v>
      </c>
      <c r="C838" s="5" t="s">
        <v>37</v>
      </c>
      <c r="D838" s="5" t="s">
        <v>38</v>
      </c>
      <c r="E838" s="9">
        <v>43796</v>
      </c>
      <c r="F838" s="6">
        <v>9750</v>
      </c>
      <c r="G838" s="5" t="s">
        <v>15</v>
      </c>
      <c r="H838" s="6">
        <f>SUMIFS(InventTrans!F:F,InventTrans!B:B,AtlasReport_3_Table_1[[#This Row],[Lot ID]],InventTrans!C:C,AtlasReport_3_Table_1[[#This Row],[Ship date]])</f>
        <v>9750</v>
      </c>
      <c r="I838" s="5" t="s">
        <v>15</v>
      </c>
      <c r="J838" s="5" t="s">
        <v>1121</v>
      </c>
    </row>
    <row r="839" spans="1:10" x14ac:dyDescent="0.15">
      <c r="A839" s="5" t="s">
        <v>48</v>
      </c>
      <c r="B839" s="5" t="s">
        <v>1122</v>
      </c>
      <c r="C839" s="5" t="s">
        <v>37</v>
      </c>
      <c r="D839" s="5" t="s">
        <v>38</v>
      </c>
      <c r="E839" s="9">
        <v>43796</v>
      </c>
      <c r="F839" s="6">
        <v>9750</v>
      </c>
      <c r="G839" s="5" t="s">
        <v>15</v>
      </c>
      <c r="H839" s="6">
        <f>SUMIFS(InventTrans!F:F,InventTrans!B:B,AtlasReport_3_Table_1[[#This Row],[Lot ID]],InventTrans!C:C,AtlasReport_3_Table_1[[#This Row],[Ship date]])</f>
        <v>9750</v>
      </c>
      <c r="I839" s="5" t="s">
        <v>15</v>
      </c>
      <c r="J839" s="5" t="s">
        <v>1123</v>
      </c>
    </row>
    <row r="840" spans="1:10" x14ac:dyDescent="0.15">
      <c r="A840" s="5" t="s">
        <v>48</v>
      </c>
      <c r="B840" s="5" t="s">
        <v>1122</v>
      </c>
      <c r="C840" s="5" t="s">
        <v>35</v>
      </c>
      <c r="D840" s="5" t="s">
        <v>36</v>
      </c>
      <c r="E840" s="9">
        <v>43796</v>
      </c>
      <c r="F840" s="6">
        <v>1950</v>
      </c>
      <c r="G840" s="5" t="s">
        <v>15</v>
      </c>
      <c r="H840" s="6">
        <f>SUMIFS(InventTrans!F:F,InventTrans!B:B,AtlasReport_3_Table_1[[#This Row],[Lot ID]],InventTrans!C:C,AtlasReport_3_Table_1[[#This Row],[Ship date]])</f>
        <v>1950</v>
      </c>
      <c r="I840" s="5" t="s">
        <v>15</v>
      </c>
      <c r="J840" s="5" t="s">
        <v>1124</v>
      </c>
    </row>
    <row r="841" spans="1:10" x14ac:dyDescent="0.15">
      <c r="A841" s="5" t="s">
        <v>48</v>
      </c>
      <c r="B841" s="5" t="s">
        <v>241</v>
      </c>
      <c r="C841" s="5" t="s">
        <v>37</v>
      </c>
      <c r="D841" s="5" t="s">
        <v>38</v>
      </c>
      <c r="E841" s="9">
        <v>43796</v>
      </c>
      <c r="F841" s="6">
        <v>7800</v>
      </c>
      <c r="G841" s="5" t="s">
        <v>15</v>
      </c>
      <c r="H841" s="6">
        <f>SUMIFS(InventTrans!F:F,InventTrans!B:B,AtlasReport_3_Table_1[[#This Row],[Lot ID]],InventTrans!C:C,AtlasReport_3_Table_1[[#This Row],[Ship date]])</f>
        <v>7800</v>
      </c>
      <c r="I841" s="5" t="s">
        <v>15</v>
      </c>
      <c r="J841" s="5" t="s">
        <v>1125</v>
      </c>
    </row>
    <row r="842" spans="1:10" x14ac:dyDescent="0.15">
      <c r="A842" s="5" t="s">
        <v>48</v>
      </c>
      <c r="B842" s="5" t="s">
        <v>242</v>
      </c>
      <c r="C842" s="5" t="s">
        <v>35</v>
      </c>
      <c r="D842" s="5" t="s">
        <v>36</v>
      </c>
      <c r="E842" s="9">
        <v>43796</v>
      </c>
      <c r="F842" s="6">
        <v>780</v>
      </c>
      <c r="G842" s="5" t="s">
        <v>15</v>
      </c>
      <c r="H842" s="6">
        <f>SUMIFS(InventTrans!F:F,InventTrans!B:B,AtlasReport_3_Table_1[[#This Row],[Lot ID]],InventTrans!C:C,AtlasReport_3_Table_1[[#This Row],[Ship date]])</f>
        <v>780</v>
      </c>
      <c r="I842" s="5" t="s">
        <v>15</v>
      </c>
      <c r="J842" s="5" t="s">
        <v>1126</v>
      </c>
    </row>
    <row r="843" spans="1:10" x14ac:dyDescent="0.15">
      <c r="A843" s="5" t="s">
        <v>48</v>
      </c>
      <c r="B843" s="5" t="s">
        <v>243</v>
      </c>
      <c r="C843" s="5" t="s">
        <v>37</v>
      </c>
      <c r="D843" s="5" t="s">
        <v>38</v>
      </c>
      <c r="E843" s="9">
        <v>43796</v>
      </c>
      <c r="F843" s="6">
        <v>1950</v>
      </c>
      <c r="G843" s="5" t="s">
        <v>15</v>
      </c>
      <c r="H843" s="6">
        <f>SUMIFS(InventTrans!F:F,InventTrans!B:B,AtlasReport_3_Table_1[[#This Row],[Lot ID]],InventTrans!C:C,AtlasReport_3_Table_1[[#This Row],[Ship date]])</f>
        <v>1950</v>
      </c>
      <c r="I843" s="5" t="s">
        <v>15</v>
      </c>
      <c r="J843" s="5" t="s">
        <v>1127</v>
      </c>
    </row>
    <row r="844" spans="1:10" x14ac:dyDescent="0.15">
      <c r="A844" s="5" t="s">
        <v>48</v>
      </c>
      <c r="B844" s="5" t="s">
        <v>244</v>
      </c>
      <c r="C844" s="5" t="s">
        <v>37</v>
      </c>
      <c r="D844" s="5" t="s">
        <v>38</v>
      </c>
      <c r="E844" s="9">
        <v>43796</v>
      </c>
      <c r="F844" s="6">
        <v>1170</v>
      </c>
      <c r="G844" s="5" t="s">
        <v>15</v>
      </c>
      <c r="H844" s="6">
        <f>SUMIFS(InventTrans!F:F,InventTrans!B:B,AtlasReport_3_Table_1[[#This Row],[Lot ID]],InventTrans!C:C,AtlasReport_3_Table_1[[#This Row],[Ship date]])</f>
        <v>1170</v>
      </c>
      <c r="I844" s="5" t="s">
        <v>15</v>
      </c>
      <c r="J844" s="5" t="s">
        <v>1128</v>
      </c>
    </row>
    <row r="845" spans="1:10" x14ac:dyDescent="0.15">
      <c r="A845" s="5" t="s">
        <v>48</v>
      </c>
      <c r="B845" s="5" t="s">
        <v>1129</v>
      </c>
      <c r="C845" s="5" t="s">
        <v>35</v>
      </c>
      <c r="D845" s="5" t="s">
        <v>36</v>
      </c>
      <c r="E845" s="9">
        <v>43796</v>
      </c>
      <c r="F845" s="6">
        <v>1950</v>
      </c>
      <c r="G845" s="5" t="s">
        <v>15</v>
      </c>
      <c r="H845" s="6">
        <f>SUMIFS(InventTrans!F:F,InventTrans!B:B,AtlasReport_3_Table_1[[#This Row],[Lot ID]],InventTrans!C:C,AtlasReport_3_Table_1[[#This Row],[Ship date]])</f>
        <v>1950</v>
      </c>
      <c r="I845" s="5" t="s">
        <v>15</v>
      </c>
      <c r="J845" s="5" t="s">
        <v>1130</v>
      </c>
    </row>
    <row r="846" spans="1:10" x14ac:dyDescent="0.15">
      <c r="A846" s="5" t="s">
        <v>48</v>
      </c>
      <c r="B846" s="5" t="s">
        <v>245</v>
      </c>
      <c r="C846" s="5" t="s">
        <v>37</v>
      </c>
      <c r="D846" s="5" t="s">
        <v>38</v>
      </c>
      <c r="E846" s="9">
        <v>43798</v>
      </c>
      <c r="F846" s="6">
        <v>-9750</v>
      </c>
      <c r="G846" s="5" t="s">
        <v>15</v>
      </c>
      <c r="H846" s="6">
        <f>SUMIFS(InventTrans!F:F,InventTrans!B:B,AtlasReport_3_Table_1[[#This Row],[Lot ID]],InventTrans!C:C,AtlasReport_3_Table_1[[#This Row],[Ship date]])</f>
        <v>-9750</v>
      </c>
      <c r="I846" s="5" t="s">
        <v>15</v>
      </c>
      <c r="J846" s="5" t="s">
        <v>1131</v>
      </c>
    </row>
    <row r="847" spans="1:10" x14ac:dyDescent="0.15">
      <c r="A847" s="5" t="s">
        <v>48</v>
      </c>
      <c r="B847" s="5" t="s">
        <v>245</v>
      </c>
      <c r="C847" s="5" t="s">
        <v>35</v>
      </c>
      <c r="D847" s="5" t="s">
        <v>36</v>
      </c>
      <c r="E847" s="9">
        <v>43798</v>
      </c>
      <c r="F847" s="6">
        <v>-1950</v>
      </c>
      <c r="G847" s="5" t="s">
        <v>15</v>
      </c>
      <c r="H847" s="6">
        <f>SUMIFS(InventTrans!F:F,InventTrans!B:B,AtlasReport_3_Table_1[[#This Row],[Lot ID]],InventTrans!C:C,AtlasReport_3_Table_1[[#This Row],[Ship date]])</f>
        <v>-1950</v>
      </c>
      <c r="I847" s="5" t="s">
        <v>15</v>
      </c>
      <c r="J847" s="5" t="s">
        <v>1132</v>
      </c>
    </row>
    <row r="848" spans="1:10" x14ac:dyDescent="0.15">
      <c r="A848" s="5" t="s">
        <v>48</v>
      </c>
      <c r="B848" s="5" t="s">
        <v>246</v>
      </c>
      <c r="C848" s="5" t="s">
        <v>43</v>
      </c>
      <c r="D848" s="5" t="s">
        <v>38</v>
      </c>
      <c r="E848" s="9">
        <v>43801</v>
      </c>
      <c r="F848" s="6">
        <v>727.5</v>
      </c>
      <c r="G848" s="5" t="s">
        <v>15</v>
      </c>
      <c r="H848" s="6">
        <f>SUMIFS(InventTrans!F:F,InventTrans!B:B,AtlasReport_3_Table_1[[#This Row],[Lot ID]],InventTrans!C:C,AtlasReport_3_Table_1[[#This Row],[Ship date]])</f>
        <v>727.5</v>
      </c>
      <c r="I848" s="5" t="s">
        <v>15</v>
      </c>
      <c r="J848" s="5" t="s">
        <v>1133</v>
      </c>
    </row>
    <row r="849" spans="1:10" x14ac:dyDescent="0.15">
      <c r="A849" s="5" t="s">
        <v>48</v>
      </c>
      <c r="B849" s="5" t="s">
        <v>247</v>
      </c>
      <c r="C849" s="5" t="s">
        <v>37</v>
      </c>
      <c r="D849" s="5" t="s">
        <v>38</v>
      </c>
      <c r="E849" s="9">
        <v>43801</v>
      </c>
      <c r="F849" s="6">
        <v>13650</v>
      </c>
      <c r="G849" s="5" t="s">
        <v>15</v>
      </c>
      <c r="H849" s="6">
        <f>SUMIFS(InventTrans!F:F,InventTrans!B:B,AtlasReport_3_Table_1[[#This Row],[Lot ID]],InventTrans!C:C,AtlasReport_3_Table_1[[#This Row],[Ship date]])</f>
        <v>13650</v>
      </c>
      <c r="I849" s="5" t="s">
        <v>15</v>
      </c>
      <c r="J849" s="5" t="s">
        <v>1134</v>
      </c>
    </row>
    <row r="850" spans="1:10" x14ac:dyDescent="0.15">
      <c r="A850" s="5" t="s">
        <v>48</v>
      </c>
      <c r="B850" s="5" t="s">
        <v>247</v>
      </c>
      <c r="C850" s="5" t="s">
        <v>43</v>
      </c>
      <c r="D850" s="5" t="s">
        <v>38</v>
      </c>
      <c r="E850" s="9">
        <v>43801</v>
      </c>
      <c r="F850" s="6">
        <v>3880</v>
      </c>
      <c r="G850" s="5" t="s">
        <v>15</v>
      </c>
      <c r="H850" s="6">
        <f>SUMIFS(InventTrans!F:F,InventTrans!B:B,AtlasReport_3_Table_1[[#This Row],[Lot ID]],InventTrans!C:C,AtlasReport_3_Table_1[[#This Row],[Ship date]])</f>
        <v>3880</v>
      </c>
      <c r="I850" s="5" t="s">
        <v>15</v>
      </c>
      <c r="J850" s="5" t="s">
        <v>1135</v>
      </c>
    </row>
    <row r="851" spans="1:10" x14ac:dyDescent="0.15">
      <c r="A851" s="5" t="s">
        <v>48</v>
      </c>
      <c r="B851" s="5" t="s">
        <v>248</v>
      </c>
      <c r="C851" s="5" t="s">
        <v>37</v>
      </c>
      <c r="D851" s="5" t="s">
        <v>38</v>
      </c>
      <c r="E851" s="9">
        <v>43801</v>
      </c>
      <c r="F851" s="6">
        <v>2827.5</v>
      </c>
      <c r="G851" s="5" t="s">
        <v>15</v>
      </c>
      <c r="H851" s="6">
        <f>SUMIFS(InventTrans!F:F,InventTrans!B:B,AtlasReport_3_Table_1[[#This Row],[Lot ID]],InventTrans!C:C,AtlasReport_3_Table_1[[#This Row],[Ship date]])</f>
        <v>2827.5</v>
      </c>
      <c r="I851" s="5" t="s">
        <v>15</v>
      </c>
      <c r="J851" s="5" t="s">
        <v>1136</v>
      </c>
    </row>
    <row r="852" spans="1:10" x14ac:dyDescent="0.15">
      <c r="A852" s="5" t="s">
        <v>48</v>
      </c>
      <c r="B852" s="5" t="s">
        <v>249</v>
      </c>
      <c r="C852" s="5" t="s">
        <v>37</v>
      </c>
      <c r="D852" s="5" t="s">
        <v>38</v>
      </c>
      <c r="E852" s="9">
        <v>43801</v>
      </c>
      <c r="F852" s="6">
        <v>1950</v>
      </c>
      <c r="G852" s="5" t="s">
        <v>15</v>
      </c>
      <c r="H852" s="6">
        <f>SUMIFS(InventTrans!F:F,InventTrans!B:B,AtlasReport_3_Table_1[[#This Row],[Lot ID]],InventTrans!C:C,AtlasReport_3_Table_1[[#This Row],[Ship date]])</f>
        <v>1950</v>
      </c>
      <c r="I852" s="5" t="s">
        <v>15</v>
      </c>
      <c r="J852" s="5" t="s">
        <v>1137</v>
      </c>
    </row>
    <row r="853" spans="1:10" x14ac:dyDescent="0.15">
      <c r="A853" s="5" t="s">
        <v>48</v>
      </c>
      <c r="B853" s="5" t="s">
        <v>250</v>
      </c>
      <c r="C853" s="5" t="s">
        <v>37</v>
      </c>
      <c r="D853" s="5" t="s">
        <v>38</v>
      </c>
      <c r="E853" s="9">
        <v>43801</v>
      </c>
      <c r="F853" s="6">
        <v>780</v>
      </c>
      <c r="G853" s="5" t="s">
        <v>15</v>
      </c>
      <c r="H853" s="6">
        <f>SUMIFS(InventTrans!F:F,InventTrans!B:B,AtlasReport_3_Table_1[[#This Row],[Lot ID]],InventTrans!C:C,AtlasReport_3_Table_1[[#This Row],[Ship date]])</f>
        <v>780</v>
      </c>
      <c r="I853" s="5" t="s">
        <v>15</v>
      </c>
      <c r="J853" s="5" t="s">
        <v>1138</v>
      </c>
    </row>
    <row r="854" spans="1:10" x14ac:dyDescent="0.15">
      <c r="A854" s="5" t="s">
        <v>48</v>
      </c>
      <c r="B854" s="5" t="s">
        <v>250</v>
      </c>
      <c r="C854" s="5" t="s">
        <v>42</v>
      </c>
      <c r="D854" s="5" t="s">
        <v>38</v>
      </c>
      <c r="E854" s="9">
        <v>43801</v>
      </c>
      <c r="F854" s="6">
        <v>375</v>
      </c>
      <c r="G854" s="5" t="s">
        <v>15</v>
      </c>
      <c r="H854" s="6">
        <f>SUMIFS(InventTrans!F:F,InventTrans!B:B,AtlasReport_3_Table_1[[#This Row],[Lot ID]],InventTrans!C:C,AtlasReport_3_Table_1[[#This Row],[Ship date]])</f>
        <v>375</v>
      </c>
      <c r="I854" s="5" t="s">
        <v>15</v>
      </c>
      <c r="J854" s="5" t="s">
        <v>1139</v>
      </c>
    </row>
    <row r="855" spans="1:10" x14ac:dyDescent="0.15">
      <c r="A855" s="5" t="s">
        <v>48</v>
      </c>
      <c r="B855" s="5" t="s">
        <v>250</v>
      </c>
      <c r="C855" s="5" t="s">
        <v>43</v>
      </c>
      <c r="D855" s="5" t="s">
        <v>38</v>
      </c>
      <c r="E855" s="9">
        <v>43801</v>
      </c>
      <c r="F855" s="6">
        <v>339.5</v>
      </c>
      <c r="G855" s="5" t="s">
        <v>15</v>
      </c>
      <c r="H855" s="6">
        <f>SUMIFS(InventTrans!F:F,InventTrans!B:B,AtlasReport_3_Table_1[[#This Row],[Lot ID]],InventTrans!C:C,AtlasReport_3_Table_1[[#This Row],[Ship date]])</f>
        <v>339.5</v>
      </c>
      <c r="I855" s="5" t="s">
        <v>15</v>
      </c>
      <c r="J855" s="5" t="s">
        <v>1140</v>
      </c>
    </row>
    <row r="856" spans="1:10" x14ac:dyDescent="0.15">
      <c r="A856" s="5" t="s">
        <v>48</v>
      </c>
      <c r="B856" s="5" t="s">
        <v>251</v>
      </c>
      <c r="C856" s="5" t="s">
        <v>158</v>
      </c>
      <c r="D856" s="5" t="s">
        <v>159</v>
      </c>
      <c r="E856" s="9">
        <v>43801</v>
      </c>
      <c r="F856" s="6">
        <v>156</v>
      </c>
      <c r="G856" s="5" t="s">
        <v>15</v>
      </c>
      <c r="H856" s="6">
        <f>SUMIFS(InventTrans!F:F,InventTrans!B:B,AtlasReport_3_Table_1[[#This Row],[Lot ID]],InventTrans!C:C,AtlasReport_3_Table_1[[#This Row],[Ship date]])</f>
        <v>156</v>
      </c>
      <c r="I856" s="5" t="s">
        <v>15</v>
      </c>
      <c r="J856" s="5" t="s">
        <v>1141</v>
      </c>
    </row>
    <row r="857" spans="1:10" x14ac:dyDescent="0.15">
      <c r="A857" s="5" t="s">
        <v>48</v>
      </c>
      <c r="B857" s="5" t="s">
        <v>252</v>
      </c>
      <c r="C857" s="5" t="s">
        <v>37</v>
      </c>
      <c r="D857" s="5" t="s">
        <v>38</v>
      </c>
      <c r="E857" s="9">
        <v>43801</v>
      </c>
      <c r="F857" s="6">
        <v>9750</v>
      </c>
      <c r="G857" s="5" t="s">
        <v>15</v>
      </c>
      <c r="H857" s="6">
        <f>SUMIFS(InventTrans!F:F,InventTrans!B:B,AtlasReport_3_Table_1[[#This Row],[Lot ID]],InventTrans!C:C,AtlasReport_3_Table_1[[#This Row],[Ship date]])</f>
        <v>9750</v>
      </c>
      <c r="I857" s="5" t="s">
        <v>15</v>
      </c>
      <c r="J857" s="5" t="s">
        <v>1142</v>
      </c>
    </row>
    <row r="858" spans="1:10" x14ac:dyDescent="0.15">
      <c r="A858" s="5" t="s">
        <v>48</v>
      </c>
      <c r="B858" s="5" t="s">
        <v>252</v>
      </c>
      <c r="C858" s="5" t="s">
        <v>35</v>
      </c>
      <c r="D858" s="5" t="s">
        <v>36</v>
      </c>
      <c r="E858" s="9">
        <v>43801</v>
      </c>
      <c r="F858" s="6">
        <v>1950</v>
      </c>
      <c r="G858" s="5" t="s">
        <v>15</v>
      </c>
      <c r="H858" s="6">
        <f>SUMIFS(InventTrans!F:F,InventTrans!B:B,AtlasReport_3_Table_1[[#This Row],[Lot ID]],InventTrans!C:C,AtlasReport_3_Table_1[[#This Row],[Ship date]])</f>
        <v>1950</v>
      </c>
      <c r="I858" s="5" t="s">
        <v>15</v>
      </c>
      <c r="J858" s="5" t="s">
        <v>1143</v>
      </c>
    </row>
    <row r="859" spans="1:10" x14ac:dyDescent="0.15">
      <c r="A859" s="5" t="s">
        <v>48</v>
      </c>
      <c r="B859" s="5" t="s">
        <v>253</v>
      </c>
      <c r="C859" s="5" t="s">
        <v>37</v>
      </c>
      <c r="D859" s="5" t="s">
        <v>38</v>
      </c>
      <c r="E859" s="9">
        <v>43802</v>
      </c>
      <c r="F859" s="6">
        <v>1462.5</v>
      </c>
      <c r="G859" s="5" t="s">
        <v>15</v>
      </c>
      <c r="H859" s="6">
        <f>SUMIFS(InventTrans!F:F,InventTrans!B:B,AtlasReport_3_Table_1[[#This Row],[Lot ID]],InventTrans!C:C,AtlasReport_3_Table_1[[#This Row],[Ship date]])</f>
        <v>1462.5</v>
      </c>
      <c r="I859" s="5" t="s">
        <v>15</v>
      </c>
      <c r="J859" s="5" t="s">
        <v>1144</v>
      </c>
    </row>
    <row r="860" spans="1:10" x14ac:dyDescent="0.15">
      <c r="A860" s="5" t="s">
        <v>48</v>
      </c>
      <c r="B860" s="5" t="s">
        <v>254</v>
      </c>
      <c r="C860" s="5" t="s">
        <v>35</v>
      </c>
      <c r="D860" s="5" t="s">
        <v>36</v>
      </c>
      <c r="E860" s="9">
        <v>43802</v>
      </c>
      <c r="F860" s="6">
        <v>5557.5</v>
      </c>
      <c r="G860" s="5" t="s">
        <v>15</v>
      </c>
      <c r="H860" s="6">
        <f>SUMIFS(InventTrans!F:F,InventTrans!B:B,AtlasReport_3_Table_1[[#This Row],[Lot ID]],InventTrans!C:C,AtlasReport_3_Table_1[[#This Row],[Ship date]])</f>
        <v>5557.5</v>
      </c>
      <c r="I860" s="5" t="s">
        <v>15</v>
      </c>
      <c r="J860" s="5" t="s">
        <v>1145</v>
      </c>
    </row>
    <row r="861" spans="1:10" x14ac:dyDescent="0.15">
      <c r="A861" s="5" t="s">
        <v>48</v>
      </c>
      <c r="B861" s="5" t="s">
        <v>255</v>
      </c>
      <c r="C861" s="5" t="s">
        <v>37</v>
      </c>
      <c r="D861" s="5" t="s">
        <v>38</v>
      </c>
      <c r="E861" s="9">
        <v>43802</v>
      </c>
      <c r="F861" s="6">
        <v>4777.5</v>
      </c>
      <c r="G861" s="5" t="s">
        <v>15</v>
      </c>
      <c r="H861" s="6">
        <f>SUMIFS(InventTrans!F:F,InventTrans!B:B,AtlasReport_3_Table_1[[#This Row],[Lot ID]],InventTrans!C:C,AtlasReport_3_Table_1[[#This Row],[Ship date]])</f>
        <v>4777.5</v>
      </c>
      <c r="I861" s="5" t="s">
        <v>15</v>
      </c>
      <c r="J861" s="5" t="s">
        <v>1146</v>
      </c>
    </row>
    <row r="862" spans="1:10" x14ac:dyDescent="0.15">
      <c r="A862" s="5" t="s">
        <v>48</v>
      </c>
      <c r="B862" s="5" t="s">
        <v>1147</v>
      </c>
      <c r="C862" s="5" t="s">
        <v>41</v>
      </c>
      <c r="D862" s="5" t="s">
        <v>36</v>
      </c>
      <c r="E862" s="9">
        <v>43802</v>
      </c>
      <c r="F862" s="6">
        <v>388</v>
      </c>
      <c r="G862" s="5" t="s">
        <v>15</v>
      </c>
      <c r="H862" s="6">
        <f>SUMIFS(InventTrans!F:F,InventTrans!B:B,AtlasReport_3_Table_1[[#This Row],[Lot ID]],InventTrans!C:C,AtlasReport_3_Table_1[[#This Row],[Ship date]])</f>
        <v>388</v>
      </c>
      <c r="I862" s="5" t="s">
        <v>15</v>
      </c>
      <c r="J862" s="5" t="s">
        <v>1148</v>
      </c>
    </row>
    <row r="863" spans="1:10" x14ac:dyDescent="0.15">
      <c r="A863" s="5" t="s">
        <v>48</v>
      </c>
      <c r="B863" s="5" t="s">
        <v>1541</v>
      </c>
      <c r="C863" s="5" t="s">
        <v>46</v>
      </c>
      <c r="D863" s="5" t="s">
        <v>45</v>
      </c>
      <c r="E863" s="9">
        <v>43799</v>
      </c>
      <c r="F863" s="6">
        <v>-145.5</v>
      </c>
      <c r="G863" s="5" t="s">
        <v>15</v>
      </c>
      <c r="H863" s="6">
        <f>SUMIFS(InventTrans!F:F,InventTrans!B:B,AtlasReport_3_Table_1[[#This Row],[Lot ID]],InventTrans!C:C,AtlasReport_3_Table_1[[#This Row],[Ship date]])</f>
        <v>-145.5</v>
      </c>
      <c r="I863" s="5" t="s">
        <v>15</v>
      </c>
      <c r="J863" s="5" t="s">
        <v>1542</v>
      </c>
    </row>
    <row r="864" spans="1:10" x14ac:dyDescent="0.15">
      <c r="A864" s="5" t="s">
        <v>48</v>
      </c>
      <c r="B864" s="5" t="s">
        <v>1541</v>
      </c>
      <c r="C864" s="5" t="s">
        <v>44</v>
      </c>
      <c r="D864" s="5" t="s">
        <v>45</v>
      </c>
      <c r="E864" s="9">
        <v>43799</v>
      </c>
      <c r="F864" s="6">
        <v>-682.5</v>
      </c>
      <c r="G864" s="5" t="s">
        <v>15</v>
      </c>
      <c r="H864" s="6">
        <f>SUMIFS(InventTrans!F:F,InventTrans!B:B,AtlasReport_3_Table_1[[#This Row],[Lot ID]],InventTrans!C:C,AtlasReport_3_Table_1[[#This Row],[Ship date]])</f>
        <v>-682.5</v>
      </c>
      <c r="I864" s="5" t="s">
        <v>15</v>
      </c>
      <c r="J864" s="5" t="s">
        <v>1543</v>
      </c>
    </row>
    <row r="865" spans="1:10" x14ac:dyDescent="0.15">
      <c r="A865" s="5" t="s">
        <v>48</v>
      </c>
      <c r="B865" s="5" t="s">
        <v>1541</v>
      </c>
      <c r="C865" s="5" t="s">
        <v>46</v>
      </c>
      <c r="D865" s="5" t="s">
        <v>45</v>
      </c>
      <c r="E865" s="9">
        <v>43799</v>
      </c>
      <c r="F865" s="6">
        <v>145.5</v>
      </c>
      <c r="G865" s="5" t="s">
        <v>15</v>
      </c>
      <c r="H865" s="6">
        <f>SUMIFS(InventTrans!F:F,InventTrans!B:B,AtlasReport_3_Table_1[[#This Row],[Lot ID]],InventTrans!C:C,AtlasReport_3_Table_1[[#This Row],[Ship date]])</f>
        <v>145.5</v>
      </c>
      <c r="I865" s="5" t="s">
        <v>15</v>
      </c>
      <c r="J865" s="5" t="s">
        <v>1544</v>
      </c>
    </row>
    <row r="866" spans="1:10" x14ac:dyDescent="0.15">
      <c r="A866" s="5" t="s">
        <v>48</v>
      </c>
      <c r="B866" s="5" t="s">
        <v>1541</v>
      </c>
      <c r="C866" s="5" t="s">
        <v>44</v>
      </c>
      <c r="D866" s="5" t="s">
        <v>45</v>
      </c>
      <c r="E866" s="9">
        <v>43799</v>
      </c>
      <c r="F866" s="6">
        <v>682.5</v>
      </c>
      <c r="G866" s="5" t="s">
        <v>15</v>
      </c>
      <c r="H866" s="6">
        <f>SUMIFS(InventTrans!F:F,InventTrans!B:B,AtlasReport_3_Table_1[[#This Row],[Lot ID]],InventTrans!C:C,AtlasReport_3_Table_1[[#This Row],[Ship date]])</f>
        <v>682.5</v>
      </c>
      <c r="I866" s="5" t="s">
        <v>15</v>
      </c>
      <c r="J866" s="5" t="s">
        <v>1545</v>
      </c>
    </row>
    <row r="867" spans="1:10" x14ac:dyDescent="0.15">
      <c r="A867" s="5" t="s">
        <v>48</v>
      </c>
      <c r="B867" s="5" t="s">
        <v>1546</v>
      </c>
      <c r="C867" s="5" t="s">
        <v>43</v>
      </c>
      <c r="D867" s="5" t="s">
        <v>38</v>
      </c>
      <c r="E867" s="9">
        <v>43799</v>
      </c>
      <c r="F867" s="6">
        <v>-31040</v>
      </c>
      <c r="G867" s="5" t="s">
        <v>15</v>
      </c>
      <c r="H867" s="6">
        <f>SUMIFS(InventTrans!F:F,InventTrans!B:B,AtlasReport_3_Table_1[[#This Row],[Lot ID]],InventTrans!C:C,AtlasReport_3_Table_1[[#This Row],[Ship date]])</f>
        <v>-31040</v>
      </c>
      <c r="I867" s="5" t="s">
        <v>15</v>
      </c>
      <c r="J867" s="5" t="s">
        <v>1547</v>
      </c>
    </row>
    <row r="868" spans="1:10" x14ac:dyDescent="0.15">
      <c r="A868" s="5" t="s">
        <v>48</v>
      </c>
      <c r="B868" s="5" t="s">
        <v>1546</v>
      </c>
      <c r="C868" s="5" t="s">
        <v>46</v>
      </c>
      <c r="D868" s="5" t="s">
        <v>45</v>
      </c>
      <c r="E868" s="9">
        <v>43799</v>
      </c>
      <c r="F868" s="6">
        <v>-3880</v>
      </c>
      <c r="G868" s="5" t="s">
        <v>15</v>
      </c>
      <c r="H868" s="6">
        <f>SUMIFS(InventTrans!F:F,InventTrans!B:B,AtlasReport_3_Table_1[[#This Row],[Lot ID]],InventTrans!C:C,AtlasReport_3_Table_1[[#This Row],[Ship date]])</f>
        <v>-3880</v>
      </c>
      <c r="I868" s="5" t="s">
        <v>15</v>
      </c>
      <c r="J868" s="5" t="s">
        <v>1548</v>
      </c>
    </row>
    <row r="869" spans="1:10" x14ac:dyDescent="0.15">
      <c r="A869" s="5" t="s">
        <v>48</v>
      </c>
      <c r="B869" s="5" t="s">
        <v>1546</v>
      </c>
      <c r="C869" s="5" t="s">
        <v>43</v>
      </c>
      <c r="D869" s="5" t="s">
        <v>38</v>
      </c>
      <c r="E869" s="9">
        <v>43799</v>
      </c>
      <c r="F869" s="6">
        <v>31040</v>
      </c>
      <c r="G869" s="5" t="s">
        <v>15</v>
      </c>
      <c r="H869" s="6">
        <f>SUMIFS(InventTrans!F:F,InventTrans!B:B,AtlasReport_3_Table_1[[#This Row],[Lot ID]],InventTrans!C:C,AtlasReport_3_Table_1[[#This Row],[Ship date]])</f>
        <v>31040</v>
      </c>
      <c r="I869" s="5" t="s">
        <v>15</v>
      </c>
      <c r="J869" s="5" t="s">
        <v>1549</v>
      </c>
    </row>
    <row r="870" spans="1:10" x14ac:dyDescent="0.15">
      <c r="A870" s="5" t="s">
        <v>48</v>
      </c>
      <c r="B870" s="5" t="s">
        <v>1546</v>
      </c>
      <c r="C870" s="5" t="s">
        <v>46</v>
      </c>
      <c r="D870" s="5" t="s">
        <v>45</v>
      </c>
      <c r="E870" s="9">
        <v>43799</v>
      </c>
      <c r="F870" s="6">
        <v>3880</v>
      </c>
      <c r="G870" s="5" t="s">
        <v>15</v>
      </c>
      <c r="H870" s="6">
        <f>SUMIFS(InventTrans!F:F,InventTrans!B:B,AtlasReport_3_Table_1[[#This Row],[Lot ID]],InventTrans!C:C,AtlasReport_3_Table_1[[#This Row],[Ship date]])</f>
        <v>3880</v>
      </c>
      <c r="I870" s="5" t="s">
        <v>15</v>
      </c>
      <c r="J870" s="5" t="s">
        <v>1550</v>
      </c>
    </row>
    <row r="871" spans="1:10" x14ac:dyDescent="0.15">
      <c r="A871" s="5" t="s">
        <v>48</v>
      </c>
      <c r="B871" s="5" t="s">
        <v>256</v>
      </c>
      <c r="C871" s="5" t="s">
        <v>42</v>
      </c>
      <c r="D871" s="5" t="s">
        <v>38</v>
      </c>
      <c r="E871" s="9">
        <v>43803</v>
      </c>
      <c r="F871" s="6">
        <v>900</v>
      </c>
      <c r="G871" s="5" t="s">
        <v>15</v>
      </c>
      <c r="H871" s="6">
        <f>SUMIFS(InventTrans!F:F,InventTrans!B:B,AtlasReport_3_Table_1[[#This Row],[Lot ID]],InventTrans!C:C,AtlasReport_3_Table_1[[#This Row],[Ship date]])</f>
        <v>900</v>
      </c>
      <c r="I871" s="5" t="s">
        <v>15</v>
      </c>
      <c r="J871" s="5" t="s">
        <v>1149</v>
      </c>
    </row>
    <row r="872" spans="1:10" x14ac:dyDescent="0.15">
      <c r="A872" s="5" t="s">
        <v>48</v>
      </c>
      <c r="B872" s="5" t="s">
        <v>256</v>
      </c>
      <c r="C872" s="5" t="s">
        <v>37</v>
      </c>
      <c r="D872" s="5" t="s">
        <v>38</v>
      </c>
      <c r="E872" s="9">
        <v>43803</v>
      </c>
      <c r="F872" s="6">
        <v>585</v>
      </c>
      <c r="G872" s="5" t="s">
        <v>15</v>
      </c>
      <c r="H872" s="6">
        <f>SUMIFS(InventTrans!F:F,InventTrans!B:B,AtlasReport_3_Table_1[[#This Row],[Lot ID]],InventTrans!C:C,AtlasReport_3_Table_1[[#This Row],[Ship date]])</f>
        <v>585</v>
      </c>
      <c r="I872" s="5" t="s">
        <v>15</v>
      </c>
      <c r="J872" s="5" t="s">
        <v>1150</v>
      </c>
    </row>
    <row r="873" spans="1:10" x14ac:dyDescent="0.15">
      <c r="A873" s="5" t="s">
        <v>48</v>
      </c>
      <c r="B873" s="5" t="s">
        <v>257</v>
      </c>
      <c r="C873" s="5" t="s">
        <v>37</v>
      </c>
      <c r="D873" s="5" t="s">
        <v>38</v>
      </c>
      <c r="E873" s="9">
        <v>43803</v>
      </c>
      <c r="F873" s="6">
        <v>10042.5</v>
      </c>
      <c r="G873" s="5" t="s">
        <v>15</v>
      </c>
      <c r="H873" s="6">
        <f>SUMIFS(InventTrans!F:F,InventTrans!B:B,AtlasReport_3_Table_1[[#This Row],[Lot ID]],InventTrans!C:C,AtlasReport_3_Table_1[[#This Row],[Ship date]])</f>
        <v>10042.5</v>
      </c>
      <c r="I873" s="5" t="s">
        <v>15</v>
      </c>
      <c r="J873" s="5" t="s">
        <v>1151</v>
      </c>
    </row>
    <row r="874" spans="1:10" x14ac:dyDescent="0.15">
      <c r="A874" s="5" t="s">
        <v>48</v>
      </c>
      <c r="B874" s="5" t="s">
        <v>258</v>
      </c>
      <c r="C874" s="5" t="s">
        <v>37</v>
      </c>
      <c r="D874" s="5" t="s">
        <v>38</v>
      </c>
      <c r="E874" s="9">
        <v>43804</v>
      </c>
      <c r="F874" s="6">
        <v>2047.5</v>
      </c>
      <c r="G874" s="5" t="s">
        <v>15</v>
      </c>
      <c r="H874" s="6">
        <f>SUMIFS(InventTrans!F:F,InventTrans!B:B,AtlasReport_3_Table_1[[#This Row],[Lot ID]],InventTrans!C:C,AtlasReport_3_Table_1[[#This Row],[Ship date]])</f>
        <v>2047.5</v>
      </c>
      <c r="I874" s="5" t="s">
        <v>15</v>
      </c>
      <c r="J874" s="5" t="s">
        <v>1152</v>
      </c>
    </row>
    <row r="875" spans="1:10" x14ac:dyDescent="0.15">
      <c r="A875" s="5" t="s">
        <v>48</v>
      </c>
      <c r="B875" s="5" t="s">
        <v>258</v>
      </c>
      <c r="C875" s="5" t="s">
        <v>37</v>
      </c>
      <c r="D875" s="5" t="s">
        <v>38</v>
      </c>
      <c r="E875" s="9">
        <v>43804</v>
      </c>
      <c r="F875" s="6">
        <v>-97.5</v>
      </c>
      <c r="G875" s="5" t="s">
        <v>15</v>
      </c>
      <c r="H875" s="6">
        <f>SUMIFS(InventTrans!F:F,InventTrans!B:B,AtlasReport_3_Table_1[[#This Row],[Lot ID]],InventTrans!C:C,AtlasReport_3_Table_1[[#This Row],[Ship date]])</f>
        <v>-97.5</v>
      </c>
      <c r="I875" s="5" t="s">
        <v>15</v>
      </c>
      <c r="J875" s="5" t="s">
        <v>1153</v>
      </c>
    </row>
    <row r="876" spans="1:10" x14ac:dyDescent="0.15">
      <c r="A876" s="5" t="s">
        <v>48</v>
      </c>
      <c r="B876" s="5" t="s">
        <v>259</v>
      </c>
      <c r="C876" s="5" t="s">
        <v>37</v>
      </c>
      <c r="D876" s="5" t="s">
        <v>38</v>
      </c>
      <c r="E876" s="9">
        <v>43805</v>
      </c>
      <c r="F876" s="6">
        <v>195</v>
      </c>
      <c r="G876" s="5" t="s">
        <v>15</v>
      </c>
      <c r="H876" s="6">
        <f>SUMIFS(InventTrans!F:F,InventTrans!B:B,AtlasReport_3_Table_1[[#This Row],[Lot ID]],InventTrans!C:C,AtlasReport_3_Table_1[[#This Row],[Ship date]])</f>
        <v>195</v>
      </c>
      <c r="I876" s="5" t="s">
        <v>15</v>
      </c>
      <c r="J876" s="5" t="s">
        <v>1154</v>
      </c>
    </row>
    <row r="877" spans="1:10" x14ac:dyDescent="0.15">
      <c r="A877" s="5" t="s">
        <v>48</v>
      </c>
      <c r="B877" s="5" t="s">
        <v>1155</v>
      </c>
      <c r="C877" s="5" t="s">
        <v>37</v>
      </c>
      <c r="D877" s="5" t="s">
        <v>38</v>
      </c>
      <c r="E877" s="9">
        <v>43808</v>
      </c>
      <c r="F877" s="6">
        <v>10042.5</v>
      </c>
      <c r="G877" s="5" t="s">
        <v>15</v>
      </c>
      <c r="H877" s="6">
        <f>SUMIFS(InventTrans!F:F,InventTrans!B:B,AtlasReport_3_Table_1[[#This Row],[Lot ID]],InventTrans!C:C,AtlasReport_3_Table_1[[#This Row],[Ship date]])</f>
        <v>10042.5</v>
      </c>
      <c r="I877" s="5" t="s">
        <v>15</v>
      </c>
      <c r="J877" s="5" t="s">
        <v>1156</v>
      </c>
    </row>
    <row r="878" spans="1:10" x14ac:dyDescent="0.15">
      <c r="A878" s="5" t="s">
        <v>48</v>
      </c>
      <c r="B878" s="5" t="s">
        <v>260</v>
      </c>
      <c r="C878" s="5" t="s">
        <v>37</v>
      </c>
      <c r="D878" s="5" t="s">
        <v>38</v>
      </c>
      <c r="E878" s="9">
        <v>43810</v>
      </c>
      <c r="F878" s="6">
        <v>975</v>
      </c>
      <c r="G878" s="5" t="s">
        <v>15</v>
      </c>
      <c r="H878" s="6">
        <f>SUMIFS(InventTrans!F:F,InventTrans!B:B,AtlasReport_3_Table_1[[#This Row],[Lot ID]],InventTrans!C:C,AtlasReport_3_Table_1[[#This Row],[Ship date]])</f>
        <v>975</v>
      </c>
      <c r="I878" s="5" t="s">
        <v>15</v>
      </c>
      <c r="J878" s="5" t="s">
        <v>1157</v>
      </c>
    </row>
    <row r="879" spans="1:10" x14ac:dyDescent="0.15">
      <c r="A879" s="5" t="s">
        <v>48</v>
      </c>
      <c r="B879" s="5" t="s">
        <v>260</v>
      </c>
      <c r="C879" s="5" t="s">
        <v>61</v>
      </c>
      <c r="D879" s="5" t="s">
        <v>62</v>
      </c>
      <c r="E879" s="9">
        <v>43810</v>
      </c>
      <c r="F879" s="6">
        <v>150</v>
      </c>
      <c r="G879" s="5" t="s">
        <v>15</v>
      </c>
      <c r="H879" s="6">
        <f>SUMIFS(InventTrans!F:F,InventTrans!B:B,AtlasReport_3_Table_1[[#This Row],[Lot ID]],InventTrans!C:C,AtlasReport_3_Table_1[[#This Row],[Ship date]])</f>
        <v>150</v>
      </c>
      <c r="I879" s="5" t="s">
        <v>15</v>
      </c>
      <c r="J879" s="5" t="s">
        <v>1158</v>
      </c>
    </row>
    <row r="880" spans="1:10" x14ac:dyDescent="0.15">
      <c r="A880" s="5" t="s">
        <v>48</v>
      </c>
      <c r="B880" s="5" t="s">
        <v>260</v>
      </c>
      <c r="C880" s="5" t="s">
        <v>42</v>
      </c>
      <c r="D880" s="5" t="s">
        <v>38</v>
      </c>
      <c r="E880" s="9">
        <v>43810</v>
      </c>
      <c r="F880" s="6">
        <v>450</v>
      </c>
      <c r="G880" s="5" t="s">
        <v>15</v>
      </c>
      <c r="H880" s="6">
        <f>SUMIFS(InventTrans!F:F,InventTrans!B:B,AtlasReport_3_Table_1[[#This Row],[Lot ID]],InventTrans!C:C,AtlasReport_3_Table_1[[#This Row],[Ship date]])</f>
        <v>450</v>
      </c>
      <c r="I880" s="5" t="s">
        <v>15</v>
      </c>
      <c r="J880" s="5" t="s">
        <v>1159</v>
      </c>
    </row>
    <row r="881" spans="1:10" x14ac:dyDescent="0.15">
      <c r="A881" s="5" t="s">
        <v>48</v>
      </c>
      <c r="B881" s="5" t="s">
        <v>261</v>
      </c>
      <c r="C881" s="5" t="s">
        <v>35</v>
      </c>
      <c r="D881" s="5" t="s">
        <v>36</v>
      </c>
      <c r="E881" s="9">
        <v>43810</v>
      </c>
      <c r="F881" s="6">
        <v>14040</v>
      </c>
      <c r="G881" s="5" t="s">
        <v>15</v>
      </c>
      <c r="H881" s="6">
        <f>SUMIFS(InventTrans!F:F,InventTrans!B:B,AtlasReport_3_Table_1[[#This Row],[Lot ID]],InventTrans!C:C,AtlasReport_3_Table_1[[#This Row],[Ship date]])</f>
        <v>14040</v>
      </c>
      <c r="I881" s="5" t="s">
        <v>15</v>
      </c>
      <c r="J881" s="5" t="s">
        <v>1160</v>
      </c>
    </row>
    <row r="882" spans="1:10" x14ac:dyDescent="0.15">
      <c r="A882" s="5" t="s">
        <v>48</v>
      </c>
      <c r="B882" s="5" t="s">
        <v>262</v>
      </c>
      <c r="C882" s="5" t="s">
        <v>37</v>
      </c>
      <c r="D882" s="5" t="s">
        <v>38</v>
      </c>
      <c r="E882" s="9">
        <v>43810</v>
      </c>
      <c r="F882" s="6">
        <v>780</v>
      </c>
      <c r="G882" s="5" t="s">
        <v>15</v>
      </c>
      <c r="H882" s="6">
        <f>SUMIFS(InventTrans!F:F,InventTrans!B:B,AtlasReport_3_Table_1[[#This Row],[Lot ID]],InventTrans!C:C,AtlasReport_3_Table_1[[#This Row],[Ship date]])</f>
        <v>780</v>
      </c>
      <c r="I882" s="5" t="s">
        <v>15</v>
      </c>
      <c r="J882" s="5" t="s">
        <v>1161</v>
      </c>
    </row>
    <row r="883" spans="1:10" x14ac:dyDescent="0.15">
      <c r="A883" s="5" t="s">
        <v>48</v>
      </c>
      <c r="B883" s="5" t="s">
        <v>263</v>
      </c>
      <c r="C883" s="5" t="s">
        <v>37</v>
      </c>
      <c r="D883" s="5" t="s">
        <v>38</v>
      </c>
      <c r="E883" s="9">
        <v>43810</v>
      </c>
      <c r="F883" s="6">
        <v>-780</v>
      </c>
      <c r="G883" s="5" t="s">
        <v>15</v>
      </c>
      <c r="H883" s="6">
        <f>SUMIFS(InventTrans!F:F,InventTrans!B:B,AtlasReport_3_Table_1[[#This Row],[Lot ID]],InventTrans!C:C,AtlasReport_3_Table_1[[#This Row],[Ship date]])</f>
        <v>-780</v>
      </c>
      <c r="I883" s="5" t="s">
        <v>15</v>
      </c>
      <c r="J883" s="5" t="s">
        <v>1162</v>
      </c>
    </row>
    <row r="884" spans="1:10" x14ac:dyDescent="0.15">
      <c r="A884" s="5" t="s">
        <v>48</v>
      </c>
      <c r="B884" s="5" t="s">
        <v>264</v>
      </c>
      <c r="C884" s="5" t="s">
        <v>37</v>
      </c>
      <c r="D884" s="5" t="s">
        <v>38</v>
      </c>
      <c r="E884" s="9">
        <v>43810</v>
      </c>
      <c r="F884" s="6">
        <v>780</v>
      </c>
      <c r="G884" s="5" t="s">
        <v>15</v>
      </c>
      <c r="H884" s="6">
        <f>SUMIFS(InventTrans!F:F,InventTrans!B:B,AtlasReport_3_Table_1[[#This Row],[Lot ID]],InventTrans!C:C,AtlasReport_3_Table_1[[#This Row],[Ship date]])</f>
        <v>780</v>
      </c>
      <c r="I884" s="5" t="s">
        <v>15</v>
      </c>
      <c r="J884" s="5" t="s">
        <v>1163</v>
      </c>
    </row>
    <row r="885" spans="1:10" x14ac:dyDescent="0.15">
      <c r="A885" s="5" t="s">
        <v>48</v>
      </c>
      <c r="B885" s="5" t="s">
        <v>265</v>
      </c>
      <c r="C885" s="5" t="s">
        <v>35</v>
      </c>
      <c r="D885" s="5" t="s">
        <v>36</v>
      </c>
      <c r="E885" s="9">
        <v>43810</v>
      </c>
      <c r="F885" s="6">
        <v>292.5</v>
      </c>
      <c r="G885" s="5" t="s">
        <v>15</v>
      </c>
      <c r="H885" s="6">
        <f>SUMIFS(InventTrans!F:F,InventTrans!B:B,AtlasReport_3_Table_1[[#This Row],[Lot ID]],InventTrans!C:C,AtlasReport_3_Table_1[[#This Row],[Ship date]])</f>
        <v>292.5</v>
      </c>
      <c r="I885" s="5" t="s">
        <v>15</v>
      </c>
      <c r="J885" s="5" t="s">
        <v>1164</v>
      </c>
    </row>
    <row r="886" spans="1:10" x14ac:dyDescent="0.15">
      <c r="A886" s="5" t="s">
        <v>48</v>
      </c>
      <c r="B886" s="5" t="s">
        <v>266</v>
      </c>
      <c r="C886" s="5" t="s">
        <v>158</v>
      </c>
      <c r="D886" s="5" t="s">
        <v>159</v>
      </c>
      <c r="E886" s="9">
        <v>43811</v>
      </c>
      <c r="F886" s="6">
        <v>-156</v>
      </c>
      <c r="G886" s="5" t="s">
        <v>15</v>
      </c>
      <c r="H886" s="6">
        <f>SUMIFS(InventTrans!F:F,InventTrans!B:B,AtlasReport_3_Table_1[[#This Row],[Lot ID]],InventTrans!C:C,AtlasReport_3_Table_1[[#This Row],[Ship date]])</f>
        <v>-156</v>
      </c>
      <c r="I886" s="5" t="s">
        <v>15</v>
      </c>
      <c r="J886" s="5" t="s">
        <v>1165</v>
      </c>
    </row>
    <row r="887" spans="1:10" x14ac:dyDescent="0.15">
      <c r="A887" s="5" t="s">
        <v>48</v>
      </c>
      <c r="B887" s="5" t="s">
        <v>267</v>
      </c>
      <c r="C887" s="5" t="s">
        <v>158</v>
      </c>
      <c r="D887" s="5" t="s">
        <v>159</v>
      </c>
      <c r="E887" s="9">
        <v>43811</v>
      </c>
      <c r="F887" s="6">
        <v>78</v>
      </c>
      <c r="G887" s="5" t="s">
        <v>15</v>
      </c>
      <c r="H887" s="6">
        <f>SUMIFS(InventTrans!F:F,InventTrans!B:B,AtlasReport_3_Table_1[[#This Row],[Lot ID]],InventTrans!C:C,AtlasReport_3_Table_1[[#This Row],[Ship date]])</f>
        <v>78</v>
      </c>
      <c r="I887" s="5" t="s">
        <v>15</v>
      </c>
      <c r="J887" s="5" t="s">
        <v>1166</v>
      </c>
    </row>
    <row r="888" spans="1:10" x14ac:dyDescent="0.15">
      <c r="A888" s="5" t="s">
        <v>48</v>
      </c>
      <c r="B888" s="5" t="s">
        <v>268</v>
      </c>
      <c r="C888" s="5" t="s">
        <v>37</v>
      </c>
      <c r="D888" s="5" t="s">
        <v>38</v>
      </c>
      <c r="E888" s="9">
        <v>43811</v>
      </c>
      <c r="F888" s="6">
        <v>1072.5</v>
      </c>
      <c r="G888" s="5" t="s">
        <v>15</v>
      </c>
      <c r="H888" s="6">
        <f>SUMIFS(InventTrans!F:F,InventTrans!B:B,AtlasReport_3_Table_1[[#This Row],[Lot ID]],InventTrans!C:C,AtlasReport_3_Table_1[[#This Row],[Ship date]])</f>
        <v>1072.5</v>
      </c>
      <c r="I888" s="5" t="s">
        <v>15</v>
      </c>
      <c r="J888" s="5" t="s">
        <v>1167</v>
      </c>
    </row>
    <row r="889" spans="1:10" x14ac:dyDescent="0.15">
      <c r="A889" s="5" t="s">
        <v>48</v>
      </c>
      <c r="B889" s="5" t="s">
        <v>269</v>
      </c>
      <c r="C889" s="5" t="s">
        <v>35</v>
      </c>
      <c r="D889" s="5" t="s">
        <v>36</v>
      </c>
      <c r="E889" s="9">
        <v>43815</v>
      </c>
      <c r="F889" s="6">
        <v>3997.5</v>
      </c>
      <c r="G889" s="5" t="s">
        <v>15</v>
      </c>
      <c r="H889" s="6">
        <f>SUMIFS(InventTrans!F:F,InventTrans!B:B,AtlasReport_3_Table_1[[#This Row],[Lot ID]],InventTrans!C:C,AtlasReport_3_Table_1[[#This Row],[Ship date]])</f>
        <v>3997.5</v>
      </c>
      <c r="I889" s="5" t="s">
        <v>15</v>
      </c>
      <c r="J889" s="5" t="s">
        <v>1168</v>
      </c>
    </row>
    <row r="890" spans="1:10" x14ac:dyDescent="0.15">
      <c r="A890" s="5" t="s">
        <v>48</v>
      </c>
      <c r="B890" s="5" t="s">
        <v>269</v>
      </c>
      <c r="C890" s="5" t="s">
        <v>51</v>
      </c>
      <c r="D890" s="5" t="s">
        <v>52</v>
      </c>
      <c r="E890" s="9">
        <v>43815</v>
      </c>
      <c r="F890" s="6">
        <v>3022.5</v>
      </c>
      <c r="G890" s="5" t="s">
        <v>15</v>
      </c>
      <c r="H890" s="6">
        <f>SUMIFS(InventTrans!F:F,InventTrans!B:B,AtlasReport_3_Table_1[[#This Row],[Lot ID]],InventTrans!C:C,AtlasReport_3_Table_1[[#This Row],[Ship date]])</f>
        <v>3022.5</v>
      </c>
      <c r="I890" s="5" t="s">
        <v>15</v>
      </c>
      <c r="J890" s="5" t="s">
        <v>1169</v>
      </c>
    </row>
    <row r="891" spans="1:10" x14ac:dyDescent="0.15">
      <c r="A891" s="5" t="s">
        <v>48</v>
      </c>
      <c r="B891" s="5" t="s">
        <v>270</v>
      </c>
      <c r="C891" s="5" t="s">
        <v>35</v>
      </c>
      <c r="D891" s="5" t="s">
        <v>36</v>
      </c>
      <c r="E891" s="9">
        <v>43815</v>
      </c>
      <c r="F891" s="6">
        <v>7995</v>
      </c>
      <c r="G891" s="5" t="s">
        <v>15</v>
      </c>
      <c r="H891" s="6">
        <f>SUMIFS(InventTrans!F:F,InventTrans!B:B,AtlasReport_3_Table_1[[#This Row],[Lot ID]],InventTrans!C:C,AtlasReport_3_Table_1[[#This Row],[Ship date]])</f>
        <v>7995</v>
      </c>
      <c r="I891" s="5" t="s">
        <v>15</v>
      </c>
      <c r="J891" s="5" t="s">
        <v>1170</v>
      </c>
    </row>
    <row r="892" spans="1:10" x14ac:dyDescent="0.15">
      <c r="A892" s="5" t="s">
        <v>48</v>
      </c>
      <c r="B892" s="5" t="s">
        <v>1171</v>
      </c>
      <c r="C892" s="5" t="s">
        <v>35</v>
      </c>
      <c r="D892" s="5" t="s">
        <v>36</v>
      </c>
      <c r="E892" s="9">
        <v>43816</v>
      </c>
      <c r="F892" s="6">
        <v>195</v>
      </c>
      <c r="G892" s="5" t="s">
        <v>15</v>
      </c>
      <c r="H892" s="6">
        <f>SUMIFS(InventTrans!F:F,InventTrans!B:B,AtlasReport_3_Table_1[[#This Row],[Lot ID]],InventTrans!C:C,AtlasReport_3_Table_1[[#This Row],[Ship date]])</f>
        <v>195</v>
      </c>
      <c r="I892" s="5" t="s">
        <v>15</v>
      </c>
      <c r="J892" s="5" t="s">
        <v>1172</v>
      </c>
    </row>
    <row r="893" spans="1:10" x14ac:dyDescent="0.15">
      <c r="A893" s="5" t="s">
        <v>48</v>
      </c>
      <c r="B893" s="5" t="s">
        <v>1171</v>
      </c>
      <c r="C893" s="5" t="s">
        <v>37</v>
      </c>
      <c r="D893" s="5" t="s">
        <v>38</v>
      </c>
      <c r="E893" s="9">
        <v>43816</v>
      </c>
      <c r="F893" s="6">
        <v>12675</v>
      </c>
      <c r="G893" s="5" t="s">
        <v>15</v>
      </c>
      <c r="H893" s="6">
        <f>SUMIFS(InventTrans!F:F,InventTrans!B:B,AtlasReport_3_Table_1[[#This Row],[Lot ID]],InventTrans!C:C,AtlasReport_3_Table_1[[#This Row],[Ship date]])</f>
        <v>12675</v>
      </c>
      <c r="I893" s="5" t="s">
        <v>15</v>
      </c>
      <c r="J893" s="5" t="s">
        <v>1173</v>
      </c>
    </row>
    <row r="894" spans="1:10" x14ac:dyDescent="0.15">
      <c r="A894" s="5" t="s">
        <v>48</v>
      </c>
      <c r="B894" s="5" t="s">
        <v>271</v>
      </c>
      <c r="C894" s="5" t="s">
        <v>37</v>
      </c>
      <c r="D894" s="5" t="s">
        <v>38</v>
      </c>
      <c r="E894" s="9">
        <v>43819</v>
      </c>
      <c r="F894" s="6">
        <v>-780</v>
      </c>
      <c r="G894" s="5" t="s">
        <v>15</v>
      </c>
      <c r="H894" s="6">
        <f>SUMIFS(InventTrans!F:F,InventTrans!B:B,AtlasReport_3_Table_1[[#This Row],[Lot ID]],InventTrans!C:C,AtlasReport_3_Table_1[[#This Row],[Ship date]])</f>
        <v>-780</v>
      </c>
      <c r="I894" s="5" t="s">
        <v>15</v>
      </c>
      <c r="J894" s="5" t="s">
        <v>1174</v>
      </c>
    </row>
    <row r="895" spans="1:10" x14ac:dyDescent="0.15">
      <c r="A895" s="3" t="s">
        <v>9</v>
      </c>
      <c r="B895" s="4"/>
      <c r="C895" s="4"/>
      <c r="D895" s="4"/>
      <c r="E895" s="8"/>
      <c r="F895" s="3">
        <f>SUBTOTAL(109,AtlasReport_3_Table_1[Delivered])</f>
        <v>4542777</v>
      </c>
      <c r="G895" s="4"/>
      <c r="H895" s="3"/>
      <c r="I895" s="4"/>
      <c r="J895" s="3"/>
    </row>
    <row r="896" spans="1:10" x14ac:dyDescent="0.15">
      <c r="A896" s="3"/>
      <c r="B896" s="3"/>
      <c r="C896" s="3"/>
      <c r="D896" s="3"/>
      <c r="E896" s="8"/>
      <c r="F896" s="3"/>
      <c r="G896" s="3"/>
      <c r="H896" s="3"/>
      <c r="I896" s="3"/>
      <c r="J896" s="3"/>
    </row>
    <row r="897" spans="1:10" x14ac:dyDescent="0.15">
      <c r="A897" s="3"/>
      <c r="B897" s="3"/>
      <c r="C897" s="3"/>
      <c r="D897" s="3"/>
      <c r="E897" s="8"/>
      <c r="F897" s="3"/>
      <c r="G897" s="3"/>
      <c r="H897" s="3"/>
      <c r="I897" s="3"/>
      <c r="J897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/>
  <dimension ref="A1:F5115"/>
  <sheetViews>
    <sheetView workbookViewId="0">
      <selection activeCell="A3" sqref="A3:F5112"/>
    </sheetView>
  </sheetViews>
  <sheetFormatPr defaultRowHeight="13.5" x14ac:dyDescent="0.15"/>
  <cols>
    <col min="1" max="1" width="12.25" customWidth="1"/>
    <col min="2" max="2" width="11.625" customWidth="1"/>
    <col min="3" max="3" width="19" customWidth="1"/>
    <col min="4" max="4" width="14" customWidth="1"/>
    <col min="5" max="5" width="18.375" customWidth="1"/>
    <col min="6" max="6" width="12.75" customWidth="1"/>
  </cols>
  <sheetData>
    <row r="1" spans="1:6" ht="22.5" x14ac:dyDescent="0.25">
      <c r="A1" s="1" t="s">
        <v>22</v>
      </c>
      <c r="B1" s="1"/>
      <c r="C1" s="1"/>
      <c r="D1" s="1"/>
      <c r="E1" s="1"/>
      <c r="F1" s="1"/>
    </row>
    <row r="2" spans="1:6" x14ac:dyDescent="0.15">
      <c r="A2" s="3" t="s">
        <v>23</v>
      </c>
      <c r="B2" s="3" t="s">
        <v>18</v>
      </c>
      <c r="C2" s="8" t="s">
        <v>14</v>
      </c>
      <c r="D2" s="3" t="s">
        <v>24</v>
      </c>
      <c r="E2" s="3" t="s">
        <v>25</v>
      </c>
      <c r="F2" s="3" t="s">
        <v>13</v>
      </c>
    </row>
    <row r="3" spans="1:6" x14ac:dyDescent="0.15">
      <c r="A3" s="5" t="s">
        <v>42</v>
      </c>
      <c r="B3" s="5" t="s">
        <v>5743</v>
      </c>
      <c r="C3" s="9">
        <v>42387</v>
      </c>
      <c r="D3" s="5" t="s">
        <v>16</v>
      </c>
      <c r="E3" s="5" t="s">
        <v>5744</v>
      </c>
      <c r="F3" s="6">
        <v>3000</v>
      </c>
    </row>
    <row r="4" spans="1:6" x14ac:dyDescent="0.15">
      <c r="A4" s="5" t="s">
        <v>37</v>
      </c>
      <c r="B4" s="5" t="s">
        <v>6222</v>
      </c>
      <c r="C4" s="9">
        <v>42387</v>
      </c>
      <c r="D4" s="5" t="s">
        <v>16</v>
      </c>
      <c r="E4" s="5" t="s">
        <v>5744</v>
      </c>
      <c r="F4" s="6">
        <v>19500</v>
      </c>
    </row>
    <row r="5" spans="1:6" x14ac:dyDescent="0.15">
      <c r="A5" s="5" t="s">
        <v>53</v>
      </c>
      <c r="B5" s="5" t="s">
        <v>8369</v>
      </c>
      <c r="C5" s="9">
        <v>42387</v>
      </c>
      <c r="D5" s="5" t="s">
        <v>16</v>
      </c>
      <c r="E5" s="5" t="s">
        <v>5744</v>
      </c>
      <c r="F5" s="6">
        <v>1950</v>
      </c>
    </row>
    <row r="6" spans="1:6" x14ac:dyDescent="0.15">
      <c r="A6" s="5" t="s">
        <v>37</v>
      </c>
      <c r="B6" s="5" t="s">
        <v>6223</v>
      </c>
      <c r="C6" s="9">
        <v>42394</v>
      </c>
      <c r="D6" s="5" t="s">
        <v>16</v>
      </c>
      <c r="E6" s="5" t="s">
        <v>6096</v>
      </c>
      <c r="F6" s="6">
        <v>5850</v>
      </c>
    </row>
    <row r="7" spans="1:6" x14ac:dyDescent="0.15">
      <c r="A7" s="5" t="s">
        <v>64</v>
      </c>
      <c r="B7" s="5" t="s">
        <v>6095</v>
      </c>
      <c r="C7" s="9">
        <v>42394</v>
      </c>
      <c r="D7" s="5" t="s">
        <v>16</v>
      </c>
      <c r="E7" s="5" t="s">
        <v>6096</v>
      </c>
      <c r="F7" s="6">
        <v>16050</v>
      </c>
    </row>
    <row r="8" spans="1:6" x14ac:dyDescent="0.15">
      <c r="A8" s="5" t="s">
        <v>37</v>
      </c>
      <c r="B8" s="5" t="s">
        <v>6224</v>
      </c>
      <c r="C8" s="9">
        <v>42398</v>
      </c>
      <c r="D8" s="5" t="s">
        <v>16</v>
      </c>
      <c r="E8" s="5" t="s">
        <v>6225</v>
      </c>
      <c r="F8" s="6">
        <v>25350</v>
      </c>
    </row>
    <row r="9" spans="1:6" x14ac:dyDescent="0.15">
      <c r="A9" s="5" t="s">
        <v>37</v>
      </c>
      <c r="B9" s="5" t="s">
        <v>6226</v>
      </c>
      <c r="C9" s="9">
        <v>42408</v>
      </c>
      <c r="D9" s="5" t="s">
        <v>16</v>
      </c>
      <c r="E9" s="5" t="s">
        <v>5563</v>
      </c>
      <c r="F9" s="6">
        <v>3900</v>
      </c>
    </row>
    <row r="10" spans="1:6" x14ac:dyDescent="0.15">
      <c r="A10" s="5" t="s">
        <v>64</v>
      </c>
      <c r="B10" s="5" t="s">
        <v>6098</v>
      </c>
      <c r="C10" s="9">
        <v>42408</v>
      </c>
      <c r="D10" s="5" t="s">
        <v>16</v>
      </c>
      <c r="E10" s="5" t="s">
        <v>5563</v>
      </c>
      <c r="F10" s="6">
        <v>4500</v>
      </c>
    </row>
    <row r="11" spans="1:6" x14ac:dyDescent="0.15">
      <c r="A11" s="5" t="s">
        <v>57</v>
      </c>
      <c r="B11" s="5" t="s">
        <v>5562</v>
      </c>
      <c r="C11" s="9">
        <v>42408</v>
      </c>
      <c r="D11" s="5" t="s">
        <v>16</v>
      </c>
      <c r="E11" s="5" t="s">
        <v>5563</v>
      </c>
      <c r="F11" s="6">
        <v>3880</v>
      </c>
    </row>
    <row r="12" spans="1:6" x14ac:dyDescent="0.15">
      <c r="A12" s="5" t="s">
        <v>53</v>
      </c>
      <c r="B12" s="5" t="s">
        <v>8370</v>
      </c>
      <c r="C12" s="9">
        <v>42408</v>
      </c>
      <c r="D12" s="5" t="s">
        <v>16</v>
      </c>
      <c r="E12" s="5" t="s">
        <v>5563</v>
      </c>
      <c r="F12" s="6">
        <v>11700</v>
      </c>
    </row>
    <row r="13" spans="1:6" x14ac:dyDescent="0.15">
      <c r="A13" s="5" t="s">
        <v>37</v>
      </c>
      <c r="B13" s="5" t="s">
        <v>6227</v>
      </c>
      <c r="C13" s="9">
        <v>42408</v>
      </c>
      <c r="D13" s="5" t="s">
        <v>16</v>
      </c>
      <c r="E13" s="5" t="s">
        <v>6228</v>
      </c>
      <c r="F13" s="6">
        <v>21450</v>
      </c>
    </row>
    <row r="14" spans="1:6" x14ac:dyDescent="0.15">
      <c r="A14" s="5" t="s">
        <v>53</v>
      </c>
      <c r="B14" s="5" t="s">
        <v>8371</v>
      </c>
      <c r="C14" s="9">
        <v>42408</v>
      </c>
      <c r="D14" s="5" t="s">
        <v>16</v>
      </c>
      <c r="E14" s="5" t="s">
        <v>6228</v>
      </c>
      <c r="F14" s="6">
        <v>3900</v>
      </c>
    </row>
    <row r="15" spans="1:6" x14ac:dyDescent="0.15">
      <c r="A15" s="5" t="s">
        <v>35</v>
      </c>
      <c r="B15" s="5" t="s">
        <v>2706</v>
      </c>
      <c r="C15" s="9">
        <v>42408</v>
      </c>
      <c r="D15" s="5" t="s">
        <v>16</v>
      </c>
      <c r="E15" s="5" t="s">
        <v>2707</v>
      </c>
      <c r="F15" s="6">
        <v>25350</v>
      </c>
    </row>
    <row r="16" spans="1:6" x14ac:dyDescent="0.15">
      <c r="A16" s="5" t="s">
        <v>37</v>
      </c>
      <c r="B16" s="5" t="s">
        <v>6229</v>
      </c>
      <c r="C16" s="9">
        <v>42410</v>
      </c>
      <c r="D16" s="5" t="s">
        <v>16</v>
      </c>
      <c r="E16" s="5" t="s">
        <v>2709</v>
      </c>
      <c r="F16" s="6">
        <v>19500</v>
      </c>
    </row>
    <row r="17" spans="1:6" x14ac:dyDescent="0.15">
      <c r="A17" s="5" t="s">
        <v>43</v>
      </c>
      <c r="B17" s="5" t="s">
        <v>4520</v>
      </c>
      <c r="C17" s="9">
        <v>42410</v>
      </c>
      <c r="D17" s="5" t="s">
        <v>16</v>
      </c>
      <c r="E17" s="5" t="s">
        <v>2709</v>
      </c>
      <c r="F17" s="6">
        <v>3880</v>
      </c>
    </row>
    <row r="18" spans="1:6" x14ac:dyDescent="0.15">
      <c r="A18" s="5" t="s">
        <v>53</v>
      </c>
      <c r="B18" s="5" t="s">
        <v>8372</v>
      </c>
      <c r="C18" s="9">
        <v>42410</v>
      </c>
      <c r="D18" s="5" t="s">
        <v>16</v>
      </c>
      <c r="E18" s="5" t="s">
        <v>2709</v>
      </c>
      <c r="F18" s="6">
        <v>1950</v>
      </c>
    </row>
    <row r="19" spans="1:6" x14ac:dyDescent="0.15">
      <c r="A19" s="5" t="s">
        <v>53</v>
      </c>
      <c r="B19" s="5" t="s">
        <v>8373</v>
      </c>
      <c r="C19" s="9">
        <v>42410</v>
      </c>
      <c r="D19" s="5" t="s">
        <v>16</v>
      </c>
      <c r="E19" s="5" t="s">
        <v>2709</v>
      </c>
      <c r="F19" s="6">
        <v>-1950</v>
      </c>
    </row>
    <row r="20" spans="1:6" x14ac:dyDescent="0.15">
      <c r="A20" s="5" t="s">
        <v>35</v>
      </c>
      <c r="B20" s="5" t="s">
        <v>2708</v>
      </c>
      <c r="C20" s="9">
        <v>42410</v>
      </c>
      <c r="D20" s="5" t="s">
        <v>16</v>
      </c>
      <c r="E20" s="5" t="s">
        <v>2709</v>
      </c>
      <c r="F20" s="6">
        <v>1950</v>
      </c>
    </row>
    <row r="21" spans="1:6" x14ac:dyDescent="0.15">
      <c r="A21" s="5" t="s">
        <v>53</v>
      </c>
      <c r="B21" s="5" t="s">
        <v>8374</v>
      </c>
      <c r="C21" s="9">
        <v>42410</v>
      </c>
      <c r="D21" s="5" t="s">
        <v>16</v>
      </c>
      <c r="E21" s="5" t="s">
        <v>8375</v>
      </c>
      <c r="F21" s="6">
        <v>25350</v>
      </c>
    </row>
    <row r="22" spans="1:6" x14ac:dyDescent="0.15">
      <c r="A22" s="5" t="s">
        <v>35</v>
      </c>
      <c r="B22" s="5" t="s">
        <v>2710</v>
      </c>
      <c r="C22" s="9">
        <v>42411</v>
      </c>
      <c r="D22" s="5" t="s">
        <v>16</v>
      </c>
      <c r="E22" s="5" t="s">
        <v>2711</v>
      </c>
      <c r="F22" s="6">
        <v>975</v>
      </c>
    </row>
    <row r="23" spans="1:6" x14ac:dyDescent="0.15">
      <c r="A23" s="5" t="s">
        <v>37</v>
      </c>
      <c r="B23" s="5" t="s">
        <v>6230</v>
      </c>
      <c r="C23" s="9">
        <v>42411</v>
      </c>
      <c r="D23" s="5" t="s">
        <v>16</v>
      </c>
      <c r="E23" s="5" t="s">
        <v>2711</v>
      </c>
      <c r="F23" s="6">
        <v>195</v>
      </c>
    </row>
    <row r="24" spans="1:6" x14ac:dyDescent="0.15">
      <c r="A24" s="5" t="s">
        <v>35</v>
      </c>
      <c r="B24" s="5" t="s">
        <v>2712</v>
      </c>
      <c r="C24" s="9">
        <v>42411</v>
      </c>
      <c r="D24" s="5" t="s">
        <v>16</v>
      </c>
      <c r="E24" s="5" t="s">
        <v>2713</v>
      </c>
      <c r="F24" s="6">
        <v>97.5</v>
      </c>
    </row>
    <row r="25" spans="1:6" x14ac:dyDescent="0.15">
      <c r="A25" s="5" t="s">
        <v>42</v>
      </c>
      <c r="B25" s="5" t="s">
        <v>5745</v>
      </c>
      <c r="C25" s="9">
        <v>42418</v>
      </c>
      <c r="D25" s="5" t="s">
        <v>16</v>
      </c>
      <c r="E25" s="5" t="s">
        <v>5746</v>
      </c>
      <c r="F25" s="6">
        <v>19500</v>
      </c>
    </row>
    <row r="26" spans="1:6" x14ac:dyDescent="0.15">
      <c r="A26" s="5" t="s">
        <v>53</v>
      </c>
      <c r="B26" s="5" t="s">
        <v>8376</v>
      </c>
      <c r="C26" s="9">
        <v>42418</v>
      </c>
      <c r="D26" s="5" t="s">
        <v>16</v>
      </c>
      <c r="E26" s="5" t="s">
        <v>8377</v>
      </c>
      <c r="F26" s="6">
        <v>25350</v>
      </c>
    </row>
    <row r="27" spans="1:6" x14ac:dyDescent="0.15">
      <c r="A27" s="5" t="s">
        <v>53</v>
      </c>
      <c r="B27" s="5" t="s">
        <v>8378</v>
      </c>
      <c r="C27" s="9">
        <v>42418</v>
      </c>
      <c r="D27" s="5" t="s">
        <v>16</v>
      </c>
      <c r="E27" s="5" t="s">
        <v>2298</v>
      </c>
      <c r="F27" s="6">
        <v>9750</v>
      </c>
    </row>
    <row r="28" spans="1:6" x14ac:dyDescent="0.15">
      <c r="A28" s="5" t="s">
        <v>35</v>
      </c>
      <c r="B28" s="5" t="s">
        <v>2714</v>
      </c>
      <c r="C28" s="9">
        <v>42418</v>
      </c>
      <c r="D28" s="5" t="s">
        <v>16</v>
      </c>
      <c r="E28" s="5" t="s">
        <v>2298</v>
      </c>
      <c r="F28" s="6">
        <v>11700</v>
      </c>
    </row>
    <row r="29" spans="1:6" x14ac:dyDescent="0.15">
      <c r="A29" s="5" t="s">
        <v>40</v>
      </c>
      <c r="B29" s="5" t="s">
        <v>2297</v>
      </c>
      <c r="C29" s="9">
        <v>42418</v>
      </c>
      <c r="D29" s="5" t="s">
        <v>16</v>
      </c>
      <c r="E29" s="5" t="s">
        <v>2298</v>
      </c>
      <c r="F29" s="6">
        <v>3000</v>
      </c>
    </row>
    <row r="30" spans="1:6" x14ac:dyDescent="0.15">
      <c r="A30" s="5" t="s">
        <v>51</v>
      </c>
      <c r="B30" s="5" t="s">
        <v>4192</v>
      </c>
      <c r="C30" s="9">
        <v>42424</v>
      </c>
      <c r="D30" s="5" t="s">
        <v>16</v>
      </c>
      <c r="E30" s="5" t="s">
        <v>2237</v>
      </c>
      <c r="F30" s="6">
        <v>23400</v>
      </c>
    </row>
    <row r="31" spans="1:6" x14ac:dyDescent="0.15">
      <c r="A31" s="5" t="s">
        <v>63</v>
      </c>
      <c r="B31" s="5" t="s">
        <v>2236</v>
      </c>
      <c r="C31" s="9">
        <v>42424</v>
      </c>
      <c r="D31" s="5" t="s">
        <v>16</v>
      </c>
      <c r="E31" s="5" t="s">
        <v>2237</v>
      </c>
      <c r="F31" s="6">
        <v>1940</v>
      </c>
    </row>
    <row r="32" spans="1:6" x14ac:dyDescent="0.15">
      <c r="A32" s="5" t="s">
        <v>37</v>
      </c>
      <c r="B32" s="5" t="s">
        <v>6231</v>
      </c>
      <c r="C32" s="9">
        <v>42437</v>
      </c>
      <c r="D32" s="5" t="s">
        <v>16</v>
      </c>
      <c r="E32" s="5" t="s">
        <v>6232</v>
      </c>
      <c r="F32" s="6">
        <v>102960</v>
      </c>
    </row>
    <row r="33" spans="1:6" x14ac:dyDescent="0.15">
      <c r="A33" s="5" t="s">
        <v>174</v>
      </c>
      <c r="B33" s="5" t="s">
        <v>2639</v>
      </c>
      <c r="C33" s="9">
        <v>42405</v>
      </c>
      <c r="D33" s="5" t="s">
        <v>16</v>
      </c>
      <c r="E33" s="5" t="s">
        <v>2235</v>
      </c>
      <c r="F33" s="6">
        <v>10500</v>
      </c>
    </row>
    <row r="34" spans="1:6" x14ac:dyDescent="0.15">
      <c r="A34" s="5" t="s">
        <v>63</v>
      </c>
      <c r="B34" s="5" t="s">
        <v>2234</v>
      </c>
      <c r="C34" s="9">
        <v>42405</v>
      </c>
      <c r="D34" s="5" t="s">
        <v>16</v>
      </c>
      <c r="E34" s="5" t="s">
        <v>2235</v>
      </c>
      <c r="F34" s="6">
        <v>1940</v>
      </c>
    </row>
    <row r="35" spans="1:6" x14ac:dyDescent="0.15">
      <c r="A35" s="5" t="s">
        <v>40</v>
      </c>
      <c r="B35" s="5" t="s">
        <v>2296</v>
      </c>
      <c r="C35" s="9">
        <v>42405</v>
      </c>
      <c r="D35" s="5" t="s">
        <v>16</v>
      </c>
      <c r="E35" s="5" t="s">
        <v>2235</v>
      </c>
      <c r="F35" s="6">
        <v>7500</v>
      </c>
    </row>
    <row r="36" spans="1:6" x14ac:dyDescent="0.15">
      <c r="A36" s="5" t="s">
        <v>51</v>
      </c>
      <c r="B36" s="5" t="s">
        <v>4191</v>
      </c>
      <c r="C36" s="9">
        <v>42405</v>
      </c>
      <c r="D36" s="5" t="s">
        <v>16</v>
      </c>
      <c r="E36" s="5" t="s">
        <v>1746</v>
      </c>
      <c r="F36" s="6">
        <v>15600</v>
      </c>
    </row>
    <row r="37" spans="1:6" x14ac:dyDescent="0.15">
      <c r="A37" s="5" t="s">
        <v>41</v>
      </c>
      <c r="B37" s="5" t="s">
        <v>1745</v>
      </c>
      <c r="C37" s="9">
        <v>42405</v>
      </c>
      <c r="D37" s="5" t="s">
        <v>16</v>
      </c>
      <c r="E37" s="5" t="s">
        <v>1746</v>
      </c>
      <c r="F37" s="6">
        <v>3880</v>
      </c>
    </row>
    <row r="38" spans="1:6" x14ac:dyDescent="0.15">
      <c r="A38" s="5" t="s">
        <v>64</v>
      </c>
      <c r="B38" s="5" t="s">
        <v>6097</v>
      </c>
      <c r="C38" s="9">
        <v>42405</v>
      </c>
      <c r="D38" s="5" t="s">
        <v>16</v>
      </c>
      <c r="E38" s="5" t="s">
        <v>1746</v>
      </c>
      <c r="F38" s="6">
        <v>4500</v>
      </c>
    </row>
    <row r="39" spans="1:6" x14ac:dyDescent="0.15">
      <c r="A39" s="5" t="s">
        <v>53</v>
      </c>
      <c r="B39" s="5" t="s">
        <v>8379</v>
      </c>
      <c r="C39" s="9">
        <v>42437</v>
      </c>
      <c r="D39" s="5" t="s">
        <v>16</v>
      </c>
      <c r="E39" s="5" t="s">
        <v>8380</v>
      </c>
      <c r="F39" s="6">
        <v>11700</v>
      </c>
    </row>
    <row r="40" spans="1:6" x14ac:dyDescent="0.15">
      <c r="A40" s="5" t="s">
        <v>53</v>
      </c>
      <c r="B40" s="5" t="s">
        <v>8381</v>
      </c>
      <c r="C40" s="9">
        <v>42437</v>
      </c>
      <c r="D40" s="5" t="s">
        <v>16</v>
      </c>
      <c r="E40" s="5" t="s">
        <v>8382</v>
      </c>
      <c r="F40" s="6">
        <v>11700</v>
      </c>
    </row>
    <row r="41" spans="1:6" x14ac:dyDescent="0.15">
      <c r="A41" s="5" t="s">
        <v>53</v>
      </c>
      <c r="B41" s="5" t="s">
        <v>8383</v>
      </c>
      <c r="C41" s="9">
        <v>42437</v>
      </c>
      <c r="D41" s="5" t="s">
        <v>16</v>
      </c>
      <c r="E41" s="5" t="s">
        <v>8384</v>
      </c>
      <c r="F41" s="6">
        <v>-11700</v>
      </c>
    </row>
    <row r="42" spans="1:6" x14ac:dyDescent="0.15">
      <c r="A42" s="5" t="s">
        <v>53</v>
      </c>
      <c r="B42" s="5" t="s">
        <v>8385</v>
      </c>
      <c r="C42" s="9">
        <v>42437</v>
      </c>
      <c r="D42" s="5" t="s">
        <v>16</v>
      </c>
      <c r="E42" s="5" t="s">
        <v>8386</v>
      </c>
      <c r="F42" s="6">
        <v>-11700</v>
      </c>
    </row>
    <row r="43" spans="1:6" x14ac:dyDescent="0.15">
      <c r="A43" s="5" t="s">
        <v>8535</v>
      </c>
      <c r="B43" s="5" t="s">
        <v>8536</v>
      </c>
      <c r="C43" s="9">
        <v>42437</v>
      </c>
      <c r="D43" s="5" t="s">
        <v>16</v>
      </c>
      <c r="E43" s="5" t="s">
        <v>5623</v>
      </c>
      <c r="F43" s="6">
        <v>11700</v>
      </c>
    </row>
    <row r="44" spans="1:6" x14ac:dyDescent="0.15">
      <c r="A44" s="5" t="s">
        <v>148</v>
      </c>
      <c r="B44" s="5" t="s">
        <v>5622</v>
      </c>
      <c r="C44" s="9">
        <v>42437</v>
      </c>
      <c r="D44" s="5" t="s">
        <v>16</v>
      </c>
      <c r="E44" s="5" t="s">
        <v>5623</v>
      </c>
      <c r="F44" s="6">
        <v>4365</v>
      </c>
    </row>
    <row r="45" spans="1:6" x14ac:dyDescent="0.15">
      <c r="A45" s="5" t="s">
        <v>43</v>
      </c>
      <c r="B45" s="5" t="s">
        <v>4521</v>
      </c>
      <c r="C45" s="9">
        <v>42438</v>
      </c>
      <c r="D45" s="5" t="s">
        <v>16</v>
      </c>
      <c r="E45" s="5" t="s">
        <v>4522</v>
      </c>
      <c r="F45" s="6">
        <v>5820</v>
      </c>
    </row>
    <row r="46" spans="1:6" x14ac:dyDescent="0.15">
      <c r="A46" s="5" t="s">
        <v>37</v>
      </c>
      <c r="B46" s="5" t="s">
        <v>6233</v>
      </c>
      <c r="C46" s="9">
        <v>42438</v>
      </c>
      <c r="D46" s="5" t="s">
        <v>16</v>
      </c>
      <c r="E46" s="5" t="s">
        <v>4522</v>
      </c>
      <c r="F46" s="6">
        <v>5850</v>
      </c>
    </row>
    <row r="47" spans="1:6" x14ac:dyDescent="0.15">
      <c r="A47" s="5" t="s">
        <v>35</v>
      </c>
      <c r="B47" s="5" t="s">
        <v>2715</v>
      </c>
      <c r="C47" s="9">
        <v>42438</v>
      </c>
      <c r="D47" s="5" t="s">
        <v>16</v>
      </c>
      <c r="E47" s="5" t="s">
        <v>2716</v>
      </c>
      <c r="F47" s="6">
        <v>16575</v>
      </c>
    </row>
    <row r="48" spans="1:6" x14ac:dyDescent="0.15">
      <c r="A48" s="5" t="s">
        <v>37</v>
      </c>
      <c r="B48" s="5" t="s">
        <v>6234</v>
      </c>
      <c r="C48" s="9">
        <v>42444</v>
      </c>
      <c r="D48" s="5" t="s">
        <v>16</v>
      </c>
      <c r="E48" s="5" t="s">
        <v>6235</v>
      </c>
      <c r="F48" s="6">
        <v>4095</v>
      </c>
    </row>
    <row r="49" spans="1:6" x14ac:dyDescent="0.15">
      <c r="A49" s="5" t="s">
        <v>53</v>
      </c>
      <c r="B49" s="5" t="s">
        <v>8387</v>
      </c>
      <c r="C49" s="9">
        <v>42444</v>
      </c>
      <c r="D49" s="5" t="s">
        <v>16</v>
      </c>
      <c r="E49" s="5" t="s">
        <v>6235</v>
      </c>
      <c r="F49" s="6">
        <v>20475</v>
      </c>
    </row>
    <row r="50" spans="1:6" x14ac:dyDescent="0.15">
      <c r="A50" s="5" t="s">
        <v>37</v>
      </c>
      <c r="B50" s="5" t="s">
        <v>6236</v>
      </c>
      <c r="C50" s="9">
        <v>42444</v>
      </c>
      <c r="D50" s="5" t="s">
        <v>16</v>
      </c>
      <c r="E50" s="5" t="s">
        <v>4524</v>
      </c>
      <c r="F50" s="6">
        <v>4875</v>
      </c>
    </row>
    <row r="51" spans="1:6" x14ac:dyDescent="0.15">
      <c r="A51" s="5" t="s">
        <v>43</v>
      </c>
      <c r="B51" s="5" t="s">
        <v>4523</v>
      </c>
      <c r="C51" s="9">
        <v>42444</v>
      </c>
      <c r="D51" s="5" t="s">
        <v>16</v>
      </c>
      <c r="E51" s="5" t="s">
        <v>4524</v>
      </c>
      <c r="F51" s="6">
        <v>970</v>
      </c>
    </row>
    <row r="52" spans="1:6" x14ac:dyDescent="0.15">
      <c r="A52" s="5" t="s">
        <v>43</v>
      </c>
      <c r="B52" s="5" t="s">
        <v>4525</v>
      </c>
      <c r="C52" s="9">
        <v>42444</v>
      </c>
      <c r="D52" s="5" t="s">
        <v>16</v>
      </c>
      <c r="E52" s="5" t="s">
        <v>2239</v>
      </c>
      <c r="F52" s="6">
        <v>11640</v>
      </c>
    </row>
    <row r="53" spans="1:6" x14ac:dyDescent="0.15">
      <c r="A53" s="5" t="s">
        <v>63</v>
      </c>
      <c r="B53" s="5" t="s">
        <v>2238</v>
      </c>
      <c r="C53" s="9">
        <v>42444</v>
      </c>
      <c r="D53" s="5" t="s">
        <v>16</v>
      </c>
      <c r="E53" s="5" t="s">
        <v>2239</v>
      </c>
      <c r="F53" s="6">
        <v>3880</v>
      </c>
    </row>
    <row r="54" spans="1:6" x14ac:dyDescent="0.15">
      <c r="A54" s="5" t="s">
        <v>57</v>
      </c>
      <c r="B54" s="5" t="s">
        <v>5564</v>
      </c>
      <c r="C54" s="9">
        <v>42444</v>
      </c>
      <c r="D54" s="5" t="s">
        <v>16</v>
      </c>
      <c r="E54" s="5" t="s">
        <v>2239</v>
      </c>
      <c r="F54" s="6">
        <v>5820</v>
      </c>
    </row>
    <row r="55" spans="1:6" x14ac:dyDescent="0.15">
      <c r="A55" s="5" t="s">
        <v>40</v>
      </c>
      <c r="B55" s="5" t="s">
        <v>2299</v>
      </c>
      <c r="C55" s="9">
        <v>42444</v>
      </c>
      <c r="D55" s="5" t="s">
        <v>16</v>
      </c>
      <c r="E55" s="5" t="s">
        <v>2239</v>
      </c>
      <c r="F55" s="6">
        <v>3000</v>
      </c>
    </row>
    <row r="56" spans="1:6" x14ac:dyDescent="0.15">
      <c r="A56" s="5" t="s">
        <v>43</v>
      </c>
      <c r="B56" s="5" t="s">
        <v>4526</v>
      </c>
      <c r="C56" s="9">
        <v>42444</v>
      </c>
      <c r="D56" s="5" t="s">
        <v>16</v>
      </c>
      <c r="E56" s="5" t="s">
        <v>4527</v>
      </c>
      <c r="F56" s="6">
        <v>10185</v>
      </c>
    </row>
    <row r="57" spans="1:6" x14ac:dyDescent="0.15">
      <c r="A57" s="5" t="s">
        <v>58</v>
      </c>
      <c r="B57" s="5" t="s">
        <v>6151</v>
      </c>
      <c r="C57" s="9">
        <v>42444</v>
      </c>
      <c r="D57" s="5" t="s">
        <v>16</v>
      </c>
      <c r="E57" s="5" t="s">
        <v>5625</v>
      </c>
      <c r="F57" s="6">
        <v>13500</v>
      </c>
    </row>
    <row r="58" spans="1:6" x14ac:dyDescent="0.15">
      <c r="A58" s="5" t="s">
        <v>148</v>
      </c>
      <c r="B58" s="5" t="s">
        <v>5624</v>
      </c>
      <c r="C58" s="9">
        <v>42444</v>
      </c>
      <c r="D58" s="5" t="s">
        <v>16</v>
      </c>
      <c r="E58" s="5" t="s">
        <v>5625</v>
      </c>
      <c r="F58" s="6">
        <v>1455</v>
      </c>
    </row>
    <row r="59" spans="1:6" x14ac:dyDescent="0.15">
      <c r="A59" s="5" t="s">
        <v>37</v>
      </c>
      <c r="B59" s="5" t="s">
        <v>6237</v>
      </c>
      <c r="C59" s="9">
        <v>42445</v>
      </c>
      <c r="D59" s="5" t="s">
        <v>16</v>
      </c>
      <c r="E59" s="5" t="s">
        <v>1748</v>
      </c>
      <c r="F59" s="6">
        <v>9750</v>
      </c>
    </row>
    <row r="60" spans="1:6" x14ac:dyDescent="0.15">
      <c r="A60" s="5" t="s">
        <v>43</v>
      </c>
      <c r="B60" s="5" t="s">
        <v>4528</v>
      </c>
      <c r="C60" s="9">
        <v>42445</v>
      </c>
      <c r="D60" s="5" t="s">
        <v>16</v>
      </c>
      <c r="E60" s="5" t="s">
        <v>1748</v>
      </c>
      <c r="F60" s="6">
        <v>3880</v>
      </c>
    </row>
    <row r="61" spans="1:6" x14ac:dyDescent="0.15">
      <c r="A61" s="5" t="s">
        <v>35</v>
      </c>
      <c r="B61" s="5" t="s">
        <v>2717</v>
      </c>
      <c r="C61" s="9">
        <v>42445</v>
      </c>
      <c r="D61" s="5" t="s">
        <v>16</v>
      </c>
      <c r="E61" s="5" t="s">
        <v>1748</v>
      </c>
      <c r="F61" s="6">
        <v>3900</v>
      </c>
    </row>
    <row r="62" spans="1:6" x14ac:dyDescent="0.15">
      <c r="A62" s="5" t="s">
        <v>41</v>
      </c>
      <c r="B62" s="5" t="s">
        <v>1747</v>
      </c>
      <c r="C62" s="9">
        <v>42445</v>
      </c>
      <c r="D62" s="5" t="s">
        <v>16</v>
      </c>
      <c r="E62" s="5" t="s">
        <v>1748</v>
      </c>
      <c r="F62" s="6">
        <v>3880</v>
      </c>
    </row>
    <row r="63" spans="1:6" x14ac:dyDescent="0.15">
      <c r="A63" s="5" t="s">
        <v>37</v>
      </c>
      <c r="B63" s="5" t="s">
        <v>6243</v>
      </c>
      <c r="C63" s="9">
        <v>42452</v>
      </c>
      <c r="D63" s="5" t="s">
        <v>16</v>
      </c>
      <c r="E63" s="5" t="s">
        <v>4535</v>
      </c>
      <c r="F63" s="6">
        <v>32077.5</v>
      </c>
    </row>
    <row r="64" spans="1:6" x14ac:dyDescent="0.15">
      <c r="A64" s="5" t="s">
        <v>43</v>
      </c>
      <c r="B64" s="5" t="s">
        <v>4534</v>
      </c>
      <c r="C64" s="9">
        <v>42452</v>
      </c>
      <c r="D64" s="5" t="s">
        <v>16</v>
      </c>
      <c r="E64" s="5" t="s">
        <v>4535</v>
      </c>
      <c r="F64" s="6">
        <v>145.5</v>
      </c>
    </row>
    <row r="65" spans="1:6" x14ac:dyDescent="0.15">
      <c r="A65" s="5" t="s">
        <v>37</v>
      </c>
      <c r="B65" s="5" t="s">
        <v>6238</v>
      </c>
      <c r="C65" s="9">
        <v>42447</v>
      </c>
      <c r="D65" s="5" t="s">
        <v>16</v>
      </c>
      <c r="E65" s="5" t="s">
        <v>2719</v>
      </c>
      <c r="F65" s="6">
        <v>5850</v>
      </c>
    </row>
    <row r="66" spans="1:6" x14ac:dyDescent="0.15">
      <c r="A66" s="5" t="s">
        <v>43</v>
      </c>
      <c r="B66" s="5" t="s">
        <v>4529</v>
      </c>
      <c r="C66" s="9">
        <v>42447</v>
      </c>
      <c r="D66" s="5" t="s">
        <v>16</v>
      </c>
      <c r="E66" s="5" t="s">
        <v>2719</v>
      </c>
      <c r="F66" s="6">
        <v>1940</v>
      </c>
    </row>
    <row r="67" spans="1:6" x14ac:dyDescent="0.15">
      <c r="A67" s="5" t="s">
        <v>35</v>
      </c>
      <c r="B67" s="5" t="s">
        <v>2718</v>
      </c>
      <c r="C67" s="9">
        <v>42447</v>
      </c>
      <c r="D67" s="5" t="s">
        <v>16</v>
      </c>
      <c r="E67" s="5" t="s">
        <v>2719</v>
      </c>
      <c r="F67" s="6">
        <v>1950</v>
      </c>
    </row>
    <row r="68" spans="1:6" x14ac:dyDescent="0.15">
      <c r="A68" s="5" t="s">
        <v>53</v>
      </c>
      <c r="B68" s="5" t="s">
        <v>8388</v>
      </c>
      <c r="C68" s="9">
        <v>42450</v>
      </c>
      <c r="D68" s="5" t="s">
        <v>16</v>
      </c>
      <c r="E68" s="5" t="s">
        <v>8389</v>
      </c>
      <c r="F68" s="6">
        <v>3900</v>
      </c>
    </row>
    <row r="69" spans="1:6" x14ac:dyDescent="0.15">
      <c r="A69" s="5" t="s">
        <v>37</v>
      </c>
      <c r="B69" s="5" t="s">
        <v>6239</v>
      </c>
      <c r="C69" s="9">
        <v>42447</v>
      </c>
      <c r="D69" s="5" t="s">
        <v>16</v>
      </c>
      <c r="E69" s="5" t="s">
        <v>2721</v>
      </c>
      <c r="F69" s="6">
        <v>-5850</v>
      </c>
    </row>
    <row r="70" spans="1:6" x14ac:dyDescent="0.15">
      <c r="A70" s="5" t="s">
        <v>43</v>
      </c>
      <c r="B70" s="5" t="s">
        <v>4530</v>
      </c>
      <c r="C70" s="9">
        <v>42447</v>
      </c>
      <c r="D70" s="5" t="s">
        <v>16</v>
      </c>
      <c r="E70" s="5" t="s">
        <v>2721</v>
      </c>
      <c r="F70" s="6">
        <v>-1940</v>
      </c>
    </row>
    <row r="71" spans="1:6" x14ac:dyDescent="0.15">
      <c r="A71" s="5" t="s">
        <v>35</v>
      </c>
      <c r="B71" s="5" t="s">
        <v>2720</v>
      </c>
      <c r="C71" s="9">
        <v>42447</v>
      </c>
      <c r="D71" s="5" t="s">
        <v>16</v>
      </c>
      <c r="E71" s="5" t="s">
        <v>2721</v>
      </c>
      <c r="F71" s="6">
        <v>-1950</v>
      </c>
    </row>
    <row r="72" spans="1:6" x14ac:dyDescent="0.15">
      <c r="A72" s="5" t="s">
        <v>53</v>
      </c>
      <c r="B72" s="5" t="s">
        <v>8390</v>
      </c>
      <c r="C72" s="9">
        <v>42450</v>
      </c>
      <c r="D72" s="5" t="s">
        <v>16</v>
      </c>
      <c r="E72" s="5" t="s">
        <v>8391</v>
      </c>
      <c r="F72" s="6">
        <v>-3900</v>
      </c>
    </row>
    <row r="73" spans="1:6" x14ac:dyDescent="0.15">
      <c r="A73" s="5" t="s">
        <v>37</v>
      </c>
      <c r="B73" s="5" t="s">
        <v>6240</v>
      </c>
      <c r="C73" s="9">
        <v>42447</v>
      </c>
      <c r="D73" s="5" t="s">
        <v>16</v>
      </c>
      <c r="E73" s="5" t="s">
        <v>2723</v>
      </c>
      <c r="F73" s="6">
        <v>5850</v>
      </c>
    </row>
    <row r="74" spans="1:6" x14ac:dyDescent="0.15">
      <c r="A74" s="5" t="s">
        <v>43</v>
      </c>
      <c r="B74" s="5" t="s">
        <v>4531</v>
      </c>
      <c r="C74" s="9">
        <v>42447</v>
      </c>
      <c r="D74" s="5" t="s">
        <v>16</v>
      </c>
      <c r="E74" s="5" t="s">
        <v>2723</v>
      </c>
      <c r="F74" s="6">
        <v>1940</v>
      </c>
    </row>
    <row r="75" spans="1:6" x14ac:dyDescent="0.15">
      <c r="A75" s="5" t="s">
        <v>35</v>
      </c>
      <c r="B75" s="5" t="s">
        <v>2722</v>
      </c>
      <c r="C75" s="9">
        <v>42447</v>
      </c>
      <c r="D75" s="5" t="s">
        <v>16</v>
      </c>
      <c r="E75" s="5" t="s">
        <v>2723</v>
      </c>
      <c r="F75" s="6">
        <v>1950</v>
      </c>
    </row>
    <row r="76" spans="1:6" x14ac:dyDescent="0.15">
      <c r="A76" s="5" t="s">
        <v>53</v>
      </c>
      <c r="B76" s="5" t="s">
        <v>8392</v>
      </c>
      <c r="C76" s="9">
        <v>42450</v>
      </c>
      <c r="D76" s="5" t="s">
        <v>16</v>
      </c>
      <c r="E76" s="5" t="s">
        <v>8393</v>
      </c>
      <c r="F76" s="6">
        <v>3900</v>
      </c>
    </row>
    <row r="77" spans="1:6" x14ac:dyDescent="0.15">
      <c r="A77" s="5" t="s">
        <v>37</v>
      </c>
      <c r="B77" s="5" t="s">
        <v>6241</v>
      </c>
      <c r="C77" s="9">
        <v>42447</v>
      </c>
      <c r="D77" s="5" t="s">
        <v>16</v>
      </c>
      <c r="E77" s="5" t="s">
        <v>2725</v>
      </c>
      <c r="F77" s="6">
        <v>-5850</v>
      </c>
    </row>
    <row r="78" spans="1:6" x14ac:dyDescent="0.15">
      <c r="A78" s="5" t="s">
        <v>43</v>
      </c>
      <c r="B78" s="5" t="s">
        <v>4532</v>
      </c>
      <c r="C78" s="9">
        <v>42447</v>
      </c>
      <c r="D78" s="5" t="s">
        <v>16</v>
      </c>
      <c r="E78" s="5" t="s">
        <v>2725</v>
      </c>
      <c r="F78" s="6">
        <v>-1940</v>
      </c>
    </row>
    <row r="79" spans="1:6" x14ac:dyDescent="0.15">
      <c r="A79" s="5" t="s">
        <v>35</v>
      </c>
      <c r="B79" s="5" t="s">
        <v>2724</v>
      </c>
      <c r="C79" s="9">
        <v>42447</v>
      </c>
      <c r="D79" s="5" t="s">
        <v>16</v>
      </c>
      <c r="E79" s="5" t="s">
        <v>2725</v>
      </c>
      <c r="F79" s="6">
        <v>-1950</v>
      </c>
    </row>
    <row r="80" spans="1:6" x14ac:dyDescent="0.15">
      <c r="A80" s="5" t="s">
        <v>37</v>
      </c>
      <c r="B80" s="5" t="s">
        <v>6242</v>
      </c>
      <c r="C80" s="9">
        <v>42447</v>
      </c>
      <c r="D80" s="5" t="s">
        <v>16</v>
      </c>
      <c r="E80" s="5" t="s">
        <v>2727</v>
      </c>
      <c r="F80" s="6">
        <v>5850</v>
      </c>
    </row>
    <row r="81" spans="1:6" x14ac:dyDescent="0.15">
      <c r="A81" s="5" t="s">
        <v>43</v>
      </c>
      <c r="B81" s="5" t="s">
        <v>4533</v>
      </c>
      <c r="C81" s="9">
        <v>42447</v>
      </c>
      <c r="D81" s="5" t="s">
        <v>16</v>
      </c>
      <c r="E81" s="5" t="s">
        <v>2727</v>
      </c>
      <c r="F81" s="6">
        <v>1940</v>
      </c>
    </row>
    <row r="82" spans="1:6" x14ac:dyDescent="0.15">
      <c r="A82" s="5" t="s">
        <v>35</v>
      </c>
      <c r="B82" s="5" t="s">
        <v>2726</v>
      </c>
      <c r="C82" s="9">
        <v>42447</v>
      </c>
      <c r="D82" s="5" t="s">
        <v>16</v>
      </c>
      <c r="E82" s="5" t="s">
        <v>2727</v>
      </c>
      <c r="F82" s="6">
        <v>1950</v>
      </c>
    </row>
    <row r="83" spans="1:6" x14ac:dyDescent="0.15">
      <c r="A83" s="5" t="s">
        <v>35</v>
      </c>
      <c r="B83" s="5" t="s">
        <v>2728</v>
      </c>
      <c r="C83" s="9">
        <v>42458</v>
      </c>
      <c r="D83" s="5" t="s">
        <v>16</v>
      </c>
      <c r="E83" s="5" t="s">
        <v>2729</v>
      </c>
      <c r="F83" s="6">
        <v>2925</v>
      </c>
    </row>
    <row r="84" spans="1:6" x14ac:dyDescent="0.15">
      <c r="A84" s="5" t="s">
        <v>35</v>
      </c>
      <c r="B84" s="5" t="s">
        <v>2730</v>
      </c>
      <c r="C84" s="9">
        <v>42459</v>
      </c>
      <c r="D84" s="5" t="s">
        <v>16</v>
      </c>
      <c r="E84" s="5" t="s">
        <v>2731</v>
      </c>
      <c r="F84" s="6">
        <v>1950</v>
      </c>
    </row>
    <row r="85" spans="1:6" x14ac:dyDescent="0.15">
      <c r="A85" s="5" t="s">
        <v>37</v>
      </c>
      <c r="B85" s="5" t="s">
        <v>6244</v>
      </c>
      <c r="C85" s="9">
        <v>42459</v>
      </c>
      <c r="D85" s="5" t="s">
        <v>16</v>
      </c>
      <c r="E85" s="5" t="s">
        <v>6245</v>
      </c>
      <c r="F85" s="6">
        <v>2925</v>
      </c>
    </row>
    <row r="86" spans="1:6" x14ac:dyDescent="0.15">
      <c r="A86" s="5" t="s">
        <v>43</v>
      </c>
      <c r="B86" s="5" t="s">
        <v>4536</v>
      </c>
      <c r="C86" s="9">
        <v>42461</v>
      </c>
      <c r="D86" s="5" t="s">
        <v>16</v>
      </c>
      <c r="E86" s="5" t="s">
        <v>4537</v>
      </c>
      <c r="F86" s="6">
        <v>4801.5</v>
      </c>
    </row>
    <row r="87" spans="1:6" x14ac:dyDescent="0.15">
      <c r="A87" s="5" t="s">
        <v>37</v>
      </c>
      <c r="B87" s="5" t="s">
        <v>6246</v>
      </c>
      <c r="C87" s="9">
        <v>42461</v>
      </c>
      <c r="D87" s="5" t="s">
        <v>16</v>
      </c>
      <c r="E87" s="5" t="s">
        <v>4537</v>
      </c>
      <c r="F87" s="6">
        <v>19500</v>
      </c>
    </row>
    <row r="88" spans="1:6" x14ac:dyDescent="0.15">
      <c r="A88" s="5" t="s">
        <v>5730</v>
      </c>
      <c r="B88" s="5" t="s">
        <v>5731</v>
      </c>
      <c r="C88" s="9">
        <v>42461</v>
      </c>
      <c r="D88" s="5" t="s">
        <v>16</v>
      </c>
      <c r="E88" s="5" t="s">
        <v>2301</v>
      </c>
      <c r="F88" s="6">
        <v>4200</v>
      </c>
    </row>
    <row r="89" spans="1:6" x14ac:dyDescent="0.15">
      <c r="A89" s="5" t="s">
        <v>40</v>
      </c>
      <c r="B89" s="5" t="s">
        <v>2300</v>
      </c>
      <c r="C89" s="9">
        <v>42461</v>
      </c>
      <c r="D89" s="5" t="s">
        <v>16</v>
      </c>
      <c r="E89" s="5" t="s">
        <v>2301</v>
      </c>
      <c r="F89" s="6">
        <v>10500</v>
      </c>
    </row>
    <row r="90" spans="1:6" x14ac:dyDescent="0.15">
      <c r="A90" s="5" t="s">
        <v>44</v>
      </c>
      <c r="B90" s="5" t="s">
        <v>4300</v>
      </c>
      <c r="C90" s="9">
        <v>42461</v>
      </c>
      <c r="D90" s="5" t="s">
        <v>16</v>
      </c>
      <c r="E90" s="5" t="s">
        <v>2301</v>
      </c>
      <c r="F90" s="6">
        <v>585</v>
      </c>
    </row>
    <row r="91" spans="1:6" x14ac:dyDescent="0.15">
      <c r="A91" s="5" t="s">
        <v>37</v>
      </c>
      <c r="B91" s="5" t="s">
        <v>6247</v>
      </c>
      <c r="C91" s="9">
        <v>42464</v>
      </c>
      <c r="D91" s="5" t="s">
        <v>16</v>
      </c>
      <c r="E91" s="5" t="s">
        <v>6248</v>
      </c>
      <c r="F91" s="6">
        <v>25350</v>
      </c>
    </row>
    <row r="92" spans="1:6" x14ac:dyDescent="0.15">
      <c r="A92" s="5" t="s">
        <v>35</v>
      </c>
      <c r="B92" s="5" t="s">
        <v>2732</v>
      </c>
      <c r="C92" s="9">
        <v>42464</v>
      </c>
      <c r="D92" s="5" t="s">
        <v>16</v>
      </c>
      <c r="E92" s="5" t="s">
        <v>2733</v>
      </c>
      <c r="F92" s="6">
        <v>682.5</v>
      </c>
    </row>
    <row r="93" spans="1:6" x14ac:dyDescent="0.15">
      <c r="A93" s="5" t="s">
        <v>37</v>
      </c>
      <c r="B93" s="5" t="s">
        <v>6249</v>
      </c>
      <c r="C93" s="9">
        <v>42464</v>
      </c>
      <c r="D93" s="5" t="s">
        <v>16</v>
      </c>
      <c r="E93" s="5" t="s">
        <v>2733</v>
      </c>
      <c r="F93" s="6">
        <v>1072.5</v>
      </c>
    </row>
    <row r="94" spans="1:6" x14ac:dyDescent="0.15">
      <c r="A94" s="5" t="s">
        <v>44</v>
      </c>
      <c r="B94" s="5" t="s">
        <v>4303</v>
      </c>
      <c r="C94" s="9">
        <v>42465</v>
      </c>
      <c r="D94" s="5" t="s">
        <v>16</v>
      </c>
      <c r="E94" s="5" t="s">
        <v>4304</v>
      </c>
      <c r="F94" s="6">
        <v>25837.5</v>
      </c>
    </row>
    <row r="95" spans="1:6" x14ac:dyDescent="0.15">
      <c r="A95" s="5" t="s">
        <v>35</v>
      </c>
      <c r="B95" s="5" t="s">
        <v>2734</v>
      </c>
      <c r="C95" s="9">
        <v>42466</v>
      </c>
      <c r="D95" s="5" t="s">
        <v>16</v>
      </c>
      <c r="E95" s="5" t="s">
        <v>2735</v>
      </c>
      <c r="F95" s="6">
        <v>3022.5</v>
      </c>
    </row>
    <row r="96" spans="1:6" x14ac:dyDescent="0.15">
      <c r="A96" s="5" t="s">
        <v>35</v>
      </c>
      <c r="B96" s="5" t="s">
        <v>2736</v>
      </c>
      <c r="C96" s="9">
        <v>42472</v>
      </c>
      <c r="D96" s="5" t="s">
        <v>16</v>
      </c>
      <c r="E96" s="5" t="s">
        <v>2737</v>
      </c>
      <c r="F96" s="6">
        <v>195</v>
      </c>
    </row>
    <row r="97" spans="1:6" x14ac:dyDescent="0.15">
      <c r="A97" s="5" t="s">
        <v>8535</v>
      </c>
      <c r="B97" s="5" t="s">
        <v>8537</v>
      </c>
      <c r="C97" s="9">
        <v>42471</v>
      </c>
      <c r="D97" s="5" t="s">
        <v>16</v>
      </c>
      <c r="E97" s="5" t="s">
        <v>8538</v>
      </c>
      <c r="F97" s="6">
        <v>15210</v>
      </c>
    </row>
    <row r="98" spans="1:6" x14ac:dyDescent="0.15">
      <c r="A98" s="5" t="s">
        <v>8535</v>
      </c>
      <c r="B98" s="5" t="s">
        <v>8539</v>
      </c>
      <c r="C98" s="9">
        <v>42471</v>
      </c>
      <c r="D98" s="5" t="s">
        <v>16</v>
      </c>
      <c r="E98" s="5" t="s">
        <v>8540</v>
      </c>
      <c r="F98" s="6">
        <v>15210</v>
      </c>
    </row>
    <row r="99" spans="1:6" x14ac:dyDescent="0.15">
      <c r="A99" s="5" t="s">
        <v>5730</v>
      </c>
      <c r="B99" s="5" t="s">
        <v>5732</v>
      </c>
      <c r="C99" s="9">
        <v>42461</v>
      </c>
      <c r="D99" s="5" t="s">
        <v>16</v>
      </c>
      <c r="E99" s="5" t="s">
        <v>2303</v>
      </c>
      <c r="F99" s="6">
        <v>-4200</v>
      </c>
    </row>
    <row r="100" spans="1:6" x14ac:dyDescent="0.15">
      <c r="A100" s="5" t="s">
        <v>44</v>
      </c>
      <c r="B100" s="5" t="s">
        <v>4301</v>
      </c>
      <c r="C100" s="9">
        <v>42461</v>
      </c>
      <c r="D100" s="5" t="s">
        <v>16</v>
      </c>
      <c r="E100" s="5" t="s">
        <v>2303</v>
      </c>
      <c r="F100" s="6">
        <v>-585</v>
      </c>
    </row>
    <row r="101" spans="1:6" x14ac:dyDescent="0.15">
      <c r="A101" s="5" t="s">
        <v>40</v>
      </c>
      <c r="B101" s="5" t="s">
        <v>2302</v>
      </c>
      <c r="C101" s="9">
        <v>42461</v>
      </c>
      <c r="D101" s="5" t="s">
        <v>16</v>
      </c>
      <c r="E101" s="5" t="s">
        <v>2303</v>
      </c>
      <c r="F101" s="6">
        <v>-10500</v>
      </c>
    </row>
    <row r="102" spans="1:6" x14ac:dyDescent="0.15">
      <c r="A102" s="5" t="s">
        <v>8618</v>
      </c>
      <c r="B102" s="5" t="s">
        <v>8619</v>
      </c>
      <c r="C102" s="9">
        <v>42461</v>
      </c>
      <c r="D102" s="5" t="s">
        <v>16</v>
      </c>
      <c r="E102" s="5" t="s">
        <v>2305</v>
      </c>
      <c r="F102" s="6">
        <v>4200</v>
      </c>
    </row>
    <row r="103" spans="1:6" x14ac:dyDescent="0.15">
      <c r="A103" s="5" t="s">
        <v>44</v>
      </c>
      <c r="B103" s="5" t="s">
        <v>4302</v>
      </c>
      <c r="C103" s="9">
        <v>42461</v>
      </c>
      <c r="D103" s="5" t="s">
        <v>16</v>
      </c>
      <c r="E103" s="5" t="s">
        <v>2305</v>
      </c>
      <c r="F103" s="6">
        <v>585</v>
      </c>
    </row>
    <row r="104" spans="1:6" x14ac:dyDescent="0.15">
      <c r="A104" s="5" t="s">
        <v>40</v>
      </c>
      <c r="B104" s="5" t="s">
        <v>2304</v>
      </c>
      <c r="C104" s="9">
        <v>42461</v>
      </c>
      <c r="D104" s="5" t="s">
        <v>16</v>
      </c>
      <c r="E104" s="5" t="s">
        <v>2305</v>
      </c>
      <c r="F104" s="6">
        <v>10500</v>
      </c>
    </row>
    <row r="105" spans="1:6" x14ac:dyDescent="0.15">
      <c r="A105" s="5" t="s">
        <v>43</v>
      </c>
      <c r="B105" s="5" t="s">
        <v>4538</v>
      </c>
      <c r="C105" s="9">
        <v>42479</v>
      </c>
      <c r="D105" s="5" t="s">
        <v>16</v>
      </c>
      <c r="E105" s="5" t="s">
        <v>4539</v>
      </c>
      <c r="F105" s="6">
        <v>10185</v>
      </c>
    </row>
    <row r="106" spans="1:6" x14ac:dyDescent="0.15">
      <c r="A106" s="5" t="s">
        <v>37</v>
      </c>
      <c r="B106" s="5" t="s">
        <v>6250</v>
      </c>
      <c r="C106" s="9">
        <v>42482</v>
      </c>
      <c r="D106" s="5" t="s">
        <v>16</v>
      </c>
      <c r="E106" s="5" t="s">
        <v>2740</v>
      </c>
      <c r="F106" s="6">
        <v>195</v>
      </c>
    </row>
    <row r="107" spans="1:6" x14ac:dyDescent="0.15">
      <c r="A107" s="5" t="s">
        <v>35</v>
      </c>
      <c r="B107" s="5" t="s">
        <v>2739</v>
      </c>
      <c r="C107" s="9">
        <v>42482</v>
      </c>
      <c r="D107" s="5" t="s">
        <v>16</v>
      </c>
      <c r="E107" s="5" t="s">
        <v>2740</v>
      </c>
      <c r="F107" s="6">
        <v>195</v>
      </c>
    </row>
    <row r="108" spans="1:6" x14ac:dyDescent="0.15">
      <c r="A108" s="5" t="s">
        <v>35</v>
      </c>
      <c r="B108" s="5" t="s">
        <v>2738</v>
      </c>
      <c r="C108" s="9">
        <v>42478</v>
      </c>
      <c r="D108" s="5" t="s">
        <v>16</v>
      </c>
      <c r="E108" s="5" t="s">
        <v>1750</v>
      </c>
      <c r="F108" s="6">
        <v>1657.5</v>
      </c>
    </row>
    <row r="109" spans="1:6" x14ac:dyDescent="0.15">
      <c r="A109" s="5" t="s">
        <v>40</v>
      </c>
      <c r="B109" s="5" t="s">
        <v>2306</v>
      </c>
      <c r="C109" s="9">
        <v>42478</v>
      </c>
      <c r="D109" s="5" t="s">
        <v>16</v>
      </c>
      <c r="E109" s="5" t="s">
        <v>1750</v>
      </c>
      <c r="F109" s="6">
        <v>600</v>
      </c>
    </row>
    <row r="110" spans="1:6" x14ac:dyDescent="0.15">
      <c r="A110" s="5" t="s">
        <v>41</v>
      </c>
      <c r="B110" s="5" t="s">
        <v>1749</v>
      </c>
      <c r="C110" s="9">
        <v>42478</v>
      </c>
      <c r="D110" s="5" t="s">
        <v>16</v>
      </c>
      <c r="E110" s="5" t="s">
        <v>1750</v>
      </c>
      <c r="F110" s="6">
        <v>194</v>
      </c>
    </row>
    <row r="111" spans="1:6" x14ac:dyDescent="0.15">
      <c r="A111" s="5" t="s">
        <v>64</v>
      </c>
      <c r="B111" s="5" t="s">
        <v>6099</v>
      </c>
      <c r="C111" s="9">
        <v>42481</v>
      </c>
      <c r="D111" s="5" t="s">
        <v>16</v>
      </c>
      <c r="E111" s="5" t="s">
        <v>6100</v>
      </c>
      <c r="F111" s="6">
        <v>1950</v>
      </c>
    </row>
    <row r="112" spans="1:6" x14ac:dyDescent="0.15">
      <c r="A112" s="5" t="s">
        <v>37</v>
      </c>
      <c r="B112" s="5" t="s">
        <v>6251</v>
      </c>
      <c r="C112" s="9">
        <v>42482</v>
      </c>
      <c r="D112" s="5" t="s">
        <v>16</v>
      </c>
      <c r="E112" s="5" t="s">
        <v>6252</v>
      </c>
      <c r="F112" s="6">
        <v>7702.5</v>
      </c>
    </row>
    <row r="113" spans="1:6" x14ac:dyDescent="0.15">
      <c r="A113" s="5" t="s">
        <v>37</v>
      </c>
      <c r="B113" s="5" t="s">
        <v>6253</v>
      </c>
      <c r="C113" s="9">
        <v>42485</v>
      </c>
      <c r="D113" s="5" t="s">
        <v>16</v>
      </c>
      <c r="E113" s="5" t="s">
        <v>2742</v>
      </c>
      <c r="F113" s="6">
        <v>9750</v>
      </c>
    </row>
    <row r="114" spans="1:6" x14ac:dyDescent="0.15">
      <c r="A114" s="5" t="s">
        <v>35</v>
      </c>
      <c r="B114" s="5" t="s">
        <v>2741</v>
      </c>
      <c r="C114" s="9">
        <v>42485</v>
      </c>
      <c r="D114" s="5" t="s">
        <v>16</v>
      </c>
      <c r="E114" s="5" t="s">
        <v>2742</v>
      </c>
      <c r="F114" s="6">
        <v>4875</v>
      </c>
    </row>
    <row r="115" spans="1:6" x14ac:dyDescent="0.15">
      <c r="A115" s="5" t="s">
        <v>42</v>
      </c>
      <c r="B115" s="5" t="s">
        <v>5747</v>
      </c>
      <c r="C115" s="9">
        <v>42486</v>
      </c>
      <c r="D115" s="5" t="s">
        <v>16</v>
      </c>
      <c r="E115" s="5" t="s">
        <v>5748</v>
      </c>
      <c r="F115" s="6">
        <v>750</v>
      </c>
    </row>
    <row r="116" spans="1:6" x14ac:dyDescent="0.15">
      <c r="A116" s="5" t="s">
        <v>37</v>
      </c>
      <c r="B116" s="5" t="s">
        <v>6254</v>
      </c>
      <c r="C116" s="9">
        <v>42488</v>
      </c>
      <c r="D116" s="5" t="s">
        <v>16</v>
      </c>
      <c r="E116" s="5" t="s">
        <v>2744</v>
      </c>
      <c r="F116" s="6">
        <v>5850</v>
      </c>
    </row>
    <row r="117" spans="1:6" x14ac:dyDescent="0.15">
      <c r="A117" s="5" t="s">
        <v>43</v>
      </c>
      <c r="B117" s="5" t="s">
        <v>4540</v>
      </c>
      <c r="C117" s="9">
        <v>42488</v>
      </c>
      <c r="D117" s="5" t="s">
        <v>16</v>
      </c>
      <c r="E117" s="5" t="s">
        <v>2744</v>
      </c>
      <c r="F117" s="6">
        <v>1940</v>
      </c>
    </row>
    <row r="118" spans="1:6" x14ac:dyDescent="0.15">
      <c r="A118" s="5" t="s">
        <v>35</v>
      </c>
      <c r="B118" s="5" t="s">
        <v>2743</v>
      </c>
      <c r="C118" s="9">
        <v>42488</v>
      </c>
      <c r="D118" s="5" t="s">
        <v>16</v>
      </c>
      <c r="E118" s="5" t="s">
        <v>2744</v>
      </c>
      <c r="F118" s="6">
        <v>3900</v>
      </c>
    </row>
    <row r="119" spans="1:6" x14ac:dyDescent="0.15">
      <c r="A119" s="5" t="s">
        <v>35</v>
      </c>
      <c r="B119" s="5" t="s">
        <v>2745</v>
      </c>
      <c r="C119" s="9">
        <v>42492</v>
      </c>
      <c r="D119" s="5" t="s">
        <v>16</v>
      </c>
      <c r="E119" s="5" t="s">
        <v>2746</v>
      </c>
      <c r="F119" s="6">
        <v>390</v>
      </c>
    </row>
    <row r="120" spans="1:6" x14ac:dyDescent="0.15">
      <c r="A120" s="5" t="s">
        <v>37</v>
      </c>
      <c r="B120" s="5" t="s">
        <v>6255</v>
      </c>
      <c r="C120" s="9">
        <v>42494</v>
      </c>
      <c r="D120" s="5" t="s">
        <v>16</v>
      </c>
      <c r="E120" s="5" t="s">
        <v>6256</v>
      </c>
      <c r="F120" s="6">
        <v>1365</v>
      </c>
    </row>
    <row r="121" spans="1:6" x14ac:dyDescent="0.15">
      <c r="A121" s="5" t="s">
        <v>37</v>
      </c>
      <c r="B121" s="5" t="s">
        <v>6257</v>
      </c>
      <c r="C121" s="9">
        <v>42494</v>
      </c>
      <c r="D121" s="5" t="s">
        <v>16</v>
      </c>
      <c r="E121" s="5" t="s">
        <v>6258</v>
      </c>
      <c r="F121" s="6">
        <v>4387.5</v>
      </c>
    </row>
    <row r="122" spans="1:6" x14ac:dyDescent="0.15">
      <c r="A122" s="5" t="s">
        <v>43</v>
      </c>
      <c r="B122" s="5" t="s">
        <v>4543</v>
      </c>
      <c r="C122" s="9">
        <v>42495</v>
      </c>
      <c r="D122" s="5" t="s">
        <v>16</v>
      </c>
      <c r="E122" s="5" t="s">
        <v>4544</v>
      </c>
      <c r="F122" s="6">
        <v>20370</v>
      </c>
    </row>
    <row r="123" spans="1:6" x14ac:dyDescent="0.15">
      <c r="A123" s="5" t="s">
        <v>37</v>
      </c>
      <c r="B123" s="5" t="s">
        <v>6259</v>
      </c>
      <c r="C123" s="9">
        <v>42495</v>
      </c>
      <c r="D123" s="5" t="s">
        <v>16</v>
      </c>
      <c r="E123" s="5" t="s">
        <v>4544</v>
      </c>
      <c r="F123" s="6">
        <v>5850</v>
      </c>
    </row>
    <row r="124" spans="1:6" x14ac:dyDescent="0.15">
      <c r="A124" s="5" t="s">
        <v>37</v>
      </c>
      <c r="B124" s="5" t="s">
        <v>6260</v>
      </c>
      <c r="C124" s="9">
        <v>42495</v>
      </c>
      <c r="D124" s="5" t="s">
        <v>16</v>
      </c>
      <c r="E124" s="5" t="s">
        <v>6261</v>
      </c>
      <c r="F124" s="6">
        <v>487.5</v>
      </c>
    </row>
    <row r="125" spans="1:6" x14ac:dyDescent="0.15">
      <c r="A125" s="5" t="s">
        <v>37</v>
      </c>
      <c r="B125" s="5" t="s">
        <v>6262</v>
      </c>
      <c r="C125" s="9">
        <v>42495</v>
      </c>
      <c r="D125" s="5" t="s">
        <v>16</v>
      </c>
      <c r="E125" s="5" t="s">
        <v>6263</v>
      </c>
      <c r="F125" s="6">
        <v>390</v>
      </c>
    </row>
    <row r="126" spans="1:6" x14ac:dyDescent="0.15">
      <c r="A126" s="5" t="s">
        <v>43</v>
      </c>
      <c r="B126" s="5" t="s">
        <v>4541</v>
      </c>
      <c r="C126" s="9">
        <v>42494</v>
      </c>
      <c r="D126" s="5" t="s">
        <v>16</v>
      </c>
      <c r="E126" s="5" t="s">
        <v>4542</v>
      </c>
      <c r="F126" s="6">
        <v>2037</v>
      </c>
    </row>
    <row r="127" spans="1:6" x14ac:dyDescent="0.15">
      <c r="A127" s="5" t="s">
        <v>35</v>
      </c>
      <c r="B127" s="5" t="s">
        <v>2751</v>
      </c>
      <c r="C127" s="9">
        <v>42499</v>
      </c>
      <c r="D127" s="5" t="s">
        <v>16</v>
      </c>
      <c r="E127" s="5" t="s">
        <v>2752</v>
      </c>
      <c r="F127" s="6">
        <v>682.5</v>
      </c>
    </row>
    <row r="128" spans="1:6" x14ac:dyDescent="0.15">
      <c r="A128" s="5" t="s">
        <v>37</v>
      </c>
      <c r="B128" s="5" t="s">
        <v>6266</v>
      </c>
      <c r="C128" s="9">
        <v>42500</v>
      </c>
      <c r="D128" s="5" t="s">
        <v>16</v>
      </c>
      <c r="E128" s="5" t="s">
        <v>6267</v>
      </c>
      <c r="F128" s="6">
        <v>7800</v>
      </c>
    </row>
    <row r="129" spans="1:6" x14ac:dyDescent="0.15">
      <c r="A129" s="5" t="s">
        <v>37</v>
      </c>
      <c r="B129" s="5" t="s">
        <v>6268</v>
      </c>
      <c r="C129" s="9">
        <v>42501</v>
      </c>
      <c r="D129" s="5" t="s">
        <v>16</v>
      </c>
      <c r="E129" s="5" t="s">
        <v>4546</v>
      </c>
      <c r="F129" s="6">
        <v>35782.5</v>
      </c>
    </row>
    <row r="130" spans="1:6" x14ac:dyDescent="0.15">
      <c r="A130" s="5" t="s">
        <v>43</v>
      </c>
      <c r="B130" s="5" t="s">
        <v>4545</v>
      </c>
      <c r="C130" s="9">
        <v>42501</v>
      </c>
      <c r="D130" s="5" t="s">
        <v>16</v>
      </c>
      <c r="E130" s="5" t="s">
        <v>4546</v>
      </c>
      <c r="F130" s="6">
        <v>145.5</v>
      </c>
    </row>
    <row r="131" spans="1:6" x14ac:dyDescent="0.15">
      <c r="A131" s="5" t="s">
        <v>53</v>
      </c>
      <c r="B131" s="5" t="s">
        <v>8394</v>
      </c>
      <c r="C131" s="9">
        <v>42501</v>
      </c>
      <c r="D131" s="5" t="s">
        <v>16</v>
      </c>
      <c r="E131" s="5" t="s">
        <v>8395</v>
      </c>
      <c r="F131" s="6">
        <v>11992.5</v>
      </c>
    </row>
    <row r="132" spans="1:6" x14ac:dyDescent="0.15">
      <c r="A132" s="5" t="s">
        <v>44</v>
      </c>
      <c r="B132" s="5" t="s">
        <v>4305</v>
      </c>
      <c r="C132" s="9">
        <v>42503</v>
      </c>
      <c r="D132" s="5" t="s">
        <v>16</v>
      </c>
      <c r="E132" s="5" t="s">
        <v>4306</v>
      </c>
      <c r="F132" s="6">
        <v>15600</v>
      </c>
    </row>
    <row r="133" spans="1:6" x14ac:dyDescent="0.15">
      <c r="A133" s="5" t="s">
        <v>44</v>
      </c>
      <c r="B133" s="5" t="s">
        <v>4307</v>
      </c>
      <c r="C133" s="9">
        <v>42503</v>
      </c>
      <c r="D133" s="5" t="s">
        <v>16</v>
      </c>
      <c r="E133" s="5" t="s">
        <v>4308</v>
      </c>
      <c r="F133" s="6">
        <v>-15600</v>
      </c>
    </row>
    <row r="134" spans="1:6" x14ac:dyDescent="0.15">
      <c r="A134" s="5" t="s">
        <v>44</v>
      </c>
      <c r="B134" s="5" t="s">
        <v>4309</v>
      </c>
      <c r="C134" s="9">
        <v>42503</v>
      </c>
      <c r="D134" s="5" t="s">
        <v>16</v>
      </c>
      <c r="E134" s="5" t="s">
        <v>4310</v>
      </c>
      <c r="F134" s="6">
        <v>15600</v>
      </c>
    </row>
    <row r="135" spans="1:6" x14ac:dyDescent="0.15">
      <c r="A135" s="5" t="s">
        <v>35</v>
      </c>
      <c r="B135" s="5" t="s">
        <v>2753</v>
      </c>
      <c r="C135" s="9">
        <v>42503</v>
      </c>
      <c r="D135" s="5" t="s">
        <v>16</v>
      </c>
      <c r="E135" s="5" t="s">
        <v>1752</v>
      </c>
      <c r="F135" s="6">
        <v>29347.5</v>
      </c>
    </row>
    <row r="136" spans="1:6" x14ac:dyDescent="0.15">
      <c r="A136" s="5" t="s">
        <v>41</v>
      </c>
      <c r="B136" s="5" t="s">
        <v>1751</v>
      </c>
      <c r="C136" s="9">
        <v>42503</v>
      </c>
      <c r="D136" s="5" t="s">
        <v>16</v>
      </c>
      <c r="E136" s="5" t="s">
        <v>1752</v>
      </c>
      <c r="F136" s="6">
        <v>970</v>
      </c>
    </row>
    <row r="137" spans="1:6" x14ac:dyDescent="0.15">
      <c r="A137" s="5" t="s">
        <v>37</v>
      </c>
      <c r="B137" s="5" t="s">
        <v>6269</v>
      </c>
      <c r="C137" s="9">
        <v>42502</v>
      </c>
      <c r="D137" s="5" t="s">
        <v>16</v>
      </c>
      <c r="E137" s="5" t="s">
        <v>6270</v>
      </c>
      <c r="F137" s="6">
        <v>2047.5</v>
      </c>
    </row>
    <row r="138" spans="1:6" x14ac:dyDescent="0.15">
      <c r="A138" s="5" t="s">
        <v>37</v>
      </c>
      <c r="B138" s="5" t="s">
        <v>6271</v>
      </c>
      <c r="C138" s="9">
        <v>42506</v>
      </c>
      <c r="D138" s="5" t="s">
        <v>16</v>
      </c>
      <c r="E138" s="5" t="s">
        <v>6272</v>
      </c>
      <c r="F138" s="6">
        <v>10237.5</v>
      </c>
    </row>
    <row r="139" spans="1:6" x14ac:dyDescent="0.15">
      <c r="A139" s="5" t="s">
        <v>35</v>
      </c>
      <c r="B139" s="5" t="s">
        <v>2754</v>
      </c>
      <c r="C139" s="9">
        <v>42507</v>
      </c>
      <c r="D139" s="5" t="s">
        <v>16</v>
      </c>
      <c r="E139" s="5" t="s">
        <v>2755</v>
      </c>
      <c r="F139" s="6">
        <v>3022.5</v>
      </c>
    </row>
    <row r="140" spans="1:6" x14ac:dyDescent="0.15">
      <c r="A140" s="5" t="s">
        <v>35</v>
      </c>
      <c r="B140" s="5" t="s">
        <v>2756</v>
      </c>
      <c r="C140" s="9">
        <v>42507</v>
      </c>
      <c r="D140" s="5" t="s">
        <v>16</v>
      </c>
      <c r="E140" s="5" t="s">
        <v>2757</v>
      </c>
      <c r="F140" s="6">
        <v>1170</v>
      </c>
    </row>
    <row r="141" spans="1:6" x14ac:dyDescent="0.15">
      <c r="A141" s="5" t="s">
        <v>43</v>
      </c>
      <c r="B141" s="5" t="s">
        <v>4547</v>
      </c>
      <c r="C141" s="9">
        <v>42509</v>
      </c>
      <c r="D141" s="5" t="s">
        <v>16</v>
      </c>
      <c r="E141" s="5" t="s">
        <v>1754</v>
      </c>
      <c r="F141" s="6">
        <v>10670</v>
      </c>
    </row>
    <row r="142" spans="1:6" x14ac:dyDescent="0.15">
      <c r="A142" s="5" t="s">
        <v>42</v>
      </c>
      <c r="B142" s="5" t="s">
        <v>5749</v>
      </c>
      <c r="C142" s="9">
        <v>42509</v>
      </c>
      <c r="D142" s="5" t="s">
        <v>16</v>
      </c>
      <c r="E142" s="5" t="s">
        <v>1754</v>
      </c>
      <c r="F142" s="6">
        <v>3000</v>
      </c>
    </row>
    <row r="143" spans="1:6" x14ac:dyDescent="0.15">
      <c r="A143" s="5" t="s">
        <v>41</v>
      </c>
      <c r="B143" s="5" t="s">
        <v>1753</v>
      </c>
      <c r="C143" s="9">
        <v>42509</v>
      </c>
      <c r="D143" s="5" t="s">
        <v>16</v>
      </c>
      <c r="E143" s="5" t="s">
        <v>1754</v>
      </c>
      <c r="F143" s="6">
        <v>4268</v>
      </c>
    </row>
    <row r="144" spans="1:6" x14ac:dyDescent="0.15">
      <c r="A144" s="5" t="s">
        <v>35</v>
      </c>
      <c r="B144" s="5" t="s">
        <v>2747</v>
      </c>
      <c r="C144" s="9">
        <v>42496</v>
      </c>
      <c r="D144" s="5" t="s">
        <v>16</v>
      </c>
      <c r="E144" s="5" t="s">
        <v>2748</v>
      </c>
      <c r="F144" s="6">
        <v>-390</v>
      </c>
    </row>
    <row r="145" spans="1:6" x14ac:dyDescent="0.15">
      <c r="A145" s="5" t="s">
        <v>35</v>
      </c>
      <c r="B145" s="5" t="s">
        <v>2749</v>
      </c>
      <c r="C145" s="9">
        <v>42496</v>
      </c>
      <c r="D145" s="5" t="s">
        <v>16</v>
      </c>
      <c r="E145" s="5" t="s">
        <v>2750</v>
      </c>
      <c r="F145" s="6">
        <v>390</v>
      </c>
    </row>
    <row r="146" spans="1:6" x14ac:dyDescent="0.15">
      <c r="A146" s="5" t="s">
        <v>1734</v>
      </c>
      <c r="B146" s="5" t="s">
        <v>1735</v>
      </c>
      <c r="C146" s="9">
        <v>42514</v>
      </c>
      <c r="D146" s="5" t="s">
        <v>16</v>
      </c>
      <c r="E146" s="5" t="s">
        <v>1736</v>
      </c>
      <c r="F146" s="6">
        <v>2</v>
      </c>
    </row>
    <row r="147" spans="1:6" x14ac:dyDescent="0.15">
      <c r="A147" s="5" t="s">
        <v>37</v>
      </c>
      <c r="B147" s="5" t="s">
        <v>6276</v>
      </c>
      <c r="C147" s="9">
        <v>42513</v>
      </c>
      <c r="D147" s="5" t="s">
        <v>16</v>
      </c>
      <c r="E147" s="5" t="s">
        <v>6277</v>
      </c>
      <c r="F147" s="6">
        <v>5460</v>
      </c>
    </row>
    <row r="148" spans="1:6" x14ac:dyDescent="0.15">
      <c r="A148" s="5" t="s">
        <v>37</v>
      </c>
      <c r="B148" s="5" t="s">
        <v>6273</v>
      </c>
      <c r="C148" s="9">
        <v>42508</v>
      </c>
      <c r="D148" s="5" t="s">
        <v>16</v>
      </c>
      <c r="E148" s="5" t="s">
        <v>2759</v>
      </c>
      <c r="F148" s="6">
        <v>2437.5</v>
      </c>
    </row>
    <row r="149" spans="1:6" x14ac:dyDescent="0.15">
      <c r="A149" s="5" t="s">
        <v>35</v>
      </c>
      <c r="B149" s="5" t="s">
        <v>2758</v>
      </c>
      <c r="C149" s="9">
        <v>42508</v>
      </c>
      <c r="D149" s="5" t="s">
        <v>16</v>
      </c>
      <c r="E149" s="5" t="s">
        <v>2759</v>
      </c>
      <c r="F149" s="6">
        <v>975</v>
      </c>
    </row>
    <row r="150" spans="1:6" x14ac:dyDescent="0.15">
      <c r="A150" s="5" t="s">
        <v>51</v>
      </c>
      <c r="B150" s="5" t="s">
        <v>4193</v>
      </c>
      <c r="C150" s="9">
        <v>42509</v>
      </c>
      <c r="D150" s="5" t="s">
        <v>16</v>
      </c>
      <c r="E150" s="5" t="s">
        <v>4194</v>
      </c>
      <c r="F150" s="6">
        <v>12697.5</v>
      </c>
    </row>
    <row r="151" spans="1:6" x14ac:dyDescent="0.15">
      <c r="A151" s="5" t="s">
        <v>37</v>
      </c>
      <c r="B151" s="5" t="s">
        <v>6274</v>
      </c>
      <c r="C151" s="9">
        <v>42509</v>
      </c>
      <c r="D151" s="5" t="s">
        <v>16</v>
      </c>
      <c r="E151" s="5" t="s">
        <v>4549</v>
      </c>
      <c r="F151" s="6">
        <v>35782.5</v>
      </c>
    </row>
    <row r="152" spans="1:6" x14ac:dyDescent="0.15">
      <c r="A152" s="5" t="s">
        <v>43</v>
      </c>
      <c r="B152" s="5" t="s">
        <v>4548</v>
      </c>
      <c r="C152" s="9">
        <v>42509</v>
      </c>
      <c r="D152" s="5" t="s">
        <v>16</v>
      </c>
      <c r="E152" s="5" t="s">
        <v>4549</v>
      </c>
      <c r="F152" s="6">
        <v>145.5</v>
      </c>
    </row>
    <row r="153" spans="1:6" x14ac:dyDescent="0.15">
      <c r="A153" s="5" t="s">
        <v>37</v>
      </c>
      <c r="B153" s="5" t="s">
        <v>6275</v>
      </c>
      <c r="C153" s="9">
        <v>42509</v>
      </c>
      <c r="D153" s="5" t="s">
        <v>16</v>
      </c>
      <c r="E153" s="5" t="s">
        <v>2763</v>
      </c>
      <c r="F153" s="6">
        <v>195</v>
      </c>
    </row>
    <row r="154" spans="1:6" x14ac:dyDescent="0.15">
      <c r="A154" s="5" t="s">
        <v>35</v>
      </c>
      <c r="B154" s="5" t="s">
        <v>2762</v>
      </c>
      <c r="C154" s="9">
        <v>42509</v>
      </c>
      <c r="D154" s="5" t="s">
        <v>16</v>
      </c>
      <c r="E154" s="5" t="s">
        <v>2763</v>
      </c>
      <c r="F154" s="6">
        <v>195</v>
      </c>
    </row>
    <row r="155" spans="1:6" x14ac:dyDescent="0.15">
      <c r="A155" s="5" t="s">
        <v>37</v>
      </c>
      <c r="B155" s="5" t="s">
        <v>6278</v>
      </c>
      <c r="C155" s="9">
        <v>42513</v>
      </c>
      <c r="D155" s="5" t="s">
        <v>16</v>
      </c>
      <c r="E155" s="5" t="s">
        <v>4551</v>
      </c>
      <c r="F155" s="6">
        <v>2047.5</v>
      </c>
    </row>
    <row r="156" spans="1:6" x14ac:dyDescent="0.15">
      <c r="A156" s="5" t="s">
        <v>43</v>
      </c>
      <c r="B156" s="5" t="s">
        <v>4550</v>
      </c>
      <c r="C156" s="9">
        <v>42513</v>
      </c>
      <c r="D156" s="5" t="s">
        <v>16</v>
      </c>
      <c r="E156" s="5" t="s">
        <v>4551</v>
      </c>
      <c r="F156" s="6">
        <v>291</v>
      </c>
    </row>
    <row r="157" spans="1:6" x14ac:dyDescent="0.15">
      <c r="A157" s="5" t="s">
        <v>37</v>
      </c>
      <c r="B157" s="5" t="s">
        <v>6279</v>
      </c>
      <c r="C157" s="9">
        <v>42513</v>
      </c>
      <c r="D157" s="5" t="s">
        <v>16</v>
      </c>
      <c r="E157" s="5" t="s">
        <v>2766</v>
      </c>
      <c r="F157" s="6">
        <v>3900</v>
      </c>
    </row>
    <row r="158" spans="1:6" x14ac:dyDescent="0.15">
      <c r="A158" s="5" t="s">
        <v>43</v>
      </c>
      <c r="B158" s="5" t="s">
        <v>4552</v>
      </c>
      <c r="C158" s="9">
        <v>42513</v>
      </c>
      <c r="D158" s="5" t="s">
        <v>16</v>
      </c>
      <c r="E158" s="5" t="s">
        <v>2766</v>
      </c>
      <c r="F158" s="6">
        <v>5820</v>
      </c>
    </row>
    <row r="159" spans="1:6" x14ac:dyDescent="0.15">
      <c r="A159" s="5" t="s">
        <v>35</v>
      </c>
      <c r="B159" s="5" t="s">
        <v>2765</v>
      </c>
      <c r="C159" s="9">
        <v>42513</v>
      </c>
      <c r="D159" s="5" t="s">
        <v>16</v>
      </c>
      <c r="E159" s="5" t="s">
        <v>2766</v>
      </c>
      <c r="F159" s="6">
        <v>5850</v>
      </c>
    </row>
    <row r="160" spans="1:6" x14ac:dyDescent="0.15">
      <c r="A160" s="5" t="s">
        <v>44</v>
      </c>
      <c r="B160" s="5" t="s">
        <v>4311</v>
      </c>
      <c r="C160" s="9">
        <v>42513</v>
      </c>
      <c r="D160" s="5" t="s">
        <v>16</v>
      </c>
      <c r="E160" s="5" t="s">
        <v>2766</v>
      </c>
      <c r="F160" s="6">
        <v>3900</v>
      </c>
    </row>
    <row r="161" spans="1:6" x14ac:dyDescent="0.15">
      <c r="A161" s="5" t="s">
        <v>35</v>
      </c>
      <c r="B161" s="5" t="s">
        <v>2760</v>
      </c>
      <c r="C161" s="9">
        <v>42508</v>
      </c>
      <c r="D161" s="5" t="s">
        <v>16</v>
      </c>
      <c r="E161" s="5" t="s">
        <v>2761</v>
      </c>
      <c r="F161" s="6">
        <v>1170</v>
      </c>
    </row>
    <row r="162" spans="1:6" x14ac:dyDescent="0.15">
      <c r="A162" s="5" t="s">
        <v>35</v>
      </c>
      <c r="B162" s="5" t="s">
        <v>2767</v>
      </c>
      <c r="C162" s="9">
        <v>42514</v>
      </c>
      <c r="D162" s="5" t="s">
        <v>16</v>
      </c>
      <c r="E162" s="5" t="s">
        <v>2768</v>
      </c>
      <c r="F162" s="6">
        <v>11797.5</v>
      </c>
    </row>
    <row r="163" spans="1:6" x14ac:dyDescent="0.15">
      <c r="A163" s="5" t="s">
        <v>37</v>
      </c>
      <c r="B163" s="5" t="s">
        <v>6280</v>
      </c>
      <c r="C163" s="9">
        <v>42514</v>
      </c>
      <c r="D163" s="5" t="s">
        <v>16</v>
      </c>
      <c r="E163" s="5" t="s">
        <v>6281</v>
      </c>
      <c r="F163" s="6">
        <v>585</v>
      </c>
    </row>
    <row r="164" spans="1:6" x14ac:dyDescent="0.15">
      <c r="A164" s="5" t="s">
        <v>35</v>
      </c>
      <c r="B164" s="5" t="s">
        <v>2764</v>
      </c>
      <c r="C164" s="9">
        <v>42509</v>
      </c>
      <c r="D164" s="5" t="s">
        <v>16</v>
      </c>
      <c r="E164" s="5" t="s">
        <v>2308</v>
      </c>
      <c r="F164" s="6">
        <v>5070</v>
      </c>
    </row>
    <row r="165" spans="1:6" x14ac:dyDescent="0.15">
      <c r="A165" s="5" t="s">
        <v>40</v>
      </c>
      <c r="B165" s="5" t="s">
        <v>2307</v>
      </c>
      <c r="C165" s="9">
        <v>42509</v>
      </c>
      <c r="D165" s="5" t="s">
        <v>16</v>
      </c>
      <c r="E165" s="5" t="s">
        <v>2308</v>
      </c>
      <c r="F165" s="6">
        <v>4950</v>
      </c>
    </row>
    <row r="166" spans="1:6" x14ac:dyDescent="0.15">
      <c r="A166" s="5" t="s">
        <v>43</v>
      </c>
      <c r="B166" s="5" t="s">
        <v>4553</v>
      </c>
      <c r="C166" s="9">
        <v>42515</v>
      </c>
      <c r="D166" s="5" t="s">
        <v>16</v>
      </c>
      <c r="E166" s="5" t="s">
        <v>4554</v>
      </c>
      <c r="F166" s="6">
        <v>1940</v>
      </c>
    </row>
    <row r="167" spans="1:6" x14ac:dyDescent="0.15">
      <c r="A167" s="5" t="s">
        <v>43</v>
      </c>
      <c r="B167" s="5" t="s">
        <v>4555</v>
      </c>
      <c r="C167" s="9">
        <v>42515</v>
      </c>
      <c r="D167" s="5" t="s">
        <v>16</v>
      </c>
      <c r="E167" s="5" t="s">
        <v>4556</v>
      </c>
      <c r="F167" s="6">
        <v>339.5</v>
      </c>
    </row>
    <row r="168" spans="1:6" x14ac:dyDescent="0.15">
      <c r="A168" s="5" t="s">
        <v>43</v>
      </c>
      <c r="B168" s="5" t="s">
        <v>4557</v>
      </c>
      <c r="C168" s="9">
        <v>42517</v>
      </c>
      <c r="D168" s="5" t="s">
        <v>16</v>
      </c>
      <c r="E168" s="5" t="s">
        <v>4558</v>
      </c>
      <c r="F168" s="6">
        <v>339.5</v>
      </c>
    </row>
    <row r="169" spans="1:6" x14ac:dyDescent="0.15">
      <c r="A169" s="5" t="s">
        <v>37</v>
      </c>
      <c r="B169" s="5" t="s">
        <v>6264</v>
      </c>
      <c r="C169" s="9">
        <v>42499</v>
      </c>
      <c r="D169" s="5" t="s">
        <v>16</v>
      </c>
      <c r="E169" s="5" t="s">
        <v>6265</v>
      </c>
      <c r="F169" s="6">
        <v>3900</v>
      </c>
    </row>
    <row r="170" spans="1:6" x14ac:dyDescent="0.15">
      <c r="A170" s="5" t="s">
        <v>41</v>
      </c>
      <c r="B170" s="5" t="s">
        <v>1755</v>
      </c>
      <c r="C170" s="9">
        <v>42522</v>
      </c>
      <c r="D170" s="5" t="s">
        <v>16</v>
      </c>
      <c r="E170" s="5" t="s">
        <v>1756</v>
      </c>
      <c r="F170" s="6">
        <v>1261</v>
      </c>
    </row>
    <row r="171" spans="1:6" x14ac:dyDescent="0.15">
      <c r="A171" s="5" t="s">
        <v>35</v>
      </c>
      <c r="B171" s="5" t="s">
        <v>2769</v>
      </c>
      <c r="C171" s="9">
        <v>42522</v>
      </c>
      <c r="D171" s="5" t="s">
        <v>16</v>
      </c>
      <c r="E171" s="5" t="s">
        <v>1756</v>
      </c>
      <c r="F171" s="6">
        <v>18232.5</v>
      </c>
    </row>
    <row r="172" spans="1:6" x14ac:dyDescent="0.15">
      <c r="A172" s="5" t="s">
        <v>8535</v>
      </c>
      <c r="B172" s="5" t="s">
        <v>8541</v>
      </c>
      <c r="C172" s="9">
        <v>42522</v>
      </c>
      <c r="D172" s="5" t="s">
        <v>16</v>
      </c>
      <c r="E172" s="5" t="s">
        <v>1758</v>
      </c>
      <c r="F172" s="6">
        <v>8190</v>
      </c>
    </row>
    <row r="173" spans="1:6" x14ac:dyDescent="0.15">
      <c r="A173" s="5" t="s">
        <v>41</v>
      </c>
      <c r="B173" s="5" t="s">
        <v>1757</v>
      </c>
      <c r="C173" s="9">
        <v>42522</v>
      </c>
      <c r="D173" s="5" t="s">
        <v>16</v>
      </c>
      <c r="E173" s="5" t="s">
        <v>1758</v>
      </c>
      <c r="F173" s="6">
        <v>5820</v>
      </c>
    </row>
    <row r="174" spans="1:6" x14ac:dyDescent="0.15">
      <c r="A174" s="5" t="s">
        <v>40</v>
      </c>
      <c r="B174" s="5" t="s">
        <v>2309</v>
      </c>
      <c r="C174" s="9">
        <v>42522</v>
      </c>
      <c r="D174" s="5" t="s">
        <v>16</v>
      </c>
      <c r="E174" s="5" t="s">
        <v>1758</v>
      </c>
      <c r="F174" s="6">
        <v>1500</v>
      </c>
    </row>
    <row r="175" spans="1:6" x14ac:dyDescent="0.15">
      <c r="A175" s="5" t="s">
        <v>174</v>
      </c>
      <c r="B175" s="5" t="s">
        <v>2640</v>
      </c>
      <c r="C175" s="9">
        <v>42522</v>
      </c>
      <c r="D175" s="5" t="s">
        <v>16</v>
      </c>
      <c r="E175" s="5" t="s">
        <v>1758</v>
      </c>
      <c r="F175" s="6">
        <v>3000</v>
      </c>
    </row>
    <row r="176" spans="1:6" x14ac:dyDescent="0.15">
      <c r="A176" s="5" t="s">
        <v>37</v>
      </c>
      <c r="B176" s="5" t="s">
        <v>6282</v>
      </c>
      <c r="C176" s="9">
        <v>42522</v>
      </c>
      <c r="D176" s="5" t="s">
        <v>16</v>
      </c>
      <c r="E176" s="5" t="s">
        <v>6283</v>
      </c>
      <c r="F176" s="6">
        <v>25350</v>
      </c>
    </row>
    <row r="177" spans="1:6" x14ac:dyDescent="0.15">
      <c r="A177" s="5" t="s">
        <v>35</v>
      </c>
      <c r="B177" s="5" t="s">
        <v>2770</v>
      </c>
      <c r="C177" s="9">
        <v>42522</v>
      </c>
      <c r="D177" s="5" t="s">
        <v>16</v>
      </c>
      <c r="E177" s="5" t="s">
        <v>2771</v>
      </c>
      <c r="F177" s="6">
        <v>25350</v>
      </c>
    </row>
    <row r="178" spans="1:6" x14ac:dyDescent="0.15">
      <c r="A178" s="5" t="s">
        <v>35</v>
      </c>
      <c r="B178" s="5" t="s">
        <v>2772</v>
      </c>
      <c r="C178" s="9">
        <v>42522</v>
      </c>
      <c r="D178" s="5" t="s">
        <v>16</v>
      </c>
      <c r="E178" s="5" t="s">
        <v>2773</v>
      </c>
      <c r="F178" s="6">
        <v>25350</v>
      </c>
    </row>
    <row r="179" spans="1:6" x14ac:dyDescent="0.15">
      <c r="A179" s="5" t="s">
        <v>43</v>
      </c>
      <c r="B179" s="5" t="s">
        <v>4559</v>
      </c>
      <c r="C179" s="9">
        <v>42527</v>
      </c>
      <c r="D179" s="5" t="s">
        <v>16</v>
      </c>
      <c r="E179" s="5" t="s">
        <v>4560</v>
      </c>
      <c r="F179" s="6">
        <v>97</v>
      </c>
    </row>
    <row r="180" spans="1:6" x14ac:dyDescent="0.15">
      <c r="A180" s="5" t="s">
        <v>37</v>
      </c>
      <c r="B180" s="5" t="s">
        <v>6284</v>
      </c>
      <c r="C180" s="9">
        <v>42527</v>
      </c>
      <c r="D180" s="5" t="s">
        <v>16</v>
      </c>
      <c r="E180" s="5" t="s">
        <v>4560</v>
      </c>
      <c r="F180" s="6">
        <v>195</v>
      </c>
    </row>
    <row r="181" spans="1:6" x14ac:dyDescent="0.15">
      <c r="A181" s="5" t="s">
        <v>37</v>
      </c>
      <c r="B181" s="5" t="s">
        <v>6285</v>
      </c>
      <c r="C181" s="9">
        <v>42527</v>
      </c>
      <c r="D181" s="5" t="s">
        <v>16</v>
      </c>
      <c r="E181" s="5" t="s">
        <v>6286</v>
      </c>
      <c r="F181" s="6">
        <v>1072.5</v>
      </c>
    </row>
    <row r="182" spans="1:6" x14ac:dyDescent="0.15">
      <c r="A182" s="5" t="s">
        <v>37</v>
      </c>
      <c r="B182" s="5" t="s">
        <v>6287</v>
      </c>
      <c r="C182" s="9">
        <v>42527</v>
      </c>
      <c r="D182" s="5" t="s">
        <v>16</v>
      </c>
      <c r="E182" s="5" t="s">
        <v>6288</v>
      </c>
      <c r="F182" s="6">
        <v>2047.5</v>
      </c>
    </row>
    <row r="183" spans="1:6" x14ac:dyDescent="0.15">
      <c r="A183" s="5" t="s">
        <v>43</v>
      </c>
      <c r="B183" s="5" t="s">
        <v>4561</v>
      </c>
      <c r="C183" s="9">
        <v>42527</v>
      </c>
      <c r="D183" s="5" t="s">
        <v>16</v>
      </c>
      <c r="E183" s="5" t="s">
        <v>4562</v>
      </c>
      <c r="F183" s="6">
        <v>14259</v>
      </c>
    </row>
    <row r="184" spans="1:6" x14ac:dyDescent="0.15">
      <c r="A184" s="5" t="s">
        <v>37</v>
      </c>
      <c r="B184" s="5" t="s">
        <v>6289</v>
      </c>
      <c r="C184" s="9">
        <v>42527</v>
      </c>
      <c r="D184" s="5" t="s">
        <v>16</v>
      </c>
      <c r="E184" s="5" t="s">
        <v>2775</v>
      </c>
      <c r="F184" s="6">
        <v>3900</v>
      </c>
    </row>
    <row r="185" spans="1:6" x14ac:dyDescent="0.15">
      <c r="A185" s="5" t="s">
        <v>35</v>
      </c>
      <c r="B185" s="5" t="s">
        <v>2774</v>
      </c>
      <c r="C185" s="9">
        <v>42527</v>
      </c>
      <c r="D185" s="5" t="s">
        <v>16</v>
      </c>
      <c r="E185" s="5" t="s">
        <v>2775</v>
      </c>
      <c r="F185" s="6">
        <v>3900</v>
      </c>
    </row>
    <row r="186" spans="1:6" x14ac:dyDescent="0.15">
      <c r="A186" s="5" t="s">
        <v>58</v>
      </c>
      <c r="B186" s="5" t="s">
        <v>6152</v>
      </c>
      <c r="C186" s="9">
        <v>42527</v>
      </c>
      <c r="D186" s="5" t="s">
        <v>16</v>
      </c>
      <c r="E186" s="5" t="s">
        <v>6153</v>
      </c>
      <c r="F186" s="6">
        <v>5625</v>
      </c>
    </row>
    <row r="187" spans="1:6" x14ac:dyDescent="0.15">
      <c r="A187" s="5" t="s">
        <v>8535</v>
      </c>
      <c r="B187" s="5" t="s">
        <v>8542</v>
      </c>
      <c r="C187" s="9">
        <v>42527</v>
      </c>
      <c r="D187" s="5" t="s">
        <v>16</v>
      </c>
      <c r="E187" s="5" t="s">
        <v>6153</v>
      </c>
      <c r="F187" s="6">
        <v>9360</v>
      </c>
    </row>
    <row r="188" spans="1:6" x14ac:dyDescent="0.15">
      <c r="A188" s="5" t="s">
        <v>58</v>
      </c>
      <c r="B188" s="5" t="s">
        <v>6154</v>
      </c>
      <c r="C188" s="9">
        <v>42527</v>
      </c>
      <c r="D188" s="5" t="s">
        <v>16</v>
      </c>
      <c r="E188" s="5" t="s">
        <v>6155</v>
      </c>
      <c r="F188" s="6">
        <v>-5625</v>
      </c>
    </row>
    <row r="189" spans="1:6" x14ac:dyDescent="0.15">
      <c r="A189" s="5" t="s">
        <v>8535</v>
      </c>
      <c r="B189" s="5" t="s">
        <v>8543</v>
      </c>
      <c r="C189" s="9">
        <v>42527</v>
      </c>
      <c r="D189" s="5" t="s">
        <v>16</v>
      </c>
      <c r="E189" s="5" t="s">
        <v>6155</v>
      </c>
      <c r="F189" s="6">
        <v>-9360</v>
      </c>
    </row>
    <row r="190" spans="1:6" x14ac:dyDescent="0.15">
      <c r="A190" s="5" t="s">
        <v>58</v>
      </c>
      <c r="B190" s="5" t="s">
        <v>6156</v>
      </c>
      <c r="C190" s="9">
        <v>42527</v>
      </c>
      <c r="D190" s="5" t="s">
        <v>16</v>
      </c>
      <c r="E190" s="5" t="s">
        <v>6157</v>
      </c>
      <c r="F190" s="6">
        <v>5625</v>
      </c>
    </row>
    <row r="191" spans="1:6" x14ac:dyDescent="0.15">
      <c r="A191" s="5" t="s">
        <v>8535</v>
      </c>
      <c r="B191" s="5" t="s">
        <v>8544</v>
      </c>
      <c r="C191" s="9">
        <v>42527</v>
      </c>
      <c r="D191" s="5" t="s">
        <v>16</v>
      </c>
      <c r="E191" s="5" t="s">
        <v>6157</v>
      </c>
      <c r="F191" s="6">
        <v>9360</v>
      </c>
    </row>
    <row r="192" spans="1:6" x14ac:dyDescent="0.15">
      <c r="A192" s="5" t="s">
        <v>8535</v>
      </c>
      <c r="B192" s="5" t="s">
        <v>8545</v>
      </c>
      <c r="C192" s="9">
        <v>42528</v>
      </c>
      <c r="D192" s="5" t="s">
        <v>16</v>
      </c>
      <c r="E192" s="5" t="s">
        <v>8546</v>
      </c>
      <c r="F192" s="6">
        <v>15210</v>
      </c>
    </row>
    <row r="193" spans="1:6" x14ac:dyDescent="0.15">
      <c r="A193" s="5" t="s">
        <v>41</v>
      </c>
      <c r="B193" s="5" t="s">
        <v>1759</v>
      </c>
      <c r="C193" s="9">
        <v>42529</v>
      </c>
      <c r="D193" s="5" t="s">
        <v>16</v>
      </c>
      <c r="E193" s="5" t="s">
        <v>1760</v>
      </c>
      <c r="F193" s="6">
        <v>3201</v>
      </c>
    </row>
    <row r="194" spans="1:6" x14ac:dyDescent="0.15">
      <c r="A194" s="5" t="s">
        <v>37</v>
      </c>
      <c r="B194" s="5" t="s">
        <v>6290</v>
      </c>
      <c r="C194" s="9">
        <v>42529</v>
      </c>
      <c r="D194" s="5" t="s">
        <v>16</v>
      </c>
      <c r="E194" s="5" t="s">
        <v>4564</v>
      </c>
      <c r="F194" s="6">
        <v>15600</v>
      </c>
    </row>
    <row r="195" spans="1:6" x14ac:dyDescent="0.15">
      <c r="A195" s="5" t="s">
        <v>43</v>
      </c>
      <c r="B195" s="5" t="s">
        <v>4563</v>
      </c>
      <c r="C195" s="9">
        <v>42529</v>
      </c>
      <c r="D195" s="5" t="s">
        <v>16</v>
      </c>
      <c r="E195" s="5" t="s">
        <v>4564</v>
      </c>
      <c r="F195" s="6">
        <v>11155</v>
      </c>
    </row>
    <row r="196" spans="1:6" x14ac:dyDescent="0.15">
      <c r="A196" s="5" t="s">
        <v>35</v>
      </c>
      <c r="B196" s="5" t="s">
        <v>2776</v>
      </c>
      <c r="C196" s="9">
        <v>42528</v>
      </c>
      <c r="D196" s="5" t="s">
        <v>16</v>
      </c>
      <c r="E196" s="5" t="s">
        <v>2777</v>
      </c>
      <c r="F196" s="6">
        <v>2437.5</v>
      </c>
    </row>
    <row r="197" spans="1:6" x14ac:dyDescent="0.15">
      <c r="A197" s="5" t="s">
        <v>35</v>
      </c>
      <c r="B197" s="5" t="s">
        <v>2778</v>
      </c>
      <c r="C197" s="9">
        <v>42528</v>
      </c>
      <c r="D197" s="5" t="s">
        <v>16</v>
      </c>
      <c r="E197" s="5" t="s">
        <v>2779</v>
      </c>
      <c r="F197" s="6">
        <v>1560</v>
      </c>
    </row>
    <row r="198" spans="1:6" x14ac:dyDescent="0.15">
      <c r="A198" s="5" t="s">
        <v>8535</v>
      </c>
      <c r="B198" s="5" t="s">
        <v>8547</v>
      </c>
      <c r="C198" s="9">
        <v>42534</v>
      </c>
      <c r="D198" s="5" t="s">
        <v>16</v>
      </c>
      <c r="E198" s="5" t="s">
        <v>2241</v>
      </c>
      <c r="F198" s="6">
        <v>4680</v>
      </c>
    </row>
    <row r="199" spans="1:6" x14ac:dyDescent="0.15">
      <c r="A199" s="5" t="s">
        <v>64</v>
      </c>
      <c r="B199" s="5" t="s">
        <v>6101</v>
      </c>
      <c r="C199" s="9">
        <v>42534</v>
      </c>
      <c r="D199" s="5" t="s">
        <v>16</v>
      </c>
      <c r="E199" s="5" t="s">
        <v>2241</v>
      </c>
      <c r="F199" s="6">
        <v>6000</v>
      </c>
    </row>
    <row r="200" spans="1:6" x14ac:dyDescent="0.15">
      <c r="A200" s="5" t="s">
        <v>40</v>
      </c>
      <c r="B200" s="5" t="s">
        <v>2310</v>
      </c>
      <c r="C200" s="9">
        <v>42534</v>
      </c>
      <c r="D200" s="5" t="s">
        <v>16</v>
      </c>
      <c r="E200" s="5" t="s">
        <v>2241</v>
      </c>
      <c r="F200" s="6">
        <v>4500</v>
      </c>
    </row>
    <row r="201" spans="1:6" x14ac:dyDescent="0.15">
      <c r="A201" s="5" t="s">
        <v>63</v>
      </c>
      <c r="B201" s="5" t="s">
        <v>2240</v>
      </c>
      <c r="C201" s="9">
        <v>42534</v>
      </c>
      <c r="D201" s="5" t="s">
        <v>16</v>
      </c>
      <c r="E201" s="5" t="s">
        <v>2241</v>
      </c>
      <c r="F201" s="6">
        <v>3880</v>
      </c>
    </row>
    <row r="202" spans="1:6" x14ac:dyDescent="0.15">
      <c r="A202" s="5" t="s">
        <v>37</v>
      </c>
      <c r="B202" s="5" t="s">
        <v>6291</v>
      </c>
      <c r="C202" s="9">
        <v>42534</v>
      </c>
      <c r="D202" s="5" t="s">
        <v>16</v>
      </c>
      <c r="E202" s="5" t="s">
        <v>6292</v>
      </c>
      <c r="F202" s="6">
        <v>195</v>
      </c>
    </row>
    <row r="203" spans="1:6" x14ac:dyDescent="0.15">
      <c r="A203" s="5" t="s">
        <v>41</v>
      </c>
      <c r="B203" s="5" t="s">
        <v>1761</v>
      </c>
      <c r="C203" s="9">
        <v>42534</v>
      </c>
      <c r="D203" s="5" t="s">
        <v>16</v>
      </c>
      <c r="E203" s="5" t="s">
        <v>1762</v>
      </c>
      <c r="F203" s="6">
        <v>145.5</v>
      </c>
    </row>
    <row r="204" spans="1:6" x14ac:dyDescent="0.15">
      <c r="A204" s="5" t="s">
        <v>35</v>
      </c>
      <c r="B204" s="5" t="s">
        <v>2780</v>
      </c>
      <c r="C204" s="9">
        <v>42534</v>
      </c>
      <c r="D204" s="5" t="s">
        <v>16</v>
      </c>
      <c r="E204" s="5" t="s">
        <v>2781</v>
      </c>
      <c r="F204" s="6">
        <v>975</v>
      </c>
    </row>
    <row r="205" spans="1:6" x14ac:dyDescent="0.15">
      <c r="A205" s="5" t="s">
        <v>43</v>
      </c>
      <c r="B205" s="5" t="s">
        <v>4565</v>
      </c>
      <c r="C205" s="9">
        <v>42534</v>
      </c>
      <c r="D205" s="5" t="s">
        <v>16</v>
      </c>
      <c r="E205" s="5" t="s">
        <v>4566</v>
      </c>
      <c r="F205" s="6">
        <v>242.5</v>
      </c>
    </row>
    <row r="206" spans="1:6" x14ac:dyDescent="0.15">
      <c r="A206" s="5" t="s">
        <v>37</v>
      </c>
      <c r="B206" s="5" t="s">
        <v>6293</v>
      </c>
      <c r="C206" s="9">
        <v>42534</v>
      </c>
      <c r="D206" s="5" t="s">
        <v>16</v>
      </c>
      <c r="E206" s="5" t="s">
        <v>4566</v>
      </c>
      <c r="F206" s="6">
        <v>487.5</v>
      </c>
    </row>
    <row r="207" spans="1:6" x14ac:dyDescent="0.15">
      <c r="A207" s="5" t="s">
        <v>37</v>
      </c>
      <c r="B207" s="5" t="s">
        <v>6294</v>
      </c>
      <c r="C207" s="9">
        <v>42534</v>
      </c>
      <c r="D207" s="5" t="s">
        <v>16</v>
      </c>
      <c r="E207" s="5" t="s">
        <v>6295</v>
      </c>
      <c r="F207" s="6">
        <v>5850</v>
      </c>
    </row>
    <row r="208" spans="1:6" x14ac:dyDescent="0.15">
      <c r="A208" s="5" t="s">
        <v>35</v>
      </c>
      <c r="B208" s="5" t="s">
        <v>2782</v>
      </c>
      <c r="C208" s="9">
        <v>42534</v>
      </c>
      <c r="D208" s="5" t="s">
        <v>16</v>
      </c>
      <c r="E208" s="5" t="s">
        <v>2783</v>
      </c>
      <c r="F208" s="6">
        <v>2535</v>
      </c>
    </row>
    <row r="209" spans="1:6" x14ac:dyDescent="0.15">
      <c r="A209" s="5" t="s">
        <v>37</v>
      </c>
      <c r="B209" s="5" t="s">
        <v>6296</v>
      </c>
      <c r="C209" s="9">
        <v>42534</v>
      </c>
      <c r="D209" s="5" t="s">
        <v>16</v>
      </c>
      <c r="E209" s="5" t="s">
        <v>6297</v>
      </c>
      <c r="F209" s="6">
        <v>7020</v>
      </c>
    </row>
    <row r="210" spans="1:6" x14ac:dyDescent="0.15">
      <c r="A210" s="5" t="s">
        <v>43</v>
      </c>
      <c r="B210" s="5" t="s">
        <v>4567</v>
      </c>
      <c r="C210" s="9">
        <v>42534</v>
      </c>
      <c r="D210" s="5" t="s">
        <v>16</v>
      </c>
      <c r="E210" s="5" t="s">
        <v>4568</v>
      </c>
      <c r="F210" s="6">
        <v>291</v>
      </c>
    </row>
    <row r="211" spans="1:6" x14ac:dyDescent="0.15">
      <c r="A211" s="5" t="s">
        <v>37</v>
      </c>
      <c r="B211" s="5" t="s">
        <v>6298</v>
      </c>
      <c r="C211" s="9">
        <v>42534</v>
      </c>
      <c r="D211" s="5" t="s">
        <v>16</v>
      </c>
      <c r="E211" s="5" t="s">
        <v>4568</v>
      </c>
      <c r="F211" s="6">
        <v>6532.5</v>
      </c>
    </row>
    <row r="212" spans="1:6" x14ac:dyDescent="0.15">
      <c r="A212" s="5" t="s">
        <v>8535</v>
      </c>
      <c r="B212" s="5" t="s">
        <v>8549</v>
      </c>
      <c r="C212" s="9">
        <v>42536</v>
      </c>
      <c r="D212" s="5" t="s">
        <v>16</v>
      </c>
      <c r="E212" s="5" t="s">
        <v>2245</v>
      </c>
      <c r="F212" s="6">
        <v>-4680</v>
      </c>
    </row>
    <row r="213" spans="1:6" x14ac:dyDescent="0.15">
      <c r="A213" s="5" t="s">
        <v>64</v>
      </c>
      <c r="B213" s="5" t="s">
        <v>6103</v>
      </c>
      <c r="C213" s="9">
        <v>42536</v>
      </c>
      <c r="D213" s="5" t="s">
        <v>16</v>
      </c>
      <c r="E213" s="5" t="s">
        <v>2245</v>
      </c>
      <c r="F213" s="6">
        <v>-6000</v>
      </c>
    </row>
    <row r="214" spans="1:6" x14ac:dyDescent="0.15">
      <c r="A214" s="5" t="s">
        <v>40</v>
      </c>
      <c r="B214" s="5" t="s">
        <v>2312</v>
      </c>
      <c r="C214" s="9">
        <v>42536</v>
      </c>
      <c r="D214" s="5" t="s">
        <v>16</v>
      </c>
      <c r="E214" s="5" t="s">
        <v>2245</v>
      </c>
      <c r="F214" s="6">
        <v>-4500</v>
      </c>
    </row>
    <row r="215" spans="1:6" x14ac:dyDescent="0.15">
      <c r="A215" s="5" t="s">
        <v>63</v>
      </c>
      <c r="B215" s="5" t="s">
        <v>2244</v>
      </c>
      <c r="C215" s="9">
        <v>42536</v>
      </c>
      <c r="D215" s="5" t="s">
        <v>16</v>
      </c>
      <c r="E215" s="5" t="s">
        <v>2245</v>
      </c>
      <c r="F215" s="6">
        <v>-3880</v>
      </c>
    </row>
    <row r="216" spans="1:6" x14ac:dyDescent="0.15">
      <c r="A216" s="5" t="s">
        <v>37</v>
      </c>
      <c r="B216" s="5" t="s">
        <v>6304</v>
      </c>
      <c r="C216" s="9">
        <v>42536</v>
      </c>
      <c r="D216" s="5" t="s">
        <v>16</v>
      </c>
      <c r="E216" s="5" t="s">
        <v>6305</v>
      </c>
      <c r="F216" s="6">
        <v>-5850</v>
      </c>
    </row>
    <row r="217" spans="1:6" x14ac:dyDescent="0.15">
      <c r="A217" s="5" t="s">
        <v>8535</v>
      </c>
      <c r="B217" s="5" t="s">
        <v>8548</v>
      </c>
      <c r="C217" s="9">
        <v>42534</v>
      </c>
      <c r="D217" s="5" t="s">
        <v>16</v>
      </c>
      <c r="E217" s="5" t="s">
        <v>2243</v>
      </c>
      <c r="F217" s="6">
        <v>4680</v>
      </c>
    </row>
    <row r="218" spans="1:6" x14ac:dyDescent="0.15">
      <c r="A218" s="5" t="s">
        <v>64</v>
      </c>
      <c r="B218" s="5" t="s">
        <v>6102</v>
      </c>
      <c r="C218" s="9">
        <v>42534</v>
      </c>
      <c r="D218" s="5" t="s">
        <v>16</v>
      </c>
      <c r="E218" s="5" t="s">
        <v>2243</v>
      </c>
      <c r="F218" s="6">
        <v>6000</v>
      </c>
    </row>
    <row r="219" spans="1:6" x14ac:dyDescent="0.15">
      <c r="A219" s="5" t="s">
        <v>40</v>
      </c>
      <c r="B219" s="5" t="s">
        <v>2311</v>
      </c>
      <c r="C219" s="9">
        <v>42534</v>
      </c>
      <c r="D219" s="5" t="s">
        <v>16</v>
      </c>
      <c r="E219" s="5" t="s">
        <v>2243</v>
      </c>
      <c r="F219" s="6">
        <v>4500</v>
      </c>
    </row>
    <row r="220" spans="1:6" x14ac:dyDescent="0.15">
      <c r="A220" s="5" t="s">
        <v>63</v>
      </c>
      <c r="B220" s="5" t="s">
        <v>2242</v>
      </c>
      <c r="C220" s="9">
        <v>42534</v>
      </c>
      <c r="D220" s="5" t="s">
        <v>16</v>
      </c>
      <c r="E220" s="5" t="s">
        <v>2243</v>
      </c>
      <c r="F220" s="6">
        <v>3880</v>
      </c>
    </row>
    <row r="221" spans="1:6" x14ac:dyDescent="0.15">
      <c r="A221" s="5" t="s">
        <v>37</v>
      </c>
      <c r="B221" s="5" t="s">
        <v>6299</v>
      </c>
      <c r="C221" s="9">
        <v>42534</v>
      </c>
      <c r="D221" s="5" t="s">
        <v>16</v>
      </c>
      <c r="E221" s="5" t="s">
        <v>6300</v>
      </c>
      <c r="F221" s="6">
        <v>5850</v>
      </c>
    </row>
    <row r="222" spans="1:6" x14ac:dyDescent="0.15">
      <c r="A222" s="5" t="s">
        <v>37</v>
      </c>
      <c r="B222" s="5" t="s">
        <v>6306</v>
      </c>
      <c r="C222" s="9">
        <v>42536</v>
      </c>
      <c r="D222" s="5" t="s">
        <v>16</v>
      </c>
      <c r="E222" s="5" t="s">
        <v>5751</v>
      </c>
      <c r="F222" s="6">
        <v>2340</v>
      </c>
    </row>
    <row r="223" spans="1:6" x14ac:dyDescent="0.15">
      <c r="A223" s="5" t="s">
        <v>42</v>
      </c>
      <c r="B223" s="5" t="s">
        <v>5750</v>
      </c>
      <c r="C223" s="9">
        <v>42536</v>
      </c>
      <c r="D223" s="5" t="s">
        <v>16</v>
      </c>
      <c r="E223" s="5" t="s">
        <v>5751</v>
      </c>
      <c r="F223" s="6">
        <v>750</v>
      </c>
    </row>
    <row r="224" spans="1:6" x14ac:dyDescent="0.15">
      <c r="A224" s="5" t="s">
        <v>43</v>
      </c>
      <c r="B224" s="5" t="s">
        <v>4569</v>
      </c>
      <c r="C224" s="9">
        <v>42536</v>
      </c>
      <c r="D224" s="5" t="s">
        <v>16</v>
      </c>
      <c r="E224" s="5" t="s">
        <v>4570</v>
      </c>
      <c r="F224" s="6">
        <v>1503.5</v>
      </c>
    </row>
    <row r="225" spans="1:6" x14ac:dyDescent="0.15">
      <c r="A225" s="5" t="s">
        <v>51</v>
      </c>
      <c r="B225" s="5" t="s">
        <v>4195</v>
      </c>
      <c r="C225" s="9">
        <v>42536</v>
      </c>
      <c r="D225" s="5" t="s">
        <v>16</v>
      </c>
      <c r="E225" s="5" t="s">
        <v>4196</v>
      </c>
      <c r="F225" s="6">
        <v>877.5</v>
      </c>
    </row>
    <row r="226" spans="1:6" x14ac:dyDescent="0.15">
      <c r="A226" s="5" t="s">
        <v>63</v>
      </c>
      <c r="B226" s="5" t="s">
        <v>2246</v>
      </c>
      <c r="C226" s="9">
        <v>42536</v>
      </c>
      <c r="D226" s="5" t="s">
        <v>16</v>
      </c>
      <c r="E226" s="5" t="s">
        <v>2247</v>
      </c>
      <c r="F226" s="6">
        <v>873</v>
      </c>
    </row>
    <row r="227" spans="1:6" x14ac:dyDescent="0.15">
      <c r="A227" s="5" t="s">
        <v>58</v>
      </c>
      <c r="B227" s="5" t="s">
        <v>6158</v>
      </c>
      <c r="C227" s="9">
        <v>42537</v>
      </c>
      <c r="D227" s="5" t="s">
        <v>16</v>
      </c>
      <c r="E227" s="5" t="s">
        <v>6159</v>
      </c>
      <c r="F227" s="6">
        <v>5625</v>
      </c>
    </row>
    <row r="228" spans="1:6" x14ac:dyDescent="0.15">
      <c r="A228" s="5" t="s">
        <v>8535</v>
      </c>
      <c r="B228" s="5" t="s">
        <v>8550</v>
      </c>
      <c r="C228" s="9">
        <v>42537</v>
      </c>
      <c r="D228" s="5" t="s">
        <v>16</v>
      </c>
      <c r="E228" s="5" t="s">
        <v>6159</v>
      </c>
      <c r="F228" s="6">
        <v>5928</v>
      </c>
    </row>
    <row r="229" spans="1:6" x14ac:dyDescent="0.15">
      <c r="A229" s="5" t="s">
        <v>58</v>
      </c>
      <c r="B229" s="5" t="s">
        <v>6160</v>
      </c>
      <c r="C229" s="9">
        <v>42537</v>
      </c>
      <c r="D229" s="5" t="s">
        <v>16</v>
      </c>
      <c r="E229" s="5" t="s">
        <v>6161</v>
      </c>
      <c r="F229" s="6">
        <v>3375</v>
      </c>
    </row>
    <row r="230" spans="1:6" x14ac:dyDescent="0.15">
      <c r="A230" s="5" t="s">
        <v>40</v>
      </c>
      <c r="B230" s="5" t="s">
        <v>2313</v>
      </c>
      <c r="C230" s="9">
        <v>42538</v>
      </c>
      <c r="D230" s="5" t="s">
        <v>16</v>
      </c>
      <c r="E230" s="5" t="s">
        <v>2314</v>
      </c>
      <c r="F230" s="6">
        <v>8775</v>
      </c>
    </row>
    <row r="231" spans="1:6" x14ac:dyDescent="0.15">
      <c r="A231" s="5" t="s">
        <v>35</v>
      </c>
      <c r="B231" s="5" t="s">
        <v>2786</v>
      </c>
      <c r="C231" s="9">
        <v>42538</v>
      </c>
      <c r="D231" s="5" t="s">
        <v>16</v>
      </c>
      <c r="E231" s="5" t="s">
        <v>2314</v>
      </c>
      <c r="F231" s="6">
        <v>33832.5</v>
      </c>
    </row>
    <row r="232" spans="1:6" x14ac:dyDescent="0.15">
      <c r="A232" s="5" t="s">
        <v>35</v>
      </c>
      <c r="B232" s="5" t="s">
        <v>2784</v>
      </c>
      <c r="C232" s="9">
        <v>42534</v>
      </c>
      <c r="D232" s="5" t="s">
        <v>16</v>
      </c>
      <c r="E232" s="5" t="s">
        <v>2785</v>
      </c>
      <c r="F232" s="6">
        <v>975</v>
      </c>
    </row>
    <row r="233" spans="1:6" x14ac:dyDescent="0.15">
      <c r="A233" s="5" t="s">
        <v>37</v>
      </c>
      <c r="B233" s="5" t="s">
        <v>6301</v>
      </c>
      <c r="C233" s="9">
        <v>42534</v>
      </c>
      <c r="D233" s="5" t="s">
        <v>16</v>
      </c>
      <c r="E233" s="5" t="s">
        <v>2785</v>
      </c>
      <c r="F233" s="6">
        <v>292.5</v>
      </c>
    </row>
    <row r="234" spans="1:6" x14ac:dyDescent="0.15">
      <c r="A234" s="5" t="s">
        <v>55</v>
      </c>
      <c r="B234" s="5" t="s">
        <v>4469</v>
      </c>
      <c r="C234" s="9">
        <v>42534</v>
      </c>
      <c r="D234" s="5" t="s">
        <v>16</v>
      </c>
      <c r="E234" s="5" t="s">
        <v>2785</v>
      </c>
      <c r="F234" s="6">
        <v>3300</v>
      </c>
    </row>
    <row r="235" spans="1:6" x14ac:dyDescent="0.15">
      <c r="A235" s="5" t="s">
        <v>49</v>
      </c>
      <c r="B235" s="5" t="s">
        <v>8620</v>
      </c>
      <c r="C235" s="9">
        <v>42541</v>
      </c>
      <c r="D235" s="5" t="s">
        <v>16</v>
      </c>
      <c r="E235" s="5" t="s">
        <v>8621</v>
      </c>
      <c r="F235" s="6">
        <v>700</v>
      </c>
    </row>
    <row r="236" spans="1:6" x14ac:dyDescent="0.15">
      <c r="A236" s="5" t="s">
        <v>63</v>
      </c>
      <c r="B236" s="5" t="s">
        <v>2248</v>
      </c>
      <c r="C236" s="9">
        <v>42538</v>
      </c>
      <c r="D236" s="5" t="s">
        <v>16</v>
      </c>
      <c r="E236" s="5" t="s">
        <v>2249</v>
      </c>
      <c r="F236" s="6">
        <v>970</v>
      </c>
    </row>
    <row r="237" spans="1:6" x14ac:dyDescent="0.15">
      <c r="A237" s="5" t="s">
        <v>37</v>
      </c>
      <c r="B237" s="5" t="s">
        <v>6311</v>
      </c>
      <c r="C237" s="9">
        <v>42543</v>
      </c>
      <c r="D237" s="5" t="s">
        <v>16</v>
      </c>
      <c r="E237" s="5" t="s">
        <v>2799</v>
      </c>
      <c r="F237" s="6">
        <v>-195</v>
      </c>
    </row>
    <row r="238" spans="1:6" x14ac:dyDescent="0.15">
      <c r="A238" s="5" t="s">
        <v>35</v>
      </c>
      <c r="B238" s="5" t="s">
        <v>2798</v>
      </c>
      <c r="C238" s="9">
        <v>42543</v>
      </c>
      <c r="D238" s="5" t="s">
        <v>16</v>
      </c>
      <c r="E238" s="5" t="s">
        <v>2799</v>
      </c>
      <c r="F238" s="6">
        <v>-195</v>
      </c>
    </row>
    <row r="239" spans="1:6" x14ac:dyDescent="0.15">
      <c r="A239" s="5" t="s">
        <v>35</v>
      </c>
      <c r="B239" s="5" t="s">
        <v>2800</v>
      </c>
      <c r="C239" s="9">
        <v>42543</v>
      </c>
      <c r="D239" s="5" t="s">
        <v>16</v>
      </c>
      <c r="E239" s="5" t="s">
        <v>2801</v>
      </c>
      <c r="F239" s="6">
        <v>195</v>
      </c>
    </row>
    <row r="240" spans="1:6" x14ac:dyDescent="0.15">
      <c r="A240" s="5" t="s">
        <v>43</v>
      </c>
      <c r="B240" s="5" t="s">
        <v>4575</v>
      </c>
      <c r="C240" s="9">
        <v>42543</v>
      </c>
      <c r="D240" s="5" t="s">
        <v>16</v>
      </c>
      <c r="E240" s="5" t="s">
        <v>4576</v>
      </c>
      <c r="F240" s="6">
        <v>145.5</v>
      </c>
    </row>
    <row r="241" spans="1:6" x14ac:dyDescent="0.15">
      <c r="A241" s="5" t="s">
        <v>43</v>
      </c>
      <c r="B241" s="5" t="s">
        <v>4577</v>
      </c>
      <c r="C241" s="9">
        <v>42543</v>
      </c>
      <c r="D241" s="5" t="s">
        <v>16</v>
      </c>
      <c r="E241" s="5" t="s">
        <v>4578</v>
      </c>
      <c r="F241" s="6">
        <v>970</v>
      </c>
    </row>
    <row r="242" spans="1:6" x14ac:dyDescent="0.15">
      <c r="A242" s="5" t="s">
        <v>37</v>
      </c>
      <c r="B242" s="5" t="s">
        <v>6312</v>
      </c>
      <c r="C242" s="9">
        <v>42543</v>
      </c>
      <c r="D242" s="5" t="s">
        <v>16</v>
      </c>
      <c r="E242" s="5" t="s">
        <v>4578</v>
      </c>
      <c r="F242" s="6">
        <v>2437.5</v>
      </c>
    </row>
    <row r="243" spans="1:6" x14ac:dyDescent="0.15">
      <c r="A243" s="5" t="s">
        <v>43</v>
      </c>
      <c r="B243" s="5" t="s">
        <v>4579</v>
      </c>
      <c r="C243" s="9">
        <v>42543</v>
      </c>
      <c r="D243" s="5" t="s">
        <v>16</v>
      </c>
      <c r="E243" s="5" t="s">
        <v>4580</v>
      </c>
      <c r="F243" s="6">
        <v>-970</v>
      </c>
    </row>
    <row r="244" spans="1:6" x14ac:dyDescent="0.15">
      <c r="A244" s="5" t="s">
        <v>37</v>
      </c>
      <c r="B244" s="5" t="s">
        <v>6313</v>
      </c>
      <c r="C244" s="9">
        <v>42543</v>
      </c>
      <c r="D244" s="5" t="s">
        <v>16</v>
      </c>
      <c r="E244" s="5" t="s">
        <v>4580</v>
      </c>
      <c r="F244" s="6">
        <v>-2437.5</v>
      </c>
    </row>
    <row r="245" spans="1:6" x14ac:dyDescent="0.15">
      <c r="A245" s="5" t="s">
        <v>43</v>
      </c>
      <c r="B245" s="5" t="s">
        <v>4581</v>
      </c>
      <c r="C245" s="9">
        <v>42543</v>
      </c>
      <c r="D245" s="5" t="s">
        <v>16</v>
      </c>
      <c r="E245" s="5" t="s">
        <v>4582</v>
      </c>
      <c r="F245" s="6">
        <v>485</v>
      </c>
    </row>
    <row r="246" spans="1:6" x14ac:dyDescent="0.15">
      <c r="A246" s="5" t="s">
        <v>37</v>
      </c>
      <c r="B246" s="5" t="s">
        <v>6314</v>
      </c>
      <c r="C246" s="9">
        <v>42543</v>
      </c>
      <c r="D246" s="5" t="s">
        <v>16</v>
      </c>
      <c r="E246" s="5" t="s">
        <v>4582</v>
      </c>
      <c r="F246" s="6">
        <v>2437.5</v>
      </c>
    </row>
    <row r="247" spans="1:6" x14ac:dyDescent="0.15">
      <c r="A247" s="5" t="s">
        <v>43</v>
      </c>
      <c r="B247" s="5" t="s">
        <v>4571</v>
      </c>
      <c r="C247" s="9">
        <v>42538</v>
      </c>
      <c r="D247" s="5" t="s">
        <v>16</v>
      </c>
      <c r="E247" s="5" t="s">
        <v>4572</v>
      </c>
      <c r="F247" s="6">
        <v>48.5</v>
      </c>
    </row>
    <row r="248" spans="1:6" x14ac:dyDescent="0.15">
      <c r="A248" s="5" t="s">
        <v>43</v>
      </c>
      <c r="B248" s="5" t="s">
        <v>4573</v>
      </c>
      <c r="C248" s="9">
        <v>42541</v>
      </c>
      <c r="D248" s="5" t="s">
        <v>16</v>
      </c>
      <c r="E248" s="5" t="s">
        <v>4574</v>
      </c>
      <c r="F248" s="6">
        <v>145.5</v>
      </c>
    </row>
    <row r="249" spans="1:6" x14ac:dyDescent="0.15">
      <c r="A249" s="5" t="s">
        <v>44</v>
      </c>
      <c r="B249" s="5" t="s">
        <v>4312</v>
      </c>
      <c r="C249" s="9">
        <v>42541</v>
      </c>
      <c r="D249" s="5" t="s">
        <v>16</v>
      </c>
      <c r="E249" s="5" t="s">
        <v>2791</v>
      </c>
      <c r="F249" s="6">
        <v>3900</v>
      </c>
    </row>
    <row r="250" spans="1:6" x14ac:dyDescent="0.15">
      <c r="A250" s="5" t="s">
        <v>35</v>
      </c>
      <c r="B250" s="5" t="s">
        <v>2790</v>
      </c>
      <c r="C250" s="9">
        <v>42541</v>
      </c>
      <c r="D250" s="5" t="s">
        <v>16</v>
      </c>
      <c r="E250" s="5" t="s">
        <v>2791</v>
      </c>
      <c r="F250" s="6">
        <v>7800</v>
      </c>
    </row>
    <row r="251" spans="1:6" x14ac:dyDescent="0.15">
      <c r="A251" s="5" t="s">
        <v>37</v>
      </c>
      <c r="B251" s="5" t="s">
        <v>6307</v>
      </c>
      <c r="C251" s="9">
        <v>42541</v>
      </c>
      <c r="D251" s="5" t="s">
        <v>16</v>
      </c>
      <c r="E251" s="5" t="s">
        <v>2791</v>
      </c>
      <c r="F251" s="6">
        <v>3900</v>
      </c>
    </row>
    <row r="252" spans="1:6" x14ac:dyDescent="0.15">
      <c r="A252" s="5" t="s">
        <v>35</v>
      </c>
      <c r="B252" s="5" t="s">
        <v>2787</v>
      </c>
      <c r="C252" s="9">
        <v>42538</v>
      </c>
      <c r="D252" s="5" t="s">
        <v>16</v>
      </c>
      <c r="E252" s="5" t="s">
        <v>1764</v>
      </c>
      <c r="F252" s="6">
        <v>585</v>
      </c>
    </row>
    <row r="253" spans="1:6" x14ac:dyDescent="0.15">
      <c r="A253" s="5" t="s">
        <v>41</v>
      </c>
      <c r="B253" s="5" t="s">
        <v>1763</v>
      </c>
      <c r="C253" s="9">
        <v>42538</v>
      </c>
      <c r="D253" s="5" t="s">
        <v>16</v>
      </c>
      <c r="E253" s="5" t="s">
        <v>1764</v>
      </c>
      <c r="F253" s="6">
        <v>1406.5</v>
      </c>
    </row>
    <row r="254" spans="1:6" x14ac:dyDescent="0.15">
      <c r="A254" s="5" t="s">
        <v>35</v>
      </c>
      <c r="B254" s="5" t="s">
        <v>2796</v>
      </c>
      <c r="C254" s="9">
        <v>42542</v>
      </c>
      <c r="D254" s="5" t="s">
        <v>16</v>
      </c>
      <c r="E254" s="5" t="s">
        <v>2797</v>
      </c>
      <c r="F254" s="6">
        <v>292.5</v>
      </c>
    </row>
    <row r="255" spans="1:6" x14ac:dyDescent="0.15">
      <c r="A255" s="5" t="s">
        <v>35</v>
      </c>
      <c r="B255" s="5" t="s">
        <v>2792</v>
      </c>
      <c r="C255" s="9">
        <v>42541</v>
      </c>
      <c r="D255" s="5" t="s">
        <v>16</v>
      </c>
      <c r="E255" s="5" t="s">
        <v>2793</v>
      </c>
      <c r="F255" s="6">
        <v>682.5</v>
      </c>
    </row>
    <row r="256" spans="1:6" x14ac:dyDescent="0.15">
      <c r="A256" s="5" t="s">
        <v>35</v>
      </c>
      <c r="B256" s="5" t="s">
        <v>2788</v>
      </c>
      <c r="C256" s="9">
        <v>42538</v>
      </c>
      <c r="D256" s="5" t="s">
        <v>16</v>
      </c>
      <c r="E256" s="5" t="s">
        <v>2789</v>
      </c>
      <c r="F256" s="6">
        <v>5070</v>
      </c>
    </row>
    <row r="257" spans="1:6" x14ac:dyDescent="0.15">
      <c r="A257" s="5" t="s">
        <v>37</v>
      </c>
      <c r="B257" s="5" t="s">
        <v>6308</v>
      </c>
      <c r="C257" s="9">
        <v>42541</v>
      </c>
      <c r="D257" s="5" t="s">
        <v>16</v>
      </c>
      <c r="E257" s="5" t="s">
        <v>2791</v>
      </c>
      <c r="F257" s="6">
        <v>3900</v>
      </c>
    </row>
    <row r="258" spans="1:6" x14ac:dyDescent="0.15">
      <c r="A258" s="5" t="s">
        <v>44</v>
      </c>
      <c r="B258" s="5" t="s">
        <v>4314</v>
      </c>
      <c r="C258" s="9">
        <v>42548</v>
      </c>
      <c r="D258" s="5" t="s">
        <v>16</v>
      </c>
      <c r="E258" s="5" t="s">
        <v>2804</v>
      </c>
      <c r="F258" s="6">
        <v>3900</v>
      </c>
    </row>
    <row r="259" spans="1:6" x14ac:dyDescent="0.15">
      <c r="A259" s="5" t="s">
        <v>35</v>
      </c>
      <c r="B259" s="5" t="s">
        <v>2803</v>
      </c>
      <c r="C259" s="9">
        <v>42548</v>
      </c>
      <c r="D259" s="5" t="s">
        <v>16</v>
      </c>
      <c r="E259" s="5" t="s">
        <v>2804</v>
      </c>
      <c r="F259" s="6">
        <v>7800</v>
      </c>
    </row>
    <row r="260" spans="1:6" x14ac:dyDescent="0.15">
      <c r="A260" s="5" t="s">
        <v>37</v>
      </c>
      <c r="B260" s="5" t="s">
        <v>6315</v>
      </c>
      <c r="C260" s="9">
        <v>42548</v>
      </c>
      <c r="D260" s="5" t="s">
        <v>16</v>
      </c>
      <c r="E260" s="5" t="s">
        <v>2804</v>
      </c>
      <c r="F260" s="6">
        <v>3900</v>
      </c>
    </row>
    <row r="261" spans="1:6" x14ac:dyDescent="0.15">
      <c r="A261" s="5" t="s">
        <v>41</v>
      </c>
      <c r="B261" s="5" t="s">
        <v>1765</v>
      </c>
      <c r="C261" s="9">
        <v>42551</v>
      </c>
      <c r="D261" s="5" t="s">
        <v>16</v>
      </c>
      <c r="E261" s="5" t="s">
        <v>1766</v>
      </c>
      <c r="F261" s="6">
        <v>10670</v>
      </c>
    </row>
    <row r="262" spans="1:6" x14ac:dyDescent="0.15">
      <c r="A262" s="5" t="s">
        <v>43</v>
      </c>
      <c r="B262" s="5" t="s">
        <v>4585</v>
      </c>
      <c r="C262" s="9">
        <v>42551</v>
      </c>
      <c r="D262" s="5" t="s">
        <v>16</v>
      </c>
      <c r="E262" s="5" t="s">
        <v>1766</v>
      </c>
      <c r="F262" s="6">
        <v>3734.5</v>
      </c>
    </row>
    <row r="263" spans="1:6" x14ac:dyDescent="0.15">
      <c r="A263" s="5" t="s">
        <v>42</v>
      </c>
      <c r="B263" s="5" t="s">
        <v>5752</v>
      </c>
      <c r="C263" s="9">
        <v>42551</v>
      </c>
      <c r="D263" s="5" t="s">
        <v>16</v>
      </c>
      <c r="E263" s="5" t="s">
        <v>1766</v>
      </c>
      <c r="F263" s="6">
        <v>7500</v>
      </c>
    </row>
    <row r="264" spans="1:6" x14ac:dyDescent="0.15">
      <c r="A264" s="5" t="s">
        <v>44</v>
      </c>
      <c r="B264" s="5" t="s">
        <v>4313</v>
      </c>
      <c r="C264" s="9">
        <v>42541</v>
      </c>
      <c r="D264" s="5" t="s">
        <v>16</v>
      </c>
      <c r="E264" s="5" t="s">
        <v>2795</v>
      </c>
      <c r="F264" s="6">
        <v>-3900</v>
      </c>
    </row>
    <row r="265" spans="1:6" x14ac:dyDescent="0.15">
      <c r="A265" s="5" t="s">
        <v>37</v>
      </c>
      <c r="B265" s="5" t="s">
        <v>6309</v>
      </c>
      <c r="C265" s="9">
        <v>42541</v>
      </c>
      <c r="D265" s="5" t="s">
        <v>16</v>
      </c>
      <c r="E265" s="5" t="s">
        <v>2795</v>
      </c>
      <c r="F265" s="6">
        <v>-3900</v>
      </c>
    </row>
    <row r="266" spans="1:6" x14ac:dyDescent="0.15">
      <c r="A266" s="5" t="s">
        <v>35</v>
      </c>
      <c r="B266" s="5" t="s">
        <v>2794</v>
      </c>
      <c r="C266" s="9">
        <v>42541</v>
      </c>
      <c r="D266" s="5" t="s">
        <v>16</v>
      </c>
      <c r="E266" s="5" t="s">
        <v>2795</v>
      </c>
      <c r="F266" s="6">
        <v>-7800</v>
      </c>
    </row>
    <row r="267" spans="1:6" x14ac:dyDescent="0.15">
      <c r="A267" s="5" t="s">
        <v>37</v>
      </c>
      <c r="B267" s="5" t="s">
        <v>6310</v>
      </c>
      <c r="C267" s="9">
        <v>42541</v>
      </c>
      <c r="D267" s="5" t="s">
        <v>16</v>
      </c>
      <c r="E267" s="5" t="s">
        <v>2795</v>
      </c>
      <c r="F267" s="6">
        <v>-3900</v>
      </c>
    </row>
    <row r="268" spans="1:6" x14ac:dyDescent="0.15">
      <c r="A268" s="5" t="s">
        <v>37</v>
      </c>
      <c r="B268" s="5" t="s">
        <v>6316</v>
      </c>
      <c r="C268" s="9">
        <v>42549</v>
      </c>
      <c r="D268" s="5" t="s">
        <v>16</v>
      </c>
      <c r="E268" s="5" t="s">
        <v>6317</v>
      </c>
      <c r="F268" s="6">
        <v>5850</v>
      </c>
    </row>
    <row r="269" spans="1:6" x14ac:dyDescent="0.15">
      <c r="A269" s="5" t="s">
        <v>40</v>
      </c>
      <c r="B269" s="5" t="s">
        <v>2315</v>
      </c>
      <c r="C269" s="9">
        <v>42545</v>
      </c>
      <c r="D269" s="5" t="s">
        <v>16</v>
      </c>
      <c r="E269" s="5" t="s">
        <v>2316</v>
      </c>
      <c r="F269" s="6">
        <v>150</v>
      </c>
    </row>
    <row r="270" spans="1:6" x14ac:dyDescent="0.15">
      <c r="A270" s="5" t="s">
        <v>35</v>
      </c>
      <c r="B270" s="5" t="s">
        <v>2802</v>
      </c>
      <c r="C270" s="9">
        <v>42545</v>
      </c>
      <c r="D270" s="5" t="s">
        <v>16</v>
      </c>
      <c r="E270" s="5" t="s">
        <v>2316</v>
      </c>
      <c r="F270" s="6">
        <v>487.5</v>
      </c>
    </row>
    <row r="271" spans="1:6" x14ac:dyDescent="0.15">
      <c r="A271" s="5" t="s">
        <v>58</v>
      </c>
      <c r="B271" s="5" t="s">
        <v>6162</v>
      </c>
      <c r="C271" s="9">
        <v>42548</v>
      </c>
      <c r="D271" s="5" t="s">
        <v>16</v>
      </c>
      <c r="E271" s="5" t="s">
        <v>6163</v>
      </c>
      <c r="F271" s="6">
        <v>11250</v>
      </c>
    </row>
    <row r="272" spans="1:6" x14ac:dyDescent="0.15">
      <c r="A272" s="5" t="s">
        <v>58</v>
      </c>
      <c r="B272" s="5" t="s">
        <v>6164</v>
      </c>
      <c r="C272" s="9">
        <v>42548</v>
      </c>
      <c r="D272" s="5" t="s">
        <v>16</v>
      </c>
      <c r="E272" s="5" t="s">
        <v>6165</v>
      </c>
      <c r="F272" s="6">
        <v>3000</v>
      </c>
    </row>
    <row r="273" spans="1:6" x14ac:dyDescent="0.15">
      <c r="A273" s="5" t="s">
        <v>37</v>
      </c>
      <c r="B273" s="5" t="s">
        <v>6302</v>
      </c>
      <c r="C273" s="9">
        <v>42534</v>
      </c>
      <c r="D273" s="5" t="s">
        <v>16</v>
      </c>
      <c r="E273" s="5" t="s">
        <v>6303</v>
      </c>
      <c r="F273" s="6">
        <v>-5850</v>
      </c>
    </row>
    <row r="274" spans="1:6" x14ac:dyDescent="0.15">
      <c r="A274" s="5" t="s">
        <v>37</v>
      </c>
      <c r="B274" s="5" t="s">
        <v>6318</v>
      </c>
      <c r="C274" s="9">
        <v>42549</v>
      </c>
      <c r="D274" s="5" t="s">
        <v>16</v>
      </c>
      <c r="E274" s="5" t="s">
        <v>6319</v>
      </c>
      <c r="F274" s="6">
        <v>2925</v>
      </c>
    </row>
    <row r="275" spans="1:6" x14ac:dyDescent="0.15">
      <c r="A275" s="5" t="s">
        <v>43</v>
      </c>
      <c r="B275" s="5" t="s">
        <v>4583</v>
      </c>
      <c r="C275" s="9">
        <v>42543</v>
      </c>
      <c r="D275" s="5" t="s">
        <v>16</v>
      </c>
      <c r="E275" s="5" t="s">
        <v>4584</v>
      </c>
      <c r="F275" s="6">
        <v>20370</v>
      </c>
    </row>
    <row r="276" spans="1:6" x14ac:dyDescent="0.15">
      <c r="A276" s="5" t="s">
        <v>58</v>
      </c>
      <c r="B276" s="5" t="s">
        <v>6166</v>
      </c>
      <c r="C276" s="9">
        <v>42548</v>
      </c>
      <c r="D276" s="5" t="s">
        <v>16</v>
      </c>
      <c r="E276" s="5" t="s">
        <v>6167</v>
      </c>
      <c r="F276" s="6">
        <v>-11250</v>
      </c>
    </row>
    <row r="277" spans="1:6" x14ac:dyDescent="0.15">
      <c r="A277" s="5" t="s">
        <v>58</v>
      </c>
      <c r="B277" s="5" t="s">
        <v>6168</v>
      </c>
      <c r="C277" s="9">
        <v>42548</v>
      </c>
      <c r="D277" s="5" t="s">
        <v>16</v>
      </c>
      <c r="E277" s="5" t="s">
        <v>6169</v>
      </c>
      <c r="F277" s="6">
        <v>-3000</v>
      </c>
    </row>
    <row r="278" spans="1:6" x14ac:dyDescent="0.15">
      <c r="A278" s="5" t="s">
        <v>41</v>
      </c>
      <c r="B278" s="5" t="s">
        <v>1767</v>
      </c>
      <c r="C278" s="9">
        <v>42551</v>
      </c>
      <c r="D278" s="5" t="s">
        <v>16</v>
      </c>
      <c r="E278" s="5" t="s">
        <v>1768</v>
      </c>
      <c r="F278" s="6">
        <v>-10670</v>
      </c>
    </row>
    <row r="279" spans="1:6" x14ac:dyDescent="0.15">
      <c r="A279" s="5" t="s">
        <v>43</v>
      </c>
      <c r="B279" s="5" t="s">
        <v>4586</v>
      </c>
      <c r="C279" s="9">
        <v>42551</v>
      </c>
      <c r="D279" s="5" t="s">
        <v>16</v>
      </c>
      <c r="E279" s="5" t="s">
        <v>1768</v>
      </c>
      <c r="F279" s="6">
        <v>-3734.5</v>
      </c>
    </row>
    <row r="280" spans="1:6" x14ac:dyDescent="0.15">
      <c r="A280" s="5" t="s">
        <v>42</v>
      </c>
      <c r="B280" s="5" t="s">
        <v>5753</v>
      </c>
      <c r="C280" s="9">
        <v>42551</v>
      </c>
      <c r="D280" s="5" t="s">
        <v>16</v>
      </c>
      <c r="E280" s="5" t="s">
        <v>1768</v>
      </c>
      <c r="F280" s="6">
        <v>-7500</v>
      </c>
    </row>
    <row r="281" spans="1:6" x14ac:dyDescent="0.15">
      <c r="A281" s="5" t="s">
        <v>41</v>
      </c>
      <c r="B281" s="5" t="s">
        <v>1769</v>
      </c>
      <c r="C281" s="9">
        <v>42551</v>
      </c>
      <c r="D281" s="5" t="s">
        <v>16</v>
      </c>
      <c r="E281" s="5" t="s">
        <v>1770</v>
      </c>
      <c r="F281" s="6">
        <v>11640</v>
      </c>
    </row>
    <row r="282" spans="1:6" x14ac:dyDescent="0.15">
      <c r="A282" s="5" t="s">
        <v>43</v>
      </c>
      <c r="B282" s="5" t="s">
        <v>4587</v>
      </c>
      <c r="C282" s="9">
        <v>42551</v>
      </c>
      <c r="D282" s="5" t="s">
        <v>16</v>
      </c>
      <c r="E282" s="5" t="s">
        <v>1770</v>
      </c>
      <c r="F282" s="6">
        <v>3880</v>
      </c>
    </row>
    <row r="283" spans="1:6" x14ac:dyDescent="0.15">
      <c r="A283" s="5" t="s">
        <v>42</v>
      </c>
      <c r="B283" s="5" t="s">
        <v>5754</v>
      </c>
      <c r="C283" s="9">
        <v>42551</v>
      </c>
      <c r="D283" s="5" t="s">
        <v>16</v>
      </c>
      <c r="E283" s="5" t="s">
        <v>1770</v>
      </c>
      <c r="F283" s="6">
        <v>7500</v>
      </c>
    </row>
    <row r="284" spans="1:6" x14ac:dyDescent="0.15">
      <c r="A284" s="5" t="s">
        <v>58</v>
      </c>
      <c r="B284" s="5" t="s">
        <v>6170</v>
      </c>
      <c r="C284" s="9">
        <v>42551</v>
      </c>
      <c r="D284" s="5" t="s">
        <v>16</v>
      </c>
      <c r="E284" s="5" t="s">
        <v>6171</v>
      </c>
      <c r="F284" s="6">
        <v>3000</v>
      </c>
    </row>
    <row r="285" spans="1:6" x14ac:dyDescent="0.15">
      <c r="A285" s="5" t="s">
        <v>58</v>
      </c>
      <c r="B285" s="5" t="s">
        <v>6172</v>
      </c>
      <c r="C285" s="9">
        <v>42551</v>
      </c>
      <c r="D285" s="5" t="s">
        <v>16</v>
      </c>
      <c r="E285" s="5" t="s">
        <v>6173</v>
      </c>
      <c r="F285" s="6">
        <v>11250</v>
      </c>
    </row>
    <row r="286" spans="1:6" x14ac:dyDescent="0.15">
      <c r="A286" s="5" t="s">
        <v>35</v>
      </c>
      <c r="B286" s="5" t="s">
        <v>2805</v>
      </c>
      <c r="C286" s="9">
        <v>42551</v>
      </c>
      <c r="D286" s="5" t="s">
        <v>16</v>
      </c>
      <c r="E286" s="5" t="s">
        <v>2806</v>
      </c>
      <c r="F286" s="6">
        <v>1950</v>
      </c>
    </row>
    <row r="287" spans="1:6" x14ac:dyDescent="0.15">
      <c r="A287" s="5" t="s">
        <v>35</v>
      </c>
      <c r="B287" s="5" t="s">
        <v>2807</v>
      </c>
      <c r="C287" s="9">
        <v>42551</v>
      </c>
      <c r="D287" s="5" t="s">
        <v>16</v>
      </c>
      <c r="E287" s="5" t="s">
        <v>2808</v>
      </c>
      <c r="F287" s="6">
        <v>-1950</v>
      </c>
    </row>
    <row r="288" spans="1:6" x14ac:dyDescent="0.15">
      <c r="A288" s="5" t="s">
        <v>35</v>
      </c>
      <c r="B288" s="5" t="s">
        <v>2809</v>
      </c>
      <c r="C288" s="9">
        <v>42551</v>
      </c>
      <c r="D288" s="5" t="s">
        <v>16</v>
      </c>
      <c r="E288" s="5" t="s">
        <v>2810</v>
      </c>
      <c r="F288" s="6">
        <v>1950</v>
      </c>
    </row>
    <row r="289" spans="1:6" x14ac:dyDescent="0.15">
      <c r="A289" s="5" t="s">
        <v>148</v>
      </c>
      <c r="B289" s="5" t="s">
        <v>5626</v>
      </c>
      <c r="C289" s="9">
        <v>42557</v>
      </c>
      <c r="D289" s="5" t="s">
        <v>16</v>
      </c>
      <c r="E289" s="5" t="s">
        <v>4589</v>
      </c>
      <c r="F289" s="6">
        <v>7275</v>
      </c>
    </row>
    <row r="290" spans="1:6" x14ac:dyDescent="0.15">
      <c r="A290" s="5" t="s">
        <v>43</v>
      </c>
      <c r="B290" s="5" t="s">
        <v>4588</v>
      </c>
      <c r="C290" s="9">
        <v>42557</v>
      </c>
      <c r="D290" s="5" t="s">
        <v>16</v>
      </c>
      <c r="E290" s="5" t="s">
        <v>4589</v>
      </c>
      <c r="F290" s="6">
        <v>7760</v>
      </c>
    </row>
    <row r="291" spans="1:6" x14ac:dyDescent="0.15">
      <c r="A291" s="5" t="s">
        <v>57</v>
      </c>
      <c r="B291" s="5" t="s">
        <v>5565</v>
      </c>
      <c r="C291" s="9">
        <v>42557</v>
      </c>
      <c r="D291" s="5" t="s">
        <v>16</v>
      </c>
      <c r="E291" s="5" t="s">
        <v>4589</v>
      </c>
      <c r="F291" s="6">
        <v>7760</v>
      </c>
    </row>
    <row r="292" spans="1:6" x14ac:dyDescent="0.15">
      <c r="A292" s="5" t="s">
        <v>43</v>
      </c>
      <c r="B292" s="5" t="s">
        <v>4597</v>
      </c>
      <c r="C292" s="9">
        <v>42562</v>
      </c>
      <c r="D292" s="5" t="s">
        <v>16</v>
      </c>
      <c r="E292" s="5" t="s">
        <v>1778</v>
      </c>
      <c r="F292" s="6">
        <v>3880</v>
      </c>
    </row>
    <row r="293" spans="1:6" x14ac:dyDescent="0.15">
      <c r="A293" s="5" t="s">
        <v>41</v>
      </c>
      <c r="B293" s="5" t="s">
        <v>1777</v>
      </c>
      <c r="C293" s="9">
        <v>42562</v>
      </c>
      <c r="D293" s="5" t="s">
        <v>16</v>
      </c>
      <c r="E293" s="5" t="s">
        <v>1778</v>
      </c>
      <c r="F293" s="6">
        <v>1940</v>
      </c>
    </row>
    <row r="294" spans="1:6" x14ac:dyDescent="0.15">
      <c r="A294" s="5" t="s">
        <v>35</v>
      </c>
      <c r="B294" s="5" t="s">
        <v>2823</v>
      </c>
      <c r="C294" s="9">
        <v>42562</v>
      </c>
      <c r="D294" s="5" t="s">
        <v>16</v>
      </c>
      <c r="E294" s="5" t="s">
        <v>1778</v>
      </c>
      <c r="F294" s="6">
        <v>1950</v>
      </c>
    </row>
    <row r="295" spans="1:6" x14ac:dyDescent="0.15">
      <c r="A295" s="5" t="s">
        <v>37</v>
      </c>
      <c r="B295" s="5" t="s">
        <v>6322</v>
      </c>
      <c r="C295" s="9">
        <v>42557</v>
      </c>
      <c r="D295" s="5" t="s">
        <v>16</v>
      </c>
      <c r="E295" s="5" t="s">
        <v>6323</v>
      </c>
      <c r="F295" s="6">
        <v>1950</v>
      </c>
    </row>
    <row r="296" spans="1:6" x14ac:dyDescent="0.15">
      <c r="A296" s="5" t="s">
        <v>35</v>
      </c>
      <c r="B296" s="5" t="s">
        <v>2813</v>
      </c>
      <c r="C296" s="9">
        <v>42557</v>
      </c>
      <c r="D296" s="5" t="s">
        <v>16</v>
      </c>
      <c r="E296" s="5" t="s">
        <v>2814</v>
      </c>
      <c r="F296" s="6">
        <v>11505</v>
      </c>
    </row>
    <row r="297" spans="1:6" x14ac:dyDescent="0.15">
      <c r="A297" s="5" t="s">
        <v>35</v>
      </c>
      <c r="B297" s="5" t="s">
        <v>2815</v>
      </c>
      <c r="C297" s="9">
        <v>42557</v>
      </c>
      <c r="D297" s="5" t="s">
        <v>16</v>
      </c>
      <c r="E297" s="5" t="s">
        <v>2816</v>
      </c>
      <c r="F297" s="6">
        <v>8580</v>
      </c>
    </row>
    <row r="298" spans="1:6" x14ac:dyDescent="0.15">
      <c r="A298" s="5" t="s">
        <v>35</v>
      </c>
      <c r="B298" s="5" t="s">
        <v>2817</v>
      </c>
      <c r="C298" s="9">
        <v>42557</v>
      </c>
      <c r="D298" s="5" t="s">
        <v>16</v>
      </c>
      <c r="E298" s="5" t="s">
        <v>2818</v>
      </c>
      <c r="F298" s="6">
        <v>13065</v>
      </c>
    </row>
    <row r="299" spans="1:6" x14ac:dyDescent="0.15">
      <c r="A299" s="5" t="s">
        <v>43</v>
      </c>
      <c r="B299" s="5" t="s">
        <v>4590</v>
      </c>
      <c r="C299" s="9">
        <v>42557</v>
      </c>
      <c r="D299" s="5" t="s">
        <v>16</v>
      </c>
      <c r="E299" s="5" t="s">
        <v>4591</v>
      </c>
      <c r="F299" s="6">
        <v>242.5</v>
      </c>
    </row>
    <row r="300" spans="1:6" x14ac:dyDescent="0.15">
      <c r="A300" s="5" t="s">
        <v>37</v>
      </c>
      <c r="B300" s="5" t="s">
        <v>6324</v>
      </c>
      <c r="C300" s="9">
        <v>42557</v>
      </c>
      <c r="D300" s="5" t="s">
        <v>16</v>
      </c>
      <c r="E300" s="5" t="s">
        <v>4591</v>
      </c>
      <c r="F300" s="6">
        <v>1365</v>
      </c>
    </row>
    <row r="301" spans="1:6" x14ac:dyDescent="0.15">
      <c r="A301" s="5" t="s">
        <v>37</v>
      </c>
      <c r="B301" s="5" t="s">
        <v>6325</v>
      </c>
      <c r="C301" s="9">
        <v>42557</v>
      </c>
      <c r="D301" s="5" t="s">
        <v>16</v>
      </c>
      <c r="E301" s="5" t="s">
        <v>6326</v>
      </c>
      <c r="F301" s="6">
        <v>1950</v>
      </c>
    </row>
    <row r="302" spans="1:6" x14ac:dyDescent="0.15">
      <c r="A302" s="5" t="s">
        <v>35</v>
      </c>
      <c r="B302" s="5" t="s">
        <v>2819</v>
      </c>
      <c r="C302" s="9">
        <v>42557</v>
      </c>
      <c r="D302" s="5" t="s">
        <v>16</v>
      </c>
      <c r="E302" s="5" t="s">
        <v>2820</v>
      </c>
      <c r="F302" s="6">
        <v>1950</v>
      </c>
    </row>
    <row r="303" spans="1:6" x14ac:dyDescent="0.15">
      <c r="A303" s="5" t="s">
        <v>49</v>
      </c>
      <c r="B303" s="5" t="s">
        <v>8622</v>
      </c>
      <c r="C303" s="9">
        <v>42558</v>
      </c>
      <c r="D303" s="5" t="s">
        <v>16</v>
      </c>
      <c r="E303" s="5" t="s">
        <v>8623</v>
      </c>
      <c r="F303" s="6">
        <v>700</v>
      </c>
    </row>
    <row r="304" spans="1:6" x14ac:dyDescent="0.15">
      <c r="A304" s="5" t="s">
        <v>49</v>
      </c>
      <c r="B304" s="5" t="s">
        <v>8624</v>
      </c>
      <c r="C304" s="9">
        <v>42558</v>
      </c>
      <c r="D304" s="5" t="s">
        <v>16</v>
      </c>
      <c r="E304" s="5" t="s">
        <v>8625</v>
      </c>
      <c r="F304" s="6">
        <v>-700</v>
      </c>
    </row>
    <row r="305" spans="1:6" x14ac:dyDescent="0.15">
      <c r="A305" s="5" t="s">
        <v>55</v>
      </c>
      <c r="B305" s="5" t="s">
        <v>4470</v>
      </c>
      <c r="C305" s="9">
        <v>42558</v>
      </c>
      <c r="D305" s="5" t="s">
        <v>16</v>
      </c>
      <c r="E305" s="5" t="s">
        <v>2822</v>
      </c>
      <c r="F305" s="6">
        <v>1000</v>
      </c>
    </row>
    <row r="306" spans="1:6" x14ac:dyDescent="0.15">
      <c r="A306" s="5" t="s">
        <v>37</v>
      </c>
      <c r="B306" s="5" t="s">
        <v>6329</v>
      </c>
      <c r="C306" s="9">
        <v>42558</v>
      </c>
      <c r="D306" s="5" t="s">
        <v>16</v>
      </c>
      <c r="E306" s="5" t="s">
        <v>2822</v>
      </c>
      <c r="F306" s="6">
        <v>2535</v>
      </c>
    </row>
    <row r="307" spans="1:6" x14ac:dyDescent="0.15">
      <c r="A307" s="5" t="s">
        <v>35</v>
      </c>
      <c r="B307" s="5" t="s">
        <v>2821</v>
      </c>
      <c r="C307" s="9">
        <v>42558</v>
      </c>
      <c r="D307" s="5" t="s">
        <v>16</v>
      </c>
      <c r="E307" s="5" t="s">
        <v>2822</v>
      </c>
      <c r="F307" s="6">
        <v>2535</v>
      </c>
    </row>
    <row r="308" spans="1:6" x14ac:dyDescent="0.15">
      <c r="A308" s="5" t="s">
        <v>35</v>
      </c>
      <c r="B308" s="5" t="s">
        <v>2812</v>
      </c>
      <c r="C308" s="9">
        <v>42556</v>
      </c>
      <c r="D308" s="5" t="s">
        <v>16</v>
      </c>
      <c r="E308" s="5" t="s">
        <v>1774</v>
      </c>
      <c r="F308" s="6">
        <v>7507.5</v>
      </c>
    </row>
    <row r="309" spans="1:6" x14ac:dyDescent="0.15">
      <c r="A309" s="5" t="s">
        <v>40</v>
      </c>
      <c r="B309" s="5" t="s">
        <v>2317</v>
      </c>
      <c r="C309" s="9">
        <v>42556</v>
      </c>
      <c r="D309" s="5" t="s">
        <v>16</v>
      </c>
      <c r="E309" s="5" t="s">
        <v>1774</v>
      </c>
      <c r="F309" s="6">
        <v>2400</v>
      </c>
    </row>
    <row r="310" spans="1:6" x14ac:dyDescent="0.15">
      <c r="A310" s="5" t="s">
        <v>41</v>
      </c>
      <c r="B310" s="5" t="s">
        <v>1773</v>
      </c>
      <c r="C310" s="9">
        <v>42556</v>
      </c>
      <c r="D310" s="5" t="s">
        <v>16</v>
      </c>
      <c r="E310" s="5" t="s">
        <v>1774</v>
      </c>
      <c r="F310" s="6">
        <v>2425</v>
      </c>
    </row>
    <row r="311" spans="1:6" x14ac:dyDescent="0.15">
      <c r="A311" s="5" t="s">
        <v>37</v>
      </c>
      <c r="B311" s="5" t="s">
        <v>6327</v>
      </c>
      <c r="C311" s="9">
        <v>42557</v>
      </c>
      <c r="D311" s="5" t="s">
        <v>16</v>
      </c>
      <c r="E311" s="5" t="s">
        <v>6328</v>
      </c>
      <c r="F311" s="6">
        <v>1950</v>
      </c>
    </row>
    <row r="312" spans="1:6" x14ac:dyDescent="0.15">
      <c r="A312" s="5" t="s">
        <v>37</v>
      </c>
      <c r="B312" s="5" t="s">
        <v>6320</v>
      </c>
      <c r="C312" s="9">
        <v>42552</v>
      </c>
      <c r="D312" s="5" t="s">
        <v>16</v>
      </c>
      <c r="E312" s="5" t="s">
        <v>6321</v>
      </c>
      <c r="F312" s="6">
        <v>975</v>
      </c>
    </row>
    <row r="313" spans="1:6" x14ac:dyDescent="0.15">
      <c r="A313" s="5" t="s">
        <v>35</v>
      </c>
      <c r="B313" s="5" t="s">
        <v>2811</v>
      </c>
      <c r="C313" s="9">
        <v>42552</v>
      </c>
      <c r="D313" s="5" t="s">
        <v>16</v>
      </c>
      <c r="E313" s="5" t="s">
        <v>1772</v>
      </c>
      <c r="F313" s="6">
        <v>1560</v>
      </c>
    </row>
    <row r="314" spans="1:6" x14ac:dyDescent="0.15">
      <c r="A314" s="5" t="s">
        <v>41</v>
      </c>
      <c r="B314" s="5" t="s">
        <v>1771</v>
      </c>
      <c r="C314" s="9">
        <v>42552</v>
      </c>
      <c r="D314" s="5" t="s">
        <v>16</v>
      </c>
      <c r="E314" s="5" t="s">
        <v>1772</v>
      </c>
      <c r="F314" s="6">
        <v>776</v>
      </c>
    </row>
    <row r="315" spans="1:6" x14ac:dyDescent="0.15">
      <c r="A315" s="5" t="s">
        <v>41</v>
      </c>
      <c r="B315" s="5" t="s">
        <v>1775</v>
      </c>
      <c r="C315" s="9">
        <v>42558</v>
      </c>
      <c r="D315" s="5" t="s">
        <v>16</v>
      </c>
      <c r="E315" s="5" t="s">
        <v>1776</v>
      </c>
      <c r="F315" s="6">
        <v>1940</v>
      </c>
    </row>
    <row r="316" spans="1:6" x14ac:dyDescent="0.15">
      <c r="A316" s="5" t="s">
        <v>43</v>
      </c>
      <c r="B316" s="5" t="s">
        <v>4592</v>
      </c>
      <c r="C316" s="9">
        <v>42558</v>
      </c>
      <c r="D316" s="5" t="s">
        <v>16</v>
      </c>
      <c r="E316" s="5" t="s">
        <v>1776</v>
      </c>
      <c r="F316" s="6">
        <v>1940</v>
      </c>
    </row>
    <row r="317" spans="1:6" x14ac:dyDescent="0.15">
      <c r="A317" s="5" t="s">
        <v>37</v>
      </c>
      <c r="B317" s="5" t="s">
        <v>6330</v>
      </c>
      <c r="C317" s="9">
        <v>42558</v>
      </c>
      <c r="D317" s="5" t="s">
        <v>16</v>
      </c>
      <c r="E317" s="5" t="s">
        <v>4594</v>
      </c>
      <c r="F317" s="6">
        <v>195</v>
      </c>
    </row>
    <row r="318" spans="1:6" x14ac:dyDescent="0.15">
      <c r="A318" s="5" t="s">
        <v>43</v>
      </c>
      <c r="B318" s="5" t="s">
        <v>4593</v>
      </c>
      <c r="C318" s="9">
        <v>42558</v>
      </c>
      <c r="D318" s="5" t="s">
        <v>16</v>
      </c>
      <c r="E318" s="5" t="s">
        <v>4594</v>
      </c>
      <c r="F318" s="6">
        <v>97</v>
      </c>
    </row>
    <row r="319" spans="1:6" x14ac:dyDescent="0.15">
      <c r="A319" s="5" t="s">
        <v>37</v>
      </c>
      <c r="B319" s="5" t="s">
        <v>6331</v>
      </c>
      <c r="C319" s="9">
        <v>42559</v>
      </c>
      <c r="D319" s="5" t="s">
        <v>16</v>
      </c>
      <c r="E319" s="5" t="s">
        <v>4596</v>
      </c>
      <c r="F319" s="6">
        <v>975</v>
      </c>
    </row>
    <row r="320" spans="1:6" x14ac:dyDescent="0.15">
      <c r="A320" s="5" t="s">
        <v>43</v>
      </c>
      <c r="B320" s="5" t="s">
        <v>4595</v>
      </c>
      <c r="C320" s="9">
        <v>42559</v>
      </c>
      <c r="D320" s="5" t="s">
        <v>16</v>
      </c>
      <c r="E320" s="5" t="s">
        <v>4596</v>
      </c>
      <c r="F320" s="6">
        <v>194</v>
      </c>
    </row>
    <row r="321" spans="1:6" x14ac:dyDescent="0.15">
      <c r="A321" s="5" t="s">
        <v>37</v>
      </c>
      <c r="B321" s="5" t="s">
        <v>6332</v>
      </c>
      <c r="C321" s="9">
        <v>42562</v>
      </c>
      <c r="D321" s="5" t="s">
        <v>16</v>
      </c>
      <c r="E321" s="5" t="s">
        <v>6333</v>
      </c>
      <c r="F321" s="6">
        <v>14625</v>
      </c>
    </row>
    <row r="322" spans="1:6" x14ac:dyDescent="0.15">
      <c r="A322" s="5" t="s">
        <v>44</v>
      </c>
      <c r="B322" s="5" t="s">
        <v>4315</v>
      </c>
      <c r="C322" s="9">
        <v>42565</v>
      </c>
      <c r="D322" s="5" t="s">
        <v>16</v>
      </c>
      <c r="E322" s="5" t="s">
        <v>4316</v>
      </c>
      <c r="F322" s="6">
        <v>7800</v>
      </c>
    </row>
    <row r="323" spans="1:6" x14ac:dyDescent="0.15">
      <c r="A323" s="5" t="s">
        <v>43</v>
      </c>
      <c r="B323" s="5" t="s">
        <v>4598</v>
      </c>
      <c r="C323" s="9">
        <v>42565</v>
      </c>
      <c r="D323" s="5" t="s">
        <v>16</v>
      </c>
      <c r="E323" s="5" t="s">
        <v>4316</v>
      </c>
      <c r="F323" s="6">
        <v>1940</v>
      </c>
    </row>
    <row r="324" spans="1:6" x14ac:dyDescent="0.15">
      <c r="A324" s="5" t="s">
        <v>37</v>
      </c>
      <c r="B324" s="5" t="s">
        <v>6337</v>
      </c>
      <c r="C324" s="9">
        <v>42565</v>
      </c>
      <c r="D324" s="5" t="s">
        <v>16</v>
      </c>
      <c r="E324" s="5" t="s">
        <v>4316</v>
      </c>
      <c r="F324" s="6">
        <v>3900</v>
      </c>
    </row>
    <row r="325" spans="1:6" x14ac:dyDescent="0.15">
      <c r="A325" s="5" t="s">
        <v>37</v>
      </c>
      <c r="B325" s="5" t="s">
        <v>6334</v>
      </c>
      <c r="C325" s="9">
        <v>42562</v>
      </c>
      <c r="D325" s="5" t="s">
        <v>16</v>
      </c>
      <c r="E325" s="5" t="s">
        <v>6335</v>
      </c>
      <c r="F325" s="6">
        <v>780</v>
      </c>
    </row>
    <row r="326" spans="1:6" x14ac:dyDescent="0.15">
      <c r="A326" s="5" t="s">
        <v>37</v>
      </c>
      <c r="B326" s="5" t="s">
        <v>6336</v>
      </c>
      <c r="C326" s="9">
        <v>42562</v>
      </c>
      <c r="D326" s="5" t="s">
        <v>16</v>
      </c>
      <c r="E326" s="5" t="s">
        <v>2825</v>
      </c>
      <c r="F326" s="6">
        <v>3607.5</v>
      </c>
    </row>
    <row r="327" spans="1:6" x14ac:dyDescent="0.15">
      <c r="A327" s="5" t="s">
        <v>35</v>
      </c>
      <c r="B327" s="5" t="s">
        <v>2824</v>
      </c>
      <c r="C327" s="9">
        <v>42562</v>
      </c>
      <c r="D327" s="5" t="s">
        <v>16</v>
      </c>
      <c r="E327" s="5" t="s">
        <v>2825</v>
      </c>
      <c r="F327" s="6">
        <v>2437.5</v>
      </c>
    </row>
    <row r="328" spans="1:6" x14ac:dyDescent="0.15">
      <c r="A328" s="5" t="s">
        <v>53</v>
      </c>
      <c r="B328" s="5" t="s">
        <v>8396</v>
      </c>
      <c r="C328" s="9">
        <v>42562</v>
      </c>
      <c r="D328" s="5" t="s">
        <v>16</v>
      </c>
      <c r="E328" s="5" t="s">
        <v>8397</v>
      </c>
      <c r="F328" s="6">
        <v>24570</v>
      </c>
    </row>
    <row r="329" spans="1:6" x14ac:dyDescent="0.15">
      <c r="A329" s="5" t="s">
        <v>41</v>
      </c>
      <c r="B329" s="5" t="s">
        <v>1779</v>
      </c>
      <c r="C329" s="9">
        <v>42565</v>
      </c>
      <c r="D329" s="5" t="s">
        <v>16</v>
      </c>
      <c r="E329" s="5" t="s">
        <v>1780</v>
      </c>
      <c r="F329" s="6">
        <v>194</v>
      </c>
    </row>
    <row r="330" spans="1:6" x14ac:dyDescent="0.15">
      <c r="A330" s="5" t="s">
        <v>41</v>
      </c>
      <c r="B330" s="5" t="s">
        <v>1781</v>
      </c>
      <c r="C330" s="9">
        <v>42565</v>
      </c>
      <c r="D330" s="5" t="s">
        <v>16</v>
      </c>
      <c r="E330" s="5" t="s">
        <v>1782</v>
      </c>
      <c r="F330" s="6">
        <v>-194</v>
      </c>
    </row>
    <row r="331" spans="1:6" x14ac:dyDescent="0.15">
      <c r="A331" s="5" t="s">
        <v>41</v>
      </c>
      <c r="B331" s="5" t="s">
        <v>1783</v>
      </c>
      <c r="C331" s="9">
        <v>42565</v>
      </c>
      <c r="D331" s="5" t="s">
        <v>16</v>
      </c>
      <c r="E331" s="5" t="s">
        <v>1784</v>
      </c>
      <c r="F331" s="6">
        <v>291</v>
      </c>
    </row>
    <row r="332" spans="1:6" x14ac:dyDescent="0.15">
      <c r="A332" s="5" t="s">
        <v>35</v>
      </c>
      <c r="B332" s="5" t="s">
        <v>2826</v>
      </c>
      <c r="C332" s="9">
        <v>42565</v>
      </c>
      <c r="D332" s="5" t="s">
        <v>16</v>
      </c>
      <c r="E332" s="5" t="s">
        <v>2319</v>
      </c>
      <c r="F332" s="6">
        <v>292.5</v>
      </c>
    </row>
    <row r="333" spans="1:6" x14ac:dyDescent="0.15">
      <c r="A333" s="5" t="s">
        <v>40</v>
      </c>
      <c r="B333" s="5" t="s">
        <v>2318</v>
      </c>
      <c r="C333" s="9">
        <v>42565</v>
      </c>
      <c r="D333" s="5" t="s">
        <v>16</v>
      </c>
      <c r="E333" s="5" t="s">
        <v>2319</v>
      </c>
      <c r="F333" s="6">
        <v>1200</v>
      </c>
    </row>
    <row r="334" spans="1:6" x14ac:dyDescent="0.15">
      <c r="A334" s="5" t="s">
        <v>63</v>
      </c>
      <c r="B334" s="5" t="s">
        <v>2250</v>
      </c>
      <c r="C334" s="9">
        <v>42565</v>
      </c>
      <c r="D334" s="5" t="s">
        <v>16</v>
      </c>
      <c r="E334" s="5" t="s">
        <v>2251</v>
      </c>
      <c r="F334" s="6">
        <v>194</v>
      </c>
    </row>
    <row r="335" spans="1:6" x14ac:dyDescent="0.15">
      <c r="A335" s="5" t="s">
        <v>37</v>
      </c>
      <c r="B335" s="5" t="s">
        <v>6338</v>
      </c>
      <c r="C335" s="9">
        <v>42565</v>
      </c>
      <c r="D335" s="5" t="s">
        <v>16</v>
      </c>
      <c r="E335" s="5" t="s">
        <v>6339</v>
      </c>
      <c r="F335" s="6">
        <v>682.5</v>
      </c>
    </row>
    <row r="336" spans="1:6" x14ac:dyDescent="0.15">
      <c r="A336" s="5" t="s">
        <v>37</v>
      </c>
      <c r="B336" s="5" t="s">
        <v>6340</v>
      </c>
      <c r="C336" s="9">
        <v>42565</v>
      </c>
      <c r="D336" s="5" t="s">
        <v>16</v>
      </c>
      <c r="E336" s="5" t="s">
        <v>2828</v>
      </c>
      <c r="F336" s="6">
        <v>6142.5</v>
      </c>
    </row>
    <row r="337" spans="1:6" x14ac:dyDescent="0.15">
      <c r="A337" s="5" t="s">
        <v>35</v>
      </c>
      <c r="B337" s="5" t="s">
        <v>2827</v>
      </c>
      <c r="C337" s="9">
        <v>42565</v>
      </c>
      <c r="D337" s="5" t="s">
        <v>16</v>
      </c>
      <c r="E337" s="5" t="s">
        <v>2828</v>
      </c>
      <c r="F337" s="6">
        <v>4095</v>
      </c>
    </row>
    <row r="338" spans="1:6" x14ac:dyDescent="0.15">
      <c r="A338" s="5" t="s">
        <v>53</v>
      </c>
      <c r="B338" s="5" t="s">
        <v>8398</v>
      </c>
      <c r="C338" s="9">
        <v>42566</v>
      </c>
      <c r="D338" s="5" t="s">
        <v>16</v>
      </c>
      <c r="E338" s="5" t="s">
        <v>2830</v>
      </c>
      <c r="F338" s="6">
        <v>15600</v>
      </c>
    </row>
    <row r="339" spans="1:6" x14ac:dyDescent="0.15">
      <c r="A339" s="5" t="s">
        <v>35</v>
      </c>
      <c r="B339" s="5" t="s">
        <v>2829</v>
      </c>
      <c r="C339" s="9">
        <v>42566</v>
      </c>
      <c r="D339" s="5" t="s">
        <v>16</v>
      </c>
      <c r="E339" s="5" t="s">
        <v>2830</v>
      </c>
      <c r="F339" s="6">
        <v>9750</v>
      </c>
    </row>
    <row r="340" spans="1:6" x14ac:dyDescent="0.15">
      <c r="A340" s="5" t="s">
        <v>37</v>
      </c>
      <c r="B340" s="5" t="s">
        <v>6341</v>
      </c>
      <c r="C340" s="9">
        <v>42566</v>
      </c>
      <c r="D340" s="5" t="s">
        <v>16</v>
      </c>
      <c r="E340" s="5" t="s">
        <v>6342</v>
      </c>
      <c r="F340" s="6">
        <v>1950</v>
      </c>
    </row>
    <row r="341" spans="1:6" x14ac:dyDescent="0.15">
      <c r="A341" s="5" t="s">
        <v>49</v>
      </c>
      <c r="B341" s="5" t="s">
        <v>8626</v>
      </c>
      <c r="C341" s="9">
        <v>42566</v>
      </c>
      <c r="D341" s="5" t="s">
        <v>16</v>
      </c>
      <c r="E341" s="5" t="s">
        <v>8627</v>
      </c>
      <c r="F341" s="6">
        <v>26</v>
      </c>
    </row>
    <row r="342" spans="1:6" x14ac:dyDescent="0.15">
      <c r="A342" s="5" t="s">
        <v>35</v>
      </c>
      <c r="B342" s="5" t="s">
        <v>2831</v>
      </c>
      <c r="C342" s="9">
        <v>42566</v>
      </c>
      <c r="D342" s="5" t="s">
        <v>16</v>
      </c>
      <c r="E342" s="5" t="s">
        <v>2832</v>
      </c>
      <c r="F342" s="6">
        <v>1365</v>
      </c>
    </row>
    <row r="343" spans="1:6" x14ac:dyDescent="0.15">
      <c r="A343" s="5" t="s">
        <v>35</v>
      </c>
      <c r="B343" s="5" t="s">
        <v>2833</v>
      </c>
      <c r="C343" s="9">
        <v>42566</v>
      </c>
      <c r="D343" s="5" t="s">
        <v>16</v>
      </c>
      <c r="E343" s="5" t="s">
        <v>2834</v>
      </c>
      <c r="F343" s="6">
        <v>195</v>
      </c>
    </row>
    <row r="344" spans="1:6" x14ac:dyDescent="0.15">
      <c r="A344" s="5" t="s">
        <v>35</v>
      </c>
      <c r="B344" s="5" t="s">
        <v>2835</v>
      </c>
      <c r="C344" s="9">
        <v>42566</v>
      </c>
      <c r="D344" s="5" t="s">
        <v>16</v>
      </c>
      <c r="E344" s="5" t="s">
        <v>2836</v>
      </c>
      <c r="F344" s="6">
        <v>2730</v>
      </c>
    </row>
    <row r="345" spans="1:6" x14ac:dyDescent="0.15">
      <c r="A345" s="5" t="s">
        <v>37</v>
      </c>
      <c r="B345" s="5" t="s">
        <v>6343</v>
      </c>
      <c r="C345" s="9">
        <v>42569</v>
      </c>
      <c r="D345" s="5" t="s">
        <v>16</v>
      </c>
      <c r="E345" s="5" t="s">
        <v>6344</v>
      </c>
      <c r="F345" s="6">
        <v>2925</v>
      </c>
    </row>
    <row r="346" spans="1:6" x14ac:dyDescent="0.15">
      <c r="A346" s="5" t="s">
        <v>37</v>
      </c>
      <c r="B346" s="5" t="s">
        <v>6347</v>
      </c>
      <c r="C346" s="9">
        <v>42570</v>
      </c>
      <c r="D346" s="5" t="s">
        <v>16</v>
      </c>
      <c r="E346" s="5" t="s">
        <v>6348</v>
      </c>
      <c r="F346" s="6">
        <v>5850</v>
      </c>
    </row>
    <row r="347" spans="1:6" x14ac:dyDescent="0.15">
      <c r="A347" s="5" t="s">
        <v>49</v>
      </c>
      <c r="B347" s="5" t="s">
        <v>8628</v>
      </c>
      <c r="C347" s="9">
        <v>42573</v>
      </c>
      <c r="D347" s="5" t="s">
        <v>16</v>
      </c>
      <c r="E347" s="5" t="s">
        <v>8629</v>
      </c>
      <c r="F347" s="6">
        <v>500</v>
      </c>
    </row>
    <row r="348" spans="1:6" x14ac:dyDescent="0.15">
      <c r="A348" s="5" t="s">
        <v>37</v>
      </c>
      <c r="B348" s="5" t="s">
        <v>6345</v>
      </c>
      <c r="C348" s="9">
        <v>42569</v>
      </c>
      <c r="D348" s="5" t="s">
        <v>16</v>
      </c>
      <c r="E348" s="5" t="s">
        <v>6346</v>
      </c>
      <c r="F348" s="6">
        <v>1560</v>
      </c>
    </row>
    <row r="349" spans="1:6" x14ac:dyDescent="0.15">
      <c r="A349" s="5" t="s">
        <v>37</v>
      </c>
      <c r="B349" s="5" t="s">
        <v>6349</v>
      </c>
      <c r="C349" s="9">
        <v>42571</v>
      </c>
      <c r="D349" s="5" t="s">
        <v>16</v>
      </c>
      <c r="E349" s="5" t="s">
        <v>6350</v>
      </c>
      <c r="F349" s="6">
        <v>4777.5</v>
      </c>
    </row>
    <row r="350" spans="1:6" x14ac:dyDescent="0.15">
      <c r="A350" s="5" t="s">
        <v>37</v>
      </c>
      <c r="B350" s="5" t="s">
        <v>6351</v>
      </c>
      <c r="C350" s="9">
        <v>42571</v>
      </c>
      <c r="D350" s="5" t="s">
        <v>16</v>
      </c>
      <c r="E350" s="5" t="s">
        <v>6352</v>
      </c>
      <c r="F350" s="6">
        <v>3412.5</v>
      </c>
    </row>
    <row r="351" spans="1:6" x14ac:dyDescent="0.15">
      <c r="A351" s="5" t="s">
        <v>43</v>
      </c>
      <c r="B351" s="5" t="s">
        <v>4599</v>
      </c>
      <c r="C351" s="9">
        <v>42572</v>
      </c>
      <c r="D351" s="5" t="s">
        <v>16</v>
      </c>
      <c r="E351" s="5" t="s">
        <v>4600</v>
      </c>
      <c r="F351" s="6">
        <v>48.5</v>
      </c>
    </row>
    <row r="352" spans="1:6" x14ac:dyDescent="0.15">
      <c r="A352" s="5" t="s">
        <v>35</v>
      </c>
      <c r="B352" s="5" t="s">
        <v>2837</v>
      </c>
      <c r="C352" s="9">
        <v>42573</v>
      </c>
      <c r="D352" s="5" t="s">
        <v>16</v>
      </c>
      <c r="E352" s="5" t="s">
        <v>2838</v>
      </c>
      <c r="F352" s="6">
        <v>390</v>
      </c>
    </row>
    <row r="353" spans="1:6" x14ac:dyDescent="0.15">
      <c r="A353" s="5" t="s">
        <v>55</v>
      </c>
      <c r="B353" s="5" t="s">
        <v>4471</v>
      </c>
      <c r="C353" s="9">
        <v>42573</v>
      </c>
      <c r="D353" s="5" t="s">
        <v>16</v>
      </c>
      <c r="E353" s="5" t="s">
        <v>2838</v>
      </c>
      <c r="F353" s="6">
        <v>3000</v>
      </c>
    </row>
    <row r="354" spans="1:6" x14ac:dyDescent="0.15">
      <c r="A354" s="5" t="s">
        <v>35</v>
      </c>
      <c r="B354" s="5" t="s">
        <v>2843</v>
      </c>
      <c r="C354" s="9">
        <v>42576</v>
      </c>
      <c r="D354" s="5" t="s">
        <v>16</v>
      </c>
      <c r="E354" s="5" t="s">
        <v>2321</v>
      </c>
      <c r="F354" s="6">
        <v>2047.5</v>
      </c>
    </row>
    <row r="355" spans="1:6" x14ac:dyDescent="0.15">
      <c r="A355" s="5" t="s">
        <v>40</v>
      </c>
      <c r="B355" s="5" t="s">
        <v>2320</v>
      </c>
      <c r="C355" s="9">
        <v>42576</v>
      </c>
      <c r="D355" s="5" t="s">
        <v>16</v>
      </c>
      <c r="E355" s="5" t="s">
        <v>2321</v>
      </c>
      <c r="F355" s="6">
        <v>600</v>
      </c>
    </row>
    <row r="356" spans="1:6" x14ac:dyDescent="0.15">
      <c r="A356" s="5" t="s">
        <v>37</v>
      </c>
      <c r="B356" s="5" t="s">
        <v>6353</v>
      </c>
      <c r="C356" s="9">
        <v>42573</v>
      </c>
      <c r="D356" s="5" t="s">
        <v>16</v>
      </c>
      <c r="E356" s="5" t="s">
        <v>4602</v>
      </c>
      <c r="F356" s="6">
        <v>6045</v>
      </c>
    </row>
    <row r="357" spans="1:6" x14ac:dyDescent="0.15">
      <c r="A357" s="5" t="s">
        <v>42</v>
      </c>
      <c r="B357" s="5" t="s">
        <v>5755</v>
      </c>
      <c r="C357" s="9">
        <v>42573</v>
      </c>
      <c r="D357" s="5" t="s">
        <v>16</v>
      </c>
      <c r="E357" s="5" t="s">
        <v>4602</v>
      </c>
      <c r="F357" s="6">
        <v>1125</v>
      </c>
    </row>
    <row r="358" spans="1:6" x14ac:dyDescent="0.15">
      <c r="A358" s="5" t="s">
        <v>43</v>
      </c>
      <c r="B358" s="5" t="s">
        <v>4601</v>
      </c>
      <c r="C358" s="9">
        <v>42573</v>
      </c>
      <c r="D358" s="5" t="s">
        <v>16</v>
      </c>
      <c r="E358" s="5" t="s">
        <v>4602</v>
      </c>
      <c r="F358" s="6">
        <v>727.5</v>
      </c>
    </row>
    <row r="359" spans="1:6" x14ac:dyDescent="0.15">
      <c r="A359" s="5" t="s">
        <v>37</v>
      </c>
      <c r="B359" s="5" t="s">
        <v>6354</v>
      </c>
      <c r="C359" s="9">
        <v>42573</v>
      </c>
      <c r="D359" s="5" t="s">
        <v>16</v>
      </c>
      <c r="E359" s="5" t="s">
        <v>6355</v>
      </c>
      <c r="F359" s="6">
        <v>1950</v>
      </c>
    </row>
    <row r="360" spans="1:6" x14ac:dyDescent="0.15">
      <c r="A360" s="5" t="s">
        <v>35</v>
      </c>
      <c r="B360" s="5" t="s">
        <v>2839</v>
      </c>
      <c r="C360" s="9">
        <v>42573</v>
      </c>
      <c r="D360" s="5" t="s">
        <v>16</v>
      </c>
      <c r="E360" s="5" t="s">
        <v>2840</v>
      </c>
      <c r="F360" s="6">
        <v>-390</v>
      </c>
    </row>
    <row r="361" spans="1:6" x14ac:dyDescent="0.15">
      <c r="A361" s="5" t="s">
        <v>55</v>
      </c>
      <c r="B361" s="5" t="s">
        <v>4472</v>
      </c>
      <c r="C361" s="9">
        <v>42573</v>
      </c>
      <c r="D361" s="5" t="s">
        <v>16</v>
      </c>
      <c r="E361" s="5" t="s">
        <v>2840</v>
      </c>
      <c r="F361" s="6">
        <v>-3000</v>
      </c>
    </row>
    <row r="362" spans="1:6" x14ac:dyDescent="0.15">
      <c r="A362" s="5" t="s">
        <v>35</v>
      </c>
      <c r="B362" s="5" t="s">
        <v>2841</v>
      </c>
      <c r="C362" s="9">
        <v>42573</v>
      </c>
      <c r="D362" s="5" t="s">
        <v>16</v>
      </c>
      <c r="E362" s="5" t="s">
        <v>2842</v>
      </c>
      <c r="F362" s="6">
        <v>390</v>
      </c>
    </row>
    <row r="363" spans="1:6" x14ac:dyDescent="0.15">
      <c r="A363" s="5" t="s">
        <v>55</v>
      </c>
      <c r="B363" s="5" t="s">
        <v>4473</v>
      </c>
      <c r="C363" s="9">
        <v>42573</v>
      </c>
      <c r="D363" s="5" t="s">
        <v>16</v>
      </c>
      <c r="E363" s="5" t="s">
        <v>2842</v>
      </c>
      <c r="F363" s="6">
        <v>2800</v>
      </c>
    </row>
    <row r="364" spans="1:6" x14ac:dyDescent="0.15">
      <c r="A364" s="5" t="s">
        <v>37</v>
      </c>
      <c r="B364" s="5" t="s">
        <v>6356</v>
      </c>
      <c r="C364" s="9">
        <v>42577</v>
      </c>
      <c r="D364" s="5" t="s">
        <v>16</v>
      </c>
      <c r="E364" s="5" t="s">
        <v>2846</v>
      </c>
      <c r="F364" s="6">
        <v>4875</v>
      </c>
    </row>
    <row r="365" spans="1:6" x14ac:dyDescent="0.15">
      <c r="A365" s="5" t="s">
        <v>35</v>
      </c>
      <c r="B365" s="5" t="s">
        <v>2845</v>
      </c>
      <c r="C365" s="9">
        <v>42577</v>
      </c>
      <c r="D365" s="5" t="s">
        <v>16</v>
      </c>
      <c r="E365" s="5" t="s">
        <v>2846</v>
      </c>
      <c r="F365" s="6">
        <v>975</v>
      </c>
    </row>
    <row r="366" spans="1:6" x14ac:dyDescent="0.15">
      <c r="A366" s="5" t="s">
        <v>35</v>
      </c>
      <c r="B366" s="5" t="s">
        <v>2847</v>
      </c>
      <c r="C366" s="9">
        <v>42577</v>
      </c>
      <c r="D366" s="5" t="s">
        <v>16</v>
      </c>
      <c r="E366" s="5" t="s">
        <v>2848</v>
      </c>
      <c r="F366" s="6">
        <v>97.5</v>
      </c>
    </row>
    <row r="367" spans="1:6" x14ac:dyDescent="0.15">
      <c r="A367" s="5" t="s">
        <v>35</v>
      </c>
      <c r="B367" s="5" t="s">
        <v>2849</v>
      </c>
      <c r="C367" s="9">
        <v>42578</v>
      </c>
      <c r="D367" s="5" t="s">
        <v>16</v>
      </c>
      <c r="E367" s="5" t="s">
        <v>2850</v>
      </c>
      <c r="F367" s="6">
        <v>390</v>
      </c>
    </row>
    <row r="368" spans="1:6" x14ac:dyDescent="0.15">
      <c r="A368" s="5" t="s">
        <v>37</v>
      </c>
      <c r="B368" s="5" t="s">
        <v>6357</v>
      </c>
      <c r="C368" s="9">
        <v>42578</v>
      </c>
      <c r="D368" s="5" t="s">
        <v>16</v>
      </c>
      <c r="E368" s="5" t="s">
        <v>6358</v>
      </c>
      <c r="F368" s="6">
        <v>3022.5</v>
      </c>
    </row>
    <row r="369" spans="1:6" x14ac:dyDescent="0.15">
      <c r="A369" s="5" t="s">
        <v>35</v>
      </c>
      <c r="B369" s="5" t="s">
        <v>2844</v>
      </c>
      <c r="C369" s="9">
        <v>42576</v>
      </c>
      <c r="D369" s="5" t="s">
        <v>16</v>
      </c>
      <c r="E369" s="5" t="s">
        <v>2323</v>
      </c>
      <c r="F369" s="6">
        <v>4582.5</v>
      </c>
    </row>
    <row r="370" spans="1:6" x14ac:dyDescent="0.15">
      <c r="A370" s="5" t="s">
        <v>40</v>
      </c>
      <c r="B370" s="5" t="s">
        <v>2322</v>
      </c>
      <c r="C370" s="9">
        <v>42576</v>
      </c>
      <c r="D370" s="5" t="s">
        <v>16</v>
      </c>
      <c r="E370" s="5" t="s">
        <v>2323</v>
      </c>
      <c r="F370" s="6">
        <v>225</v>
      </c>
    </row>
    <row r="371" spans="1:6" x14ac:dyDescent="0.15">
      <c r="A371" s="5" t="s">
        <v>37</v>
      </c>
      <c r="B371" s="5" t="s">
        <v>6362</v>
      </c>
      <c r="C371" s="9">
        <v>42586</v>
      </c>
      <c r="D371" s="5" t="s">
        <v>16</v>
      </c>
      <c r="E371" s="5" t="s">
        <v>4610</v>
      </c>
      <c r="F371" s="6">
        <v>39000</v>
      </c>
    </row>
    <row r="372" spans="1:6" x14ac:dyDescent="0.15">
      <c r="A372" s="5" t="s">
        <v>43</v>
      </c>
      <c r="B372" s="5" t="s">
        <v>4609</v>
      </c>
      <c r="C372" s="9">
        <v>42586</v>
      </c>
      <c r="D372" s="5" t="s">
        <v>16</v>
      </c>
      <c r="E372" s="5" t="s">
        <v>4610</v>
      </c>
      <c r="F372" s="6">
        <v>11640</v>
      </c>
    </row>
    <row r="373" spans="1:6" x14ac:dyDescent="0.15">
      <c r="A373" s="5" t="s">
        <v>35</v>
      </c>
      <c r="B373" s="5" t="s">
        <v>2861</v>
      </c>
      <c r="C373" s="9">
        <v>42586</v>
      </c>
      <c r="D373" s="5" t="s">
        <v>16</v>
      </c>
      <c r="E373" s="5" t="s">
        <v>2325</v>
      </c>
      <c r="F373" s="6">
        <v>6435</v>
      </c>
    </row>
    <row r="374" spans="1:6" x14ac:dyDescent="0.15">
      <c r="A374" s="5" t="s">
        <v>40</v>
      </c>
      <c r="B374" s="5" t="s">
        <v>2324</v>
      </c>
      <c r="C374" s="9">
        <v>42586</v>
      </c>
      <c r="D374" s="5" t="s">
        <v>16</v>
      </c>
      <c r="E374" s="5" t="s">
        <v>2325</v>
      </c>
      <c r="F374" s="6">
        <v>5775</v>
      </c>
    </row>
    <row r="375" spans="1:6" x14ac:dyDescent="0.15">
      <c r="A375" s="5" t="s">
        <v>43</v>
      </c>
      <c r="B375" s="5" t="s">
        <v>4603</v>
      </c>
      <c r="C375" s="9">
        <v>42584</v>
      </c>
      <c r="D375" s="5" t="s">
        <v>16</v>
      </c>
      <c r="E375" s="5" t="s">
        <v>4604</v>
      </c>
      <c r="F375" s="6">
        <v>1115.5</v>
      </c>
    </row>
    <row r="376" spans="1:6" x14ac:dyDescent="0.15">
      <c r="A376" s="5" t="s">
        <v>35</v>
      </c>
      <c r="B376" s="5" t="s">
        <v>2859</v>
      </c>
      <c r="C376" s="9">
        <v>42585</v>
      </c>
      <c r="D376" s="5" t="s">
        <v>16</v>
      </c>
      <c r="E376" s="5" t="s">
        <v>2860</v>
      </c>
      <c r="F376" s="6">
        <v>97.5</v>
      </c>
    </row>
    <row r="377" spans="1:6" x14ac:dyDescent="0.15">
      <c r="A377" s="5" t="s">
        <v>41</v>
      </c>
      <c r="B377" s="5" t="s">
        <v>1785</v>
      </c>
      <c r="C377" s="9">
        <v>42584</v>
      </c>
      <c r="D377" s="5" t="s">
        <v>16</v>
      </c>
      <c r="E377" s="5" t="s">
        <v>1786</v>
      </c>
      <c r="F377" s="6">
        <v>145.5</v>
      </c>
    </row>
    <row r="378" spans="1:6" x14ac:dyDescent="0.15">
      <c r="A378" s="5" t="s">
        <v>63</v>
      </c>
      <c r="B378" s="5" t="s">
        <v>2252</v>
      </c>
      <c r="C378" s="9">
        <v>42584</v>
      </c>
      <c r="D378" s="5" t="s">
        <v>16</v>
      </c>
      <c r="E378" s="5" t="s">
        <v>1786</v>
      </c>
      <c r="F378" s="6">
        <v>97</v>
      </c>
    </row>
    <row r="379" spans="1:6" x14ac:dyDescent="0.15">
      <c r="A379" s="5" t="s">
        <v>35</v>
      </c>
      <c r="B379" s="5" t="s">
        <v>2851</v>
      </c>
      <c r="C379" s="9">
        <v>42583</v>
      </c>
      <c r="D379" s="5" t="s">
        <v>16</v>
      </c>
      <c r="E379" s="5" t="s">
        <v>2852</v>
      </c>
      <c r="F379" s="6">
        <v>6532.5</v>
      </c>
    </row>
    <row r="380" spans="1:6" x14ac:dyDescent="0.15">
      <c r="A380" s="5" t="s">
        <v>37</v>
      </c>
      <c r="B380" s="5" t="s">
        <v>6359</v>
      </c>
      <c r="C380" s="9">
        <v>42583</v>
      </c>
      <c r="D380" s="5" t="s">
        <v>16</v>
      </c>
      <c r="E380" s="5" t="s">
        <v>6360</v>
      </c>
      <c r="F380" s="6">
        <v>6045</v>
      </c>
    </row>
    <row r="381" spans="1:6" x14ac:dyDescent="0.15">
      <c r="A381" s="5" t="s">
        <v>49</v>
      </c>
      <c r="B381" s="5" t="s">
        <v>8630</v>
      </c>
      <c r="C381" s="9">
        <v>42583</v>
      </c>
      <c r="D381" s="5" t="s">
        <v>16</v>
      </c>
      <c r="E381" s="5" t="s">
        <v>6360</v>
      </c>
      <c r="F381" s="6">
        <v>1200</v>
      </c>
    </row>
    <row r="382" spans="1:6" x14ac:dyDescent="0.15">
      <c r="A382" s="5" t="s">
        <v>35</v>
      </c>
      <c r="B382" s="5" t="s">
        <v>2853</v>
      </c>
      <c r="C382" s="9">
        <v>42583</v>
      </c>
      <c r="D382" s="5" t="s">
        <v>16</v>
      </c>
      <c r="E382" s="5" t="s">
        <v>2854</v>
      </c>
      <c r="F382" s="6">
        <v>4095</v>
      </c>
    </row>
    <row r="383" spans="1:6" x14ac:dyDescent="0.15">
      <c r="A383" s="5" t="s">
        <v>35</v>
      </c>
      <c r="B383" s="5" t="s">
        <v>2855</v>
      </c>
      <c r="C383" s="9">
        <v>42583</v>
      </c>
      <c r="D383" s="5" t="s">
        <v>16</v>
      </c>
      <c r="E383" s="5" t="s">
        <v>2856</v>
      </c>
      <c r="F383" s="6">
        <v>3900</v>
      </c>
    </row>
    <row r="384" spans="1:6" x14ac:dyDescent="0.15">
      <c r="A384" s="5" t="s">
        <v>55</v>
      </c>
      <c r="B384" s="5" t="s">
        <v>4474</v>
      </c>
      <c r="C384" s="9">
        <v>42583</v>
      </c>
      <c r="D384" s="5" t="s">
        <v>16</v>
      </c>
      <c r="E384" s="5" t="s">
        <v>4475</v>
      </c>
      <c r="F384" s="6">
        <v>700</v>
      </c>
    </row>
    <row r="385" spans="1:6" x14ac:dyDescent="0.15">
      <c r="A385" s="5" t="s">
        <v>55</v>
      </c>
      <c r="B385" s="5" t="s">
        <v>4476</v>
      </c>
      <c r="C385" s="9">
        <v>42583</v>
      </c>
      <c r="D385" s="5" t="s">
        <v>16</v>
      </c>
      <c r="E385" s="5" t="s">
        <v>2858</v>
      </c>
      <c r="F385" s="6">
        <v>300</v>
      </c>
    </row>
    <row r="386" spans="1:6" x14ac:dyDescent="0.15">
      <c r="A386" s="5" t="s">
        <v>35</v>
      </c>
      <c r="B386" s="5" t="s">
        <v>2857</v>
      </c>
      <c r="C386" s="9">
        <v>42583</v>
      </c>
      <c r="D386" s="5" t="s">
        <v>16</v>
      </c>
      <c r="E386" s="5" t="s">
        <v>2858</v>
      </c>
      <c r="F386" s="6">
        <v>975</v>
      </c>
    </row>
    <row r="387" spans="1:6" x14ac:dyDescent="0.15">
      <c r="A387" s="5" t="s">
        <v>37</v>
      </c>
      <c r="B387" s="5" t="s">
        <v>6363</v>
      </c>
      <c r="C387" s="9">
        <v>42586</v>
      </c>
      <c r="D387" s="5" t="s">
        <v>16</v>
      </c>
      <c r="E387" s="5" t="s">
        <v>6364</v>
      </c>
      <c r="F387" s="6">
        <v>3997.5</v>
      </c>
    </row>
    <row r="388" spans="1:6" x14ac:dyDescent="0.15">
      <c r="A388" s="5" t="s">
        <v>43</v>
      </c>
      <c r="B388" s="5" t="s">
        <v>4607</v>
      </c>
      <c r="C388" s="9">
        <v>42585</v>
      </c>
      <c r="D388" s="5" t="s">
        <v>16</v>
      </c>
      <c r="E388" s="5" t="s">
        <v>4608</v>
      </c>
      <c r="F388" s="6">
        <v>242.5</v>
      </c>
    </row>
    <row r="389" spans="1:6" x14ac:dyDescent="0.15">
      <c r="A389" s="5" t="s">
        <v>42</v>
      </c>
      <c r="B389" s="5" t="s">
        <v>5756</v>
      </c>
      <c r="C389" s="9">
        <v>42585</v>
      </c>
      <c r="D389" s="5" t="s">
        <v>16</v>
      </c>
      <c r="E389" s="5" t="s">
        <v>4608</v>
      </c>
      <c r="F389" s="6">
        <v>5100</v>
      </c>
    </row>
    <row r="390" spans="1:6" x14ac:dyDescent="0.15">
      <c r="A390" s="5" t="s">
        <v>37</v>
      </c>
      <c r="B390" s="5" t="s">
        <v>6365</v>
      </c>
      <c r="C390" s="9">
        <v>42586</v>
      </c>
      <c r="D390" s="5" t="s">
        <v>16</v>
      </c>
      <c r="E390" s="5" t="s">
        <v>6366</v>
      </c>
      <c r="F390" s="6">
        <v>3997.5</v>
      </c>
    </row>
    <row r="391" spans="1:6" x14ac:dyDescent="0.15">
      <c r="A391" s="5" t="s">
        <v>37</v>
      </c>
      <c r="B391" s="5" t="s">
        <v>6367</v>
      </c>
      <c r="C391" s="9">
        <v>42586</v>
      </c>
      <c r="D391" s="5" t="s">
        <v>16</v>
      </c>
      <c r="E391" s="5" t="s">
        <v>6368</v>
      </c>
      <c r="F391" s="6">
        <v>585</v>
      </c>
    </row>
    <row r="392" spans="1:6" x14ac:dyDescent="0.15">
      <c r="A392" s="5" t="s">
        <v>43</v>
      </c>
      <c r="B392" s="5" t="s">
        <v>4611</v>
      </c>
      <c r="C392" s="9">
        <v>42586</v>
      </c>
      <c r="D392" s="5" t="s">
        <v>16</v>
      </c>
      <c r="E392" s="5" t="s">
        <v>4612</v>
      </c>
      <c r="F392" s="6">
        <v>145.5</v>
      </c>
    </row>
    <row r="393" spans="1:6" x14ac:dyDescent="0.15">
      <c r="A393" s="5" t="s">
        <v>37</v>
      </c>
      <c r="B393" s="5" t="s">
        <v>6369</v>
      </c>
      <c r="C393" s="9">
        <v>42586</v>
      </c>
      <c r="D393" s="5" t="s">
        <v>16</v>
      </c>
      <c r="E393" s="5" t="s">
        <v>4614</v>
      </c>
      <c r="F393" s="6">
        <v>-39000</v>
      </c>
    </row>
    <row r="394" spans="1:6" x14ac:dyDescent="0.15">
      <c r="A394" s="5" t="s">
        <v>43</v>
      </c>
      <c r="B394" s="5" t="s">
        <v>4613</v>
      </c>
      <c r="C394" s="9">
        <v>42586</v>
      </c>
      <c r="D394" s="5" t="s">
        <v>16</v>
      </c>
      <c r="E394" s="5" t="s">
        <v>4614</v>
      </c>
      <c r="F394" s="6">
        <v>-11640</v>
      </c>
    </row>
    <row r="395" spans="1:6" x14ac:dyDescent="0.15">
      <c r="A395" s="5" t="s">
        <v>37</v>
      </c>
      <c r="B395" s="5" t="s">
        <v>6370</v>
      </c>
      <c r="C395" s="9">
        <v>42586</v>
      </c>
      <c r="D395" s="5" t="s">
        <v>16</v>
      </c>
      <c r="E395" s="5" t="s">
        <v>6371</v>
      </c>
      <c r="F395" s="6">
        <v>25350</v>
      </c>
    </row>
    <row r="396" spans="1:6" x14ac:dyDescent="0.15">
      <c r="A396" s="5" t="s">
        <v>37</v>
      </c>
      <c r="B396" s="5" t="s">
        <v>6372</v>
      </c>
      <c r="C396" s="9">
        <v>42586</v>
      </c>
      <c r="D396" s="5" t="s">
        <v>16</v>
      </c>
      <c r="E396" s="5" t="s">
        <v>4616</v>
      </c>
      <c r="F396" s="6">
        <v>13650</v>
      </c>
    </row>
    <row r="397" spans="1:6" x14ac:dyDescent="0.15">
      <c r="A397" s="5" t="s">
        <v>43</v>
      </c>
      <c r="B397" s="5" t="s">
        <v>4615</v>
      </c>
      <c r="C397" s="9">
        <v>42586</v>
      </c>
      <c r="D397" s="5" t="s">
        <v>16</v>
      </c>
      <c r="E397" s="5" t="s">
        <v>4616</v>
      </c>
      <c r="F397" s="6">
        <v>11640</v>
      </c>
    </row>
    <row r="398" spans="1:6" x14ac:dyDescent="0.15">
      <c r="A398" s="5" t="s">
        <v>35</v>
      </c>
      <c r="B398" s="5" t="s">
        <v>2862</v>
      </c>
      <c r="C398" s="9">
        <v>42586</v>
      </c>
      <c r="D398" s="5" t="s">
        <v>16</v>
      </c>
      <c r="E398" s="5" t="s">
        <v>2863</v>
      </c>
      <c r="F398" s="6">
        <v>585</v>
      </c>
    </row>
    <row r="399" spans="1:6" x14ac:dyDescent="0.15">
      <c r="A399" s="5" t="s">
        <v>37</v>
      </c>
      <c r="B399" s="5" t="s">
        <v>6373</v>
      </c>
      <c r="C399" s="9">
        <v>42587</v>
      </c>
      <c r="D399" s="5" t="s">
        <v>16</v>
      </c>
      <c r="E399" s="5" t="s">
        <v>6374</v>
      </c>
      <c r="F399" s="6">
        <v>7020</v>
      </c>
    </row>
    <row r="400" spans="1:6" x14ac:dyDescent="0.15">
      <c r="A400" s="5" t="s">
        <v>43</v>
      </c>
      <c r="B400" s="5" t="s">
        <v>4617</v>
      </c>
      <c r="C400" s="9">
        <v>42587</v>
      </c>
      <c r="D400" s="5" t="s">
        <v>16</v>
      </c>
      <c r="E400" s="5" t="s">
        <v>4618</v>
      </c>
      <c r="F400" s="6">
        <v>970</v>
      </c>
    </row>
    <row r="401" spans="1:6" x14ac:dyDescent="0.15">
      <c r="A401" s="5" t="s">
        <v>37</v>
      </c>
      <c r="B401" s="5" t="s">
        <v>6375</v>
      </c>
      <c r="C401" s="9">
        <v>42587</v>
      </c>
      <c r="D401" s="5" t="s">
        <v>16</v>
      </c>
      <c r="E401" s="5" t="s">
        <v>6376</v>
      </c>
      <c r="F401" s="6">
        <v>3315</v>
      </c>
    </row>
    <row r="402" spans="1:6" x14ac:dyDescent="0.15">
      <c r="A402" s="5" t="s">
        <v>35</v>
      </c>
      <c r="B402" s="5" t="s">
        <v>2864</v>
      </c>
      <c r="C402" s="9">
        <v>42590</v>
      </c>
      <c r="D402" s="5" t="s">
        <v>16</v>
      </c>
      <c r="E402" s="5" t="s">
        <v>2865</v>
      </c>
      <c r="F402" s="6">
        <v>1950</v>
      </c>
    </row>
    <row r="403" spans="1:6" x14ac:dyDescent="0.15">
      <c r="A403" s="5" t="s">
        <v>55</v>
      </c>
      <c r="B403" s="5" t="s">
        <v>4477</v>
      </c>
      <c r="C403" s="9">
        <v>42590</v>
      </c>
      <c r="D403" s="5" t="s">
        <v>16</v>
      </c>
      <c r="E403" s="5" t="s">
        <v>2865</v>
      </c>
      <c r="F403" s="6">
        <v>450</v>
      </c>
    </row>
    <row r="404" spans="1:6" x14ac:dyDescent="0.15">
      <c r="A404" s="5" t="s">
        <v>35</v>
      </c>
      <c r="B404" s="5" t="s">
        <v>2866</v>
      </c>
      <c r="C404" s="9">
        <v>42591</v>
      </c>
      <c r="D404" s="5" t="s">
        <v>16</v>
      </c>
      <c r="E404" s="5" t="s">
        <v>2867</v>
      </c>
      <c r="F404" s="6">
        <v>5685</v>
      </c>
    </row>
    <row r="405" spans="1:6" x14ac:dyDescent="0.15">
      <c r="A405" s="5" t="s">
        <v>37</v>
      </c>
      <c r="B405" s="5" t="s">
        <v>6383</v>
      </c>
      <c r="C405" s="9">
        <v>42591</v>
      </c>
      <c r="D405" s="5" t="s">
        <v>16</v>
      </c>
      <c r="E405" s="5" t="s">
        <v>2867</v>
      </c>
      <c r="F405" s="6">
        <v>8385</v>
      </c>
    </row>
    <row r="406" spans="1:6" x14ac:dyDescent="0.15">
      <c r="A406" s="5" t="s">
        <v>37</v>
      </c>
      <c r="B406" s="5" t="s">
        <v>6384</v>
      </c>
      <c r="C406" s="9">
        <v>42591</v>
      </c>
      <c r="D406" s="5" t="s">
        <v>16</v>
      </c>
      <c r="E406" s="5" t="s">
        <v>4620</v>
      </c>
      <c r="F406" s="6">
        <v>877.5</v>
      </c>
    </row>
    <row r="407" spans="1:6" x14ac:dyDescent="0.15">
      <c r="A407" s="5" t="s">
        <v>42</v>
      </c>
      <c r="B407" s="5" t="s">
        <v>5757</v>
      </c>
      <c r="C407" s="9">
        <v>42591</v>
      </c>
      <c r="D407" s="5" t="s">
        <v>16</v>
      </c>
      <c r="E407" s="5" t="s">
        <v>4620</v>
      </c>
      <c r="F407" s="6">
        <v>450</v>
      </c>
    </row>
    <row r="408" spans="1:6" x14ac:dyDescent="0.15">
      <c r="A408" s="5" t="s">
        <v>43</v>
      </c>
      <c r="B408" s="5" t="s">
        <v>4619</v>
      </c>
      <c r="C408" s="9">
        <v>42591</v>
      </c>
      <c r="D408" s="5" t="s">
        <v>16</v>
      </c>
      <c r="E408" s="5" t="s">
        <v>4620</v>
      </c>
      <c r="F408" s="6">
        <v>145.5</v>
      </c>
    </row>
    <row r="409" spans="1:6" x14ac:dyDescent="0.15">
      <c r="A409" s="5" t="s">
        <v>37</v>
      </c>
      <c r="B409" s="5" t="s">
        <v>6377</v>
      </c>
      <c r="C409" s="9">
        <v>42590</v>
      </c>
      <c r="D409" s="5" t="s">
        <v>16</v>
      </c>
      <c r="E409" s="5" t="s">
        <v>6378</v>
      </c>
      <c r="F409" s="6">
        <v>3607.5</v>
      </c>
    </row>
    <row r="410" spans="1:6" x14ac:dyDescent="0.15">
      <c r="A410" s="5" t="s">
        <v>37</v>
      </c>
      <c r="B410" s="5" t="s">
        <v>6379</v>
      </c>
      <c r="C410" s="9">
        <v>42590</v>
      </c>
      <c r="D410" s="5" t="s">
        <v>16</v>
      </c>
      <c r="E410" s="5" t="s">
        <v>6380</v>
      </c>
      <c r="F410" s="6">
        <v>1072.5</v>
      </c>
    </row>
    <row r="411" spans="1:6" x14ac:dyDescent="0.15">
      <c r="A411" s="5" t="s">
        <v>63</v>
      </c>
      <c r="B411" s="5" t="s">
        <v>2253</v>
      </c>
      <c r="C411" s="9">
        <v>42591</v>
      </c>
      <c r="D411" s="5" t="s">
        <v>16</v>
      </c>
      <c r="E411" s="5" t="s">
        <v>2254</v>
      </c>
      <c r="F411" s="6">
        <v>339.5</v>
      </c>
    </row>
    <row r="412" spans="1:6" x14ac:dyDescent="0.15">
      <c r="A412" s="5" t="s">
        <v>35</v>
      </c>
      <c r="B412" s="5" t="s">
        <v>2868</v>
      </c>
      <c r="C412" s="9">
        <v>42591</v>
      </c>
      <c r="D412" s="5" t="s">
        <v>16</v>
      </c>
      <c r="E412" s="5" t="s">
        <v>2254</v>
      </c>
      <c r="F412" s="6">
        <v>682.5</v>
      </c>
    </row>
    <row r="413" spans="1:6" x14ac:dyDescent="0.15">
      <c r="A413" s="5" t="s">
        <v>35</v>
      </c>
      <c r="B413" s="5" t="s">
        <v>2869</v>
      </c>
      <c r="C413" s="9">
        <v>42591</v>
      </c>
      <c r="D413" s="5" t="s">
        <v>16</v>
      </c>
      <c r="E413" s="5" t="s">
        <v>2870</v>
      </c>
      <c r="F413" s="6">
        <v>1657.5</v>
      </c>
    </row>
    <row r="414" spans="1:6" x14ac:dyDescent="0.15">
      <c r="A414" s="5" t="s">
        <v>37</v>
      </c>
      <c r="B414" s="5" t="s">
        <v>6385</v>
      </c>
      <c r="C414" s="9">
        <v>42591</v>
      </c>
      <c r="D414" s="5" t="s">
        <v>16</v>
      </c>
      <c r="E414" s="5" t="s">
        <v>2870</v>
      </c>
      <c r="F414" s="6">
        <v>1072.5</v>
      </c>
    </row>
    <row r="415" spans="1:6" x14ac:dyDescent="0.15">
      <c r="A415" s="5" t="s">
        <v>37</v>
      </c>
      <c r="B415" s="5" t="s">
        <v>6381</v>
      </c>
      <c r="C415" s="9">
        <v>42590</v>
      </c>
      <c r="D415" s="5" t="s">
        <v>16</v>
      </c>
      <c r="E415" s="5" t="s">
        <v>6382</v>
      </c>
      <c r="F415" s="6">
        <v>97.5</v>
      </c>
    </row>
    <row r="416" spans="1:6" x14ac:dyDescent="0.15">
      <c r="A416" s="5" t="s">
        <v>35</v>
      </c>
      <c r="B416" s="5" t="s">
        <v>2871</v>
      </c>
      <c r="C416" s="9">
        <v>42592</v>
      </c>
      <c r="D416" s="5" t="s">
        <v>16</v>
      </c>
      <c r="E416" s="5" t="s">
        <v>2872</v>
      </c>
      <c r="F416" s="6">
        <v>1267.5</v>
      </c>
    </row>
    <row r="417" spans="1:6" x14ac:dyDescent="0.15">
      <c r="A417" s="5" t="s">
        <v>37</v>
      </c>
      <c r="B417" s="5" t="s">
        <v>6390</v>
      </c>
      <c r="C417" s="9">
        <v>42594</v>
      </c>
      <c r="D417" s="5" t="s">
        <v>16</v>
      </c>
      <c r="E417" s="5" t="s">
        <v>6391</v>
      </c>
      <c r="F417" s="6">
        <v>13650</v>
      </c>
    </row>
    <row r="418" spans="1:6" x14ac:dyDescent="0.15">
      <c r="A418" s="5" t="s">
        <v>43</v>
      </c>
      <c r="B418" s="5" t="s">
        <v>4621</v>
      </c>
      <c r="C418" s="9">
        <v>42594</v>
      </c>
      <c r="D418" s="5" t="s">
        <v>16</v>
      </c>
      <c r="E418" s="5" t="s">
        <v>1788</v>
      </c>
      <c r="F418" s="6">
        <v>485</v>
      </c>
    </row>
    <row r="419" spans="1:6" x14ac:dyDescent="0.15">
      <c r="A419" s="5" t="s">
        <v>40</v>
      </c>
      <c r="B419" s="5" t="s">
        <v>2326</v>
      </c>
      <c r="C419" s="9">
        <v>42594</v>
      </c>
      <c r="D419" s="5" t="s">
        <v>16</v>
      </c>
      <c r="E419" s="5" t="s">
        <v>1788</v>
      </c>
      <c r="F419" s="6">
        <v>1050</v>
      </c>
    </row>
    <row r="420" spans="1:6" x14ac:dyDescent="0.15">
      <c r="A420" s="5" t="s">
        <v>41</v>
      </c>
      <c r="B420" s="5" t="s">
        <v>1787</v>
      </c>
      <c r="C420" s="9">
        <v>42594</v>
      </c>
      <c r="D420" s="5" t="s">
        <v>16</v>
      </c>
      <c r="E420" s="5" t="s">
        <v>1788</v>
      </c>
      <c r="F420" s="6">
        <v>2037</v>
      </c>
    </row>
    <row r="421" spans="1:6" x14ac:dyDescent="0.15">
      <c r="A421" s="5" t="s">
        <v>42</v>
      </c>
      <c r="B421" s="5" t="s">
        <v>5758</v>
      </c>
      <c r="C421" s="9">
        <v>42594</v>
      </c>
      <c r="D421" s="5" t="s">
        <v>16</v>
      </c>
      <c r="E421" s="5" t="s">
        <v>1788</v>
      </c>
      <c r="F421" s="6">
        <v>2025</v>
      </c>
    </row>
    <row r="422" spans="1:6" x14ac:dyDescent="0.15">
      <c r="A422" s="5" t="s">
        <v>37</v>
      </c>
      <c r="B422" s="5" t="s">
        <v>6386</v>
      </c>
      <c r="C422" s="9">
        <v>42593</v>
      </c>
      <c r="D422" s="5" t="s">
        <v>16</v>
      </c>
      <c r="E422" s="5" t="s">
        <v>6387</v>
      </c>
      <c r="F422" s="6">
        <v>585</v>
      </c>
    </row>
    <row r="423" spans="1:6" x14ac:dyDescent="0.15">
      <c r="A423" s="5" t="s">
        <v>35</v>
      </c>
      <c r="B423" s="5" t="s">
        <v>2873</v>
      </c>
      <c r="C423" s="9">
        <v>42594</v>
      </c>
      <c r="D423" s="5" t="s">
        <v>16</v>
      </c>
      <c r="E423" s="5" t="s">
        <v>2874</v>
      </c>
      <c r="F423" s="6">
        <v>3022.5</v>
      </c>
    </row>
    <row r="424" spans="1:6" x14ac:dyDescent="0.15">
      <c r="A424" s="5" t="s">
        <v>37</v>
      </c>
      <c r="B424" s="5" t="s">
        <v>6392</v>
      </c>
      <c r="C424" s="9">
        <v>42594</v>
      </c>
      <c r="D424" s="5" t="s">
        <v>16</v>
      </c>
      <c r="E424" s="5" t="s">
        <v>6393</v>
      </c>
      <c r="F424" s="6">
        <v>1365</v>
      </c>
    </row>
    <row r="425" spans="1:6" x14ac:dyDescent="0.15">
      <c r="A425" s="5" t="s">
        <v>37</v>
      </c>
      <c r="B425" s="5" t="s">
        <v>6394</v>
      </c>
      <c r="C425" s="9">
        <v>42598</v>
      </c>
      <c r="D425" s="5" t="s">
        <v>16</v>
      </c>
      <c r="E425" s="5" t="s">
        <v>2876</v>
      </c>
      <c r="F425" s="6">
        <v>9750</v>
      </c>
    </row>
    <row r="426" spans="1:6" x14ac:dyDescent="0.15">
      <c r="A426" s="5" t="s">
        <v>35</v>
      </c>
      <c r="B426" s="5" t="s">
        <v>2875</v>
      </c>
      <c r="C426" s="9">
        <v>42598</v>
      </c>
      <c r="D426" s="5" t="s">
        <v>16</v>
      </c>
      <c r="E426" s="5" t="s">
        <v>2876</v>
      </c>
      <c r="F426" s="6">
        <v>1950</v>
      </c>
    </row>
    <row r="427" spans="1:6" x14ac:dyDescent="0.15">
      <c r="A427" s="5" t="s">
        <v>37</v>
      </c>
      <c r="B427" s="5" t="s">
        <v>6395</v>
      </c>
      <c r="C427" s="9">
        <v>42598</v>
      </c>
      <c r="D427" s="5" t="s">
        <v>16</v>
      </c>
      <c r="E427" s="5" t="s">
        <v>6396</v>
      </c>
      <c r="F427" s="6">
        <v>2535</v>
      </c>
    </row>
    <row r="428" spans="1:6" x14ac:dyDescent="0.15">
      <c r="A428" s="5" t="s">
        <v>43</v>
      </c>
      <c r="B428" s="5" t="s">
        <v>4622</v>
      </c>
      <c r="C428" s="9">
        <v>42594</v>
      </c>
      <c r="D428" s="5" t="s">
        <v>16</v>
      </c>
      <c r="E428" s="5" t="s">
        <v>1790</v>
      </c>
      <c r="F428" s="6">
        <v>-485</v>
      </c>
    </row>
    <row r="429" spans="1:6" x14ac:dyDescent="0.15">
      <c r="A429" s="5" t="s">
        <v>40</v>
      </c>
      <c r="B429" s="5" t="s">
        <v>2327</v>
      </c>
      <c r="C429" s="9">
        <v>42594</v>
      </c>
      <c r="D429" s="5" t="s">
        <v>16</v>
      </c>
      <c r="E429" s="5" t="s">
        <v>1790</v>
      </c>
      <c r="F429" s="6">
        <v>-1050</v>
      </c>
    </row>
    <row r="430" spans="1:6" x14ac:dyDescent="0.15">
      <c r="A430" s="5" t="s">
        <v>41</v>
      </c>
      <c r="B430" s="5" t="s">
        <v>1789</v>
      </c>
      <c r="C430" s="9">
        <v>42594</v>
      </c>
      <c r="D430" s="5" t="s">
        <v>16</v>
      </c>
      <c r="E430" s="5" t="s">
        <v>1790</v>
      </c>
      <c r="F430" s="6">
        <v>-2037</v>
      </c>
    </row>
    <row r="431" spans="1:6" x14ac:dyDescent="0.15">
      <c r="A431" s="5" t="s">
        <v>42</v>
      </c>
      <c r="B431" s="5" t="s">
        <v>5759</v>
      </c>
      <c r="C431" s="9">
        <v>42594</v>
      </c>
      <c r="D431" s="5" t="s">
        <v>16</v>
      </c>
      <c r="E431" s="5" t="s">
        <v>1790</v>
      </c>
      <c r="F431" s="6">
        <v>-2025</v>
      </c>
    </row>
    <row r="432" spans="1:6" x14ac:dyDescent="0.15">
      <c r="A432" s="5" t="s">
        <v>43</v>
      </c>
      <c r="B432" s="5" t="s">
        <v>4624</v>
      </c>
      <c r="C432" s="9">
        <v>42599</v>
      </c>
      <c r="D432" s="5" t="s">
        <v>16</v>
      </c>
      <c r="E432" s="5" t="s">
        <v>2880</v>
      </c>
      <c r="F432" s="6">
        <v>8148</v>
      </c>
    </row>
    <row r="433" spans="1:6" x14ac:dyDescent="0.15">
      <c r="A433" s="5" t="s">
        <v>37</v>
      </c>
      <c r="B433" s="5" t="s">
        <v>6400</v>
      </c>
      <c r="C433" s="9">
        <v>42599</v>
      </c>
      <c r="D433" s="5" t="s">
        <v>16</v>
      </c>
      <c r="E433" s="5" t="s">
        <v>2880</v>
      </c>
      <c r="F433" s="6">
        <v>1950</v>
      </c>
    </row>
    <row r="434" spans="1:6" x14ac:dyDescent="0.15">
      <c r="A434" s="5" t="s">
        <v>35</v>
      </c>
      <c r="B434" s="5" t="s">
        <v>2879</v>
      </c>
      <c r="C434" s="9">
        <v>42599</v>
      </c>
      <c r="D434" s="5" t="s">
        <v>16</v>
      </c>
      <c r="E434" s="5" t="s">
        <v>2880</v>
      </c>
      <c r="F434" s="6">
        <v>3120</v>
      </c>
    </row>
    <row r="435" spans="1:6" x14ac:dyDescent="0.15">
      <c r="A435" s="5" t="s">
        <v>43</v>
      </c>
      <c r="B435" s="5" t="s">
        <v>4623</v>
      </c>
      <c r="C435" s="9">
        <v>42594</v>
      </c>
      <c r="D435" s="5" t="s">
        <v>16</v>
      </c>
      <c r="E435" s="5" t="s">
        <v>1792</v>
      </c>
      <c r="F435" s="6">
        <v>485</v>
      </c>
    </row>
    <row r="436" spans="1:6" x14ac:dyDescent="0.15">
      <c r="A436" s="5" t="s">
        <v>40</v>
      </c>
      <c r="B436" s="5" t="s">
        <v>2328</v>
      </c>
      <c r="C436" s="9">
        <v>42594</v>
      </c>
      <c r="D436" s="5" t="s">
        <v>16</v>
      </c>
      <c r="E436" s="5" t="s">
        <v>1792</v>
      </c>
      <c r="F436" s="6">
        <v>1050</v>
      </c>
    </row>
    <row r="437" spans="1:6" x14ac:dyDescent="0.15">
      <c r="A437" s="5" t="s">
        <v>41</v>
      </c>
      <c r="B437" s="5" t="s">
        <v>1791</v>
      </c>
      <c r="C437" s="9">
        <v>42594</v>
      </c>
      <c r="D437" s="5" t="s">
        <v>16</v>
      </c>
      <c r="E437" s="5" t="s">
        <v>1792</v>
      </c>
      <c r="F437" s="6">
        <v>2037</v>
      </c>
    </row>
    <row r="438" spans="1:6" x14ac:dyDescent="0.15">
      <c r="A438" s="5" t="s">
        <v>42</v>
      </c>
      <c r="B438" s="5" t="s">
        <v>5760</v>
      </c>
      <c r="C438" s="9">
        <v>42594</v>
      </c>
      <c r="D438" s="5" t="s">
        <v>16</v>
      </c>
      <c r="E438" s="5" t="s">
        <v>1792</v>
      </c>
      <c r="F438" s="6">
        <v>2025</v>
      </c>
    </row>
    <row r="439" spans="1:6" x14ac:dyDescent="0.15">
      <c r="A439" s="5" t="s">
        <v>37</v>
      </c>
      <c r="B439" s="5" t="s">
        <v>6401</v>
      </c>
      <c r="C439" s="9">
        <v>42600</v>
      </c>
      <c r="D439" s="5" t="s">
        <v>16</v>
      </c>
      <c r="E439" s="5" t="s">
        <v>6402</v>
      </c>
      <c r="F439" s="6">
        <v>-2925</v>
      </c>
    </row>
    <row r="440" spans="1:6" x14ac:dyDescent="0.15">
      <c r="A440" s="5" t="s">
        <v>43</v>
      </c>
      <c r="B440" s="5" t="s">
        <v>4627</v>
      </c>
      <c r="C440" s="9">
        <v>42601</v>
      </c>
      <c r="D440" s="5" t="s">
        <v>16</v>
      </c>
      <c r="E440" s="5" t="s">
        <v>1794</v>
      </c>
      <c r="F440" s="6">
        <v>1940</v>
      </c>
    </row>
    <row r="441" spans="1:6" x14ac:dyDescent="0.15">
      <c r="A441" s="5" t="s">
        <v>37</v>
      </c>
      <c r="B441" s="5" t="s">
        <v>6411</v>
      </c>
      <c r="C441" s="9">
        <v>42601</v>
      </c>
      <c r="D441" s="5" t="s">
        <v>16</v>
      </c>
      <c r="E441" s="5" t="s">
        <v>1794</v>
      </c>
      <c r="F441" s="6">
        <v>5850</v>
      </c>
    </row>
    <row r="442" spans="1:6" x14ac:dyDescent="0.15">
      <c r="A442" s="5" t="s">
        <v>41</v>
      </c>
      <c r="B442" s="5" t="s">
        <v>1793</v>
      </c>
      <c r="C442" s="9">
        <v>42601</v>
      </c>
      <c r="D442" s="5" t="s">
        <v>16</v>
      </c>
      <c r="E442" s="5" t="s">
        <v>1794</v>
      </c>
      <c r="F442" s="6">
        <v>1940</v>
      </c>
    </row>
    <row r="443" spans="1:6" x14ac:dyDescent="0.15">
      <c r="A443" s="5" t="s">
        <v>37</v>
      </c>
      <c r="B443" s="5" t="s">
        <v>6412</v>
      </c>
      <c r="C443" s="9">
        <v>42601</v>
      </c>
      <c r="D443" s="5" t="s">
        <v>16</v>
      </c>
      <c r="E443" s="5" t="s">
        <v>6413</v>
      </c>
      <c r="F443" s="6">
        <v>2925</v>
      </c>
    </row>
    <row r="444" spans="1:6" x14ac:dyDescent="0.15">
      <c r="A444" s="5" t="s">
        <v>37</v>
      </c>
      <c r="B444" s="5" t="s">
        <v>6403</v>
      </c>
      <c r="C444" s="9">
        <v>42600</v>
      </c>
      <c r="D444" s="5" t="s">
        <v>16</v>
      </c>
      <c r="E444" s="5" t="s">
        <v>6404</v>
      </c>
      <c r="F444" s="6">
        <v>2925</v>
      </c>
    </row>
    <row r="445" spans="1:6" x14ac:dyDescent="0.15">
      <c r="A445" s="5" t="s">
        <v>37</v>
      </c>
      <c r="B445" s="5" t="s">
        <v>6414</v>
      </c>
      <c r="C445" s="9">
        <v>42601</v>
      </c>
      <c r="D445" s="5" t="s">
        <v>16</v>
      </c>
      <c r="E445" s="5" t="s">
        <v>6415</v>
      </c>
      <c r="F445" s="6">
        <v>-2925</v>
      </c>
    </row>
    <row r="446" spans="1:6" x14ac:dyDescent="0.15">
      <c r="A446" s="5" t="s">
        <v>37</v>
      </c>
      <c r="B446" s="5" t="s">
        <v>6416</v>
      </c>
      <c r="C446" s="9">
        <v>42601</v>
      </c>
      <c r="D446" s="5" t="s">
        <v>16</v>
      </c>
      <c r="E446" s="5" t="s">
        <v>6417</v>
      </c>
      <c r="F446" s="6">
        <v>13650</v>
      </c>
    </row>
    <row r="447" spans="1:6" x14ac:dyDescent="0.15">
      <c r="A447" s="5" t="s">
        <v>44</v>
      </c>
      <c r="B447" s="5" t="s">
        <v>4317</v>
      </c>
      <c r="C447" s="9">
        <v>42601</v>
      </c>
      <c r="D447" s="5" t="s">
        <v>16</v>
      </c>
      <c r="E447" s="5" t="s">
        <v>4318</v>
      </c>
      <c r="F447" s="6">
        <v>1950</v>
      </c>
    </row>
    <row r="448" spans="1:6" x14ac:dyDescent="0.15">
      <c r="A448" s="5" t="s">
        <v>35</v>
      </c>
      <c r="B448" s="5" t="s">
        <v>2883</v>
      </c>
      <c r="C448" s="9">
        <v>42604</v>
      </c>
      <c r="D448" s="5" t="s">
        <v>16</v>
      </c>
      <c r="E448" s="5" t="s">
        <v>2884</v>
      </c>
      <c r="F448" s="6">
        <v>975</v>
      </c>
    </row>
    <row r="449" spans="1:6" x14ac:dyDescent="0.15">
      <c r="A449" s="5" t="s">
        <v>37</v>
      </c>
      <c r="B449" s="5" t="s">
        <v>6405</v>
      </c>
      <c r="C449" s="9">
        <v>42600</v>
      </c>
      <c r="D449" s="5" t="s">
        <v>16</v>
      </c>
      <c r="E449" s="5" t="s">
        <v>2882</v>
      </c>
      <c r="F449" s="6">
        <v>5167.5</v>
      </c>
    </row>
    <row r="450" spans="1:6" x14ac:dyDescent="0.15">
      <c r="A450" s="5" t="s">
        <v>35</v>
      </c>
      <c r="B450" s="5" t="s">
        <v>2881</v>
      </c>
      <c r="C450" s="9">
        <v>42600</v>
      </c>
      <c r="D450" s="5" t="s">
        <v>16</v>
      </c>
      <c r="E450" s="5" t="s">
        <v>2882</v>
      </c>
      <c r="F450" s="6">
        <v>3412.5</v>
      </c>
    </row>
    <row r="451" spans="1:6" x14ac:dyDescent="0.15">
      <c r="A451" s="5" t="s">
        <v>43</v>
      </c>
      <c r="B451" s="5" t="s">
        <v>4625</v>
      </c>
      <c r="C451" s="9">
        <v>42600</v>
      </c>
      <c r="D451" s="5" t="s">
        <v>16</v>
      </c>
      <c r="E451" s="5" t="s">
        <v>4626</v>
      </c>
      <c r="F451" s="6">
        <v>291</v>
      </c>
    </row>
    <row r="452" spans="1:6" x14ac:dyDescent="0.15">
      <c r="A452" s="5" t="s">
        <v>37</v>
      </c>
      <c r="B452" s="5" t="s">
        <v>6406</v>
      </c>
      <c r="C452" s="9">
        <v>42600</v>
      </c>
      <c r="D452" s="5" t="s">
        <v>16</v>
      </c>
      <c r="E452" s="5" t="s">
        <v>4626</v>
      </c>
      <c r="F452" s="6">
        <v>487.5</v>
      </c>
    </row>
    <row r="453" spans="1:6" x14ac:dyDescent="0.15">
      <c r="A453" s="5" t="s">
        <v>42</v>
      </c>
      <c r="B453" s="5" t="s">
        <v>5761</v>
      </c>
      <c r="C453" s="9">
        <v>42598</v>
      </c>
      <c r="D453" s="5" t="s">
        <v>16</v>
      </c>
      <c r="E453" s="5" t="s">
        <v>5762</v>
      </c>
      <c r="F453" s="6">
        <v>525</v>
      </c>
    </row>
    <row r="454" spans="1:6" x14ac:dyDescent="0.15">
      <c r="A454" s="5" t="s">
        <v>49</v>
      </c>
      <c r="B454" s="5" t="s">
        <v>8631</v>
      </c>
      <c r="C454" s="9">
        <v>42604</v>
      </c>
      <c r="D454" s="5" t="s">
        <v>16</v>
      </c>
      <c r="E454" s="5" t="s">
        <v>8632</v>
      </c>
      <c r="F454" s="6">
        <v>1000</v>
      </c>
    </row>
    <row r="455" spans="1:6" x14ac:dyDescent="0.15">
      <c r="A455" s="5" t="s">
        <v>37</v>
      </c>
      <c r="B455" s="5" t="s">
        <v>6388</v>
      </c>
      <c r="C455" s="9">
        <v>42593</v>
      </c>
      <c r="D455" s="5" t="s">
        <v>16</v>
      </c>
      <c r="E455" s="5" t="s">
        <v>6389</v>
      </c>
      <c r="F455" s="6">
        <v>6630</v>
      </c>
    </row>
    <row r="456" spans="1:6" x14ac:dyDescent="0.15">
      <c r="A456" s="5" t="s">
        <v>37</v>
      </c>
      <c r="B456" s="5" t="s">
        <v>6397</v>
      </c>
      <c r="C456" s="9">
        <v>42598</v>
      </c>
      <c r="D456" s="5" t="s">
        <v>16</v>
      </c>
      <c r="E456" s="5" t="s">
        <v>6398</v>
      </c>
      <c r="F456" s="6">
        <v>-2535</v>
      </c>
    </row>
    <row r="457" spans="1:6" x14ac:dyDescent="0.15">
      <c r="A457" s="5" t="s">
        <v>35</v>
      </c>
      <c r="B457" s="5" t="s">
        <v>2877</v>
      </c>
      <c r="C457" s="9">
        <v>42598</v>
      </c>
      <c r="D457" s="5" t="s">
        <v>16</v>
      </c>
      <c r="E457" s="5" t="s">
        <v>2878</v>
      </c>
      <c r="F457" s="6">
        <v>1950</v>
      </c>
    </row>
    <row r="458" spans="1:6" x14ac:dyDescent="0.15">
      <c r="A458" s="5" t="s">
        <v>37</v>
      </c>
      <c r="B458" s="5" t="s">
        <v>6399</v>
      </c>
      <c r="C458" s="9">
        <v>42598</v>
      </c>
      <c r="D458" s="5" t="s">
        <v>16</v>
      </c>
      <c r="E458" s="5" t="s">
        <v>2878</v>
      </c>
      <c r="F458" s="6">
        <v>585</v>
      </c>
    </row>
    <row r="459" spans="1:6" x14ac:dyDescent="0.15">
      <c r="A459" s="5" t="s">
        <v>37</v>
      </c>
      <c r="B459" s="5" t="s">
        <v>6418</v>
      </c>
      <c r="C459" s="9">
        <v>42604</v>
      </c>
      <c r="D459" s="5" t="s">
        <v>16</v>
      </c>
      <c r="E459" s="5" t="s">
        <v>2886</v>
      </c>
      <c r="F459" s="6">
        <v>3900</v>
      </c>
    </row>
    <row r="460" spans="1:6" x14ac:dyDescent="0.15">
      <c r="A460" s="5" t="s">
        <v>35</v>
      </c>
      <c r="B460" s="5" t="s">
        <v>2885</v>
      </c>
      <c r="C460" s="9">
        <v>42604</v>
      </c>
      <c r="D460" s="5" t="s">
        <v>16</v>
      </c>
      <c r="E460" s="5" t="s">
        <v>2886</v>
      </c>
      <c r="F460" s="6">
        <v>5850</v>
      </c>
    </row>
    <row r="461" spans="1:6" x14ac:dyDescent="0.15">
      <c r="A461" s="5" t="s">
        <v>43</v>
      </c>
      <c r="B461" s="5" t="s">
        <v>4628</v>
      </c>
      <c r="C461" s="9">
        <v>42605</v>
      </c>
      <c r="D461" s="5" t="s">
        <v>16</v>
      </c>
      <c r="E461" s="5" t="s">
        <v>4629</v>
      </c>
      <c r="F461" s="6">
        <v>194</v>
      </c>
    </row>
    <row r="462" spans="1:6" x14ac:dyDescent="0.15">
      <c r="A462" s="5" t="s">
        <v>37</v>
      </c>
      <c r="B462" s="5" t="s">
        <v>6421</v>
      </c>
      <c r="C462" s="9">
        <v>42605</v>
      </c>
      <c r="D462" s="5" t="s">
        <v>16</v>
      </c>
      <c r="E462" s="5" t="s">
        <v>4629</v>
      </c>
      <c r="F462" s="6">
        <v>877.5</v>
      </c>
    </row>
    <row r="463" spans="1:6" x14ac:dyDescent="0.15">
      <c r="A463" s="5" t="s">
        <v>37</v>
      </c>
      <c r="B463" s="5" t="s">
        <v>6419</v>
      </c>
      <c r="C463" s="9">
        <v>42604</v>
      </c>
      <c r="D463" s="5" t="s">
        <v>16</v>
      </c>
      <c r="E463" s="5" t="s">
        <v>6420</v>
      </c>
      <c r="F463" s="6">
        <v>3315</v>
      </c>
    </row>
    <row r="464" spans="1:6" x14ac:dyDescent="0.15">
      <c r="A464" s="5" t="s">
        <v>35</v>
      </c>
      <c r="B464" s="5" t="s">
        <v>2887</v>
      </c>
      <c r="C464" s="9">
        <v>42605</v>
      </c>
      <c r="D464" s="5" t="s">
        <v>16</v>
      </c>
      <c r="E464" s="5" t="s">
        <v>2888</v>
      </c>
      <c r="F464" s="6">
        <v>2925</v>
      </c>
    </row>
    <row r="465" spans="1:6" x14ac:dyDescent="0.15">
      <c r="A465" s="5" t="s">
        <v>49</v>
      </c>
      <c r="B465" s="5" t="s">
        <v>8633</v>
      </c>
      <c r="C465" s="9">
        <v>42605</v>
      </c>
      <c r="D465" s="5" t="s">
        <v>16</v>
      </c>
      <c r="E465" s="5" t="s">
        <v>8634</v>
      </c>
      <c r="F465" s="6">
        <v>1000</v>
      </c>
    </row>
    <row r="466" spans="1:6" x14ac:dyDescent="0.15">
      <c r="A466" s="5" t="s">
        <v>43</v>
      </c>
      <c r="B466" s="5" t="s">
        <v>4630</v>
      </c>
      <c r="C466" s="9">
        <v>42605</v>
      </c>
      <c r="D466" s="5" t="s">
        <v>16</v>
      </c>
      <c r="E466" s="5" t="s">
        <v>4631</v>
      </c>
      <c r="F466" s="6">
        <v>194</v>
      </c>
    </row>
    <row r="467" spans="1:6" x14ac:dyDescent="0.15">
      <c r="A467" s="5" t="s">
        <v>37</v>
      </c>
      <c r="B467" s="5" t="s">
        <v>6422</v>
      </c>
      <c r="C467" s="9">
        <v>42605</v>
      </c>
      <c r="D467" s="5" t="s">
        <v>16</v>
      </c>
      <c r="E467" s="5" t="s">
        <v>4631</v>
      </c>
      <c r="F467" s="6">
        <v>877.5</v>
      </c>
    </row>
    <row r="468" spans="1:6" x14ac:dyDescent="0.15">
      <c r="A468" s="5" t="s">
        <v>43</v>
      </c>
      <c r="B468" s="5" t="s">
        <v>4632</v>
      </c>
      <c r="C468" s="9">
        <v>42605</v>
      </c>
      <c r="D468" s="5" t="s">
        <v>16</v>
      </c>
      <c r="E468" s="5" t="s">
        <v>4633</v>
      </c>
      <c r="F468" s="6">
        <v>194</v>
      </c>
    </row>
    <row r="469" spans="1:6" x14ac:dyDescent="0.15">
      <c r="A469" s="5" t="s">
        <v>37</v>
      </c>
      <c r="B469" s="5" t="s">
        <v>6423</v>
      </c>
      <c r="C469" s="9">
        <v>42605</v>
      </c>
      <c r="D469" s="5" t="s">
        <v>16</v>
      </c>
      <c r="E469" s="5" t="s">
        <v>4633</v>
      </c>
      <c r="F469" s="6">
        <v>780</v>
      </c>
    </row>
    <row r="470" spans="1:6" x14ac:dyDescent="0.15">
      <c r="A470" s="5" t="s">
        <v>37</v>
      </c>
      <c r="B470" s="5" t="s">
        <v>6424</v>
      </c>
      <c r="C470" s="9">
        <v>42607</v>
      </c>
      <c r="D470" s="5" t="s">
        <v>16</v>
      </c>
      <c r="E470" s="5" t="s">
        <v>6425</v>
      </c>
      <c r="F470" s="6">
        <v>487.5</v>
      </c>
    </row>
    <row r="471" spans="1:6" x14ac:dyDescent="0.15">
      <c r="A471" s="5" t="s">
        <v>37</v>
      </c>
      <c r="B471" s="5" t="s">
        <v>6426</v>
      </c>
      <c r="C471" s="9">
        <v>42607</v>
      </c>
      <c r="D471" s="5" t="s">
        <v>16</v>
      </c>
      <c r="E471" s="5" t="s">
        <v>2890</v>
      </c>
      <c r="F471" s="6">
        <v>18037.5</v>
      </c>
    </row>
    <row r="472" spans="1:6" x14ac:dyDescent="0.15">
      <c r="A472" s="5" t="s">
        <v>35</v>
      </c>
      <c r="B472" s="5" t="s">
        <v>2889</v>
      </c>
      <c r="C472" s="9">
        <v>42607</v>
      </c>
      <c r="D472" s="5" t="s">
        <v>16</v>
      </c>
      <c r="E472" s="5" t="s">
        <v>2890</v>
      </c>
      <c r="F472" s="6">
        <v>12090</v>
      </c>
    </row>
    <row r="473" spans="1:6" x14ac:dyDescent="0.15">
      <c r="A473" s="5" t="s">
        <v>43</v>
      </c>
      <c r="B473" s="5" t="s">
        <v>4634</v>
      </c>
      <c r="C473" s="9">
        <v>42606</v>
      </c>
      <c r="D473" s="5" t="s">
        <v>16</v>
      </c>
      <c r="E473" s="5" t="s">
        <v>4635</v>
      </c>
      <c r="F473" s="6">
        <v>339.5</v>
      </c>
    </row>
    <row r="474" spans="1:6" x14ac:dyDescent="0.15">
      <c r="A474" s="5" t="s">
        <v>43</v>
      </c>
      <c r="B474" s="5" t="s">
        <v>4636</v>
      </c>
      <c r="C474" s="9">
        <v>42607</v>
      </c>
      <c r="D474" s="5" t="s">
        <v>16</v>
      </c>
      <c r="E474" s="5" t="s">
        <v>2892</v>
      </c>
      <c r="F474" s="6">
        <v>1018.5</v>
      </c>
    </row>
    <row r="475" spans="1:6" x14ac:dyDescent="0.15">
      <c r="A475" s="5" t="s">
        <v>35</v>
      </c>
      <c r="B475" s="5" t="s">
        <v>2891</v>
      </c>
      <c r="C475" s="9">
        <v>42607</v>
      </c>
      <c r="D475" s="5" t="s">
        <v>16</v>
      </c>
      <c r="E475" s="5" t="s">
        <v>2892</v>
      </c>
      <c r="F475" s="6">
        <v>2632.5</v>
      </c>
    </row>
    <row r="476" spans="1:6" x14ac:dyDescent="0.15">
      <c r="A476" s="5" t="s">
        <v>35</v>
      </c>
      <c r="B476" s="5" t="s">
        <v>2893</v>
      </c>
      <c r="C476" s="9">
        <v>42607</v>
      </c>
      <c r="D476" s="5" t="s">
        <v>16</v>
      </c>
      <c r="E476" s="5" t="s">
        <v>2894</v>
      </c>
      <c r="F476" s="6">
        <v>2145</v>
      </c>
    </row>
    <row r="477" spans="1:6" x14ac:dyDescent="0.15">
      <c r="A477" s="5" t="s">
        <v>35</v>
      </c>
      <c r="B477" s="5" t="s">
        <v>2895</v>
      </c>
      <c r="C477" s="9">
        <v>42607</v>
      </c>
      <c r="D477" s="5" t="s">
        <v>16</v>
      </c>
      <c r="E477" s="5" t="s">
        <v>2896</v>
      </c>
      <c r="F477" s="6">
        <v>1267.5</v>
      </c>
    </row>
    <row r="478" spans="1:6" x14ac:dyDescent="0.15">
      <c r="A478" s="5" t="s">
        <v>37</v>
      </c>
      <c r="B478" s="5" t="s">
        <v>6427</v>
      </c>
      <c r="C478" s="9">
        <v>42611</v>
      </c>
      <c r="D478" s="5" t="s">
        <v>16</v>
      </c>
      <c r="E478" s="5" t="s">
        <v>4638</v>
      </c>
      <c r="F478" s="6">
        <v>9750</v>
      </c>
    </row>
    <row r="479" spans="1:6" x14ac:dyDescent="0.15">
      <c r="A479" s="5" t="s">
        <v>43</v>
      </c>
      <c r="B479" s="5" t="s">
        <v>4637</v>
      </c>
      <c r="C479" s="9">
        <v>42611</v>
      </c>
      <c r="D479" s="5" t="s">
        <v>16</v>
      </c>
      <c r="E479" s="5" t="s">
        <v>4638</v>
      </c>
      <c r="F479" s="6">
        <v>5820</v>
      </c>
    </row>
    <row r="480" spans="1:6" x14ac:dyDescent="0.15">
      <c r="A480" s="5" t="s">
        <v>43</v>
      </c>
      <c r="B480" s="5" t="s">
        <v>4639</v>
      </c>
      <c r="C480" s="9">
        <v>42611</v>
      </c>
      <c r="D480" s="5" t="s">
        <v>16</v>
      </c>
      <c r="E480" s="5" t="s">
        <v>4640</v>
      </c>
      <c r="F480" s="6">
        <v>436.5</v>
      </c>
    </row>
    <row r="481" spans="1:6" x14ac:dyDescent="0.15">
      <c r="A481" s="5" t="s">
        <v>49</v>
      </c>
      <c r="B481" s="5" t="s">
        <v>8635</v>
      </c>
      <c r="C481" s="9">
        <v>42611</v>
      </c>
      <c r="D481" s="5" t="s">
        <v>16</v>
      </c>
      <c r="E481" s="5" t="s">
        <v>8636</v>
      </c>
      <c r="F481" s="6">
        <v>4000</v>
      </c>
    </row>
    <row r="482" spans="1:6" x14ac:dyDescent="0.15">
      <c r="A482" s="5" t="s">
        <v>49</v>
      </c>
      <c r="B482" s="5" t="s">
        <v>8637</v>
      </c>
      <c r="C482" s="9">
        <v>42611</v>
      </c>
      <c r="D482" s="5" t="s">
        <v>16</v>
      </c>
      <c r="E482" s="5" t="s">
        <v>8638</v>
      </c>
      <c r="F482" s="6">
        <v>2400</v>
      </c>
    </row>
    <row r="483" spans="1:6" x14ac:dyDescent="0.15">
      <c r="A483" s="5" t="s">
        <v>35</v>
      </c>
      <c r="B483" s="5" t="s">
        <v>2897</v>
      </c>
      <c r="C483" s="9">
        <v>42611</v>
      </c>
      <c r="D483" s="5" t="s">
        <v>16</v>
      </c>
      <c r="E483" s="5" t="s">
        <v>2898</v>
      </c>
      <c r="F483" s="6">
        <v>4192.5</v>
      </c>
    </row>
    <row r="484" spans="1:6" x14ac:dyDescent="0.15">
      <c r="A484" s="5" t="s">
        <v>37</v>
      </c>
      <c r="B484" s="5" t="s">
        <v>6407</v>
      </c>
      <c r="C484" s="9">
        <v>42600</v>
      </c>
      <c r="D484" s="5" t="s">
        <v>16</v>
      </c>
      <c r="E484" s="5" t="s">
        <v>6408</v>
      </c>
      <c r="F484" s="6">
        <v>-6630</v>
      </c>
    </row>
    <row r="485" spans="1:6" x14ac:dyDescent="0.15">
      <c r="A485" s="5" t="s">
        <v>37</v>
      </c>
      <c r="B485" s="5" t="s">
        <v>6409</v>
      </c>
      <c r="C485" s="9">
        <v>42600</v>
      </c>
      <c r="D485" s="5" t="s">
        <v>16</v>
      </c>
      <c r="E485" s="5" t="s">
        <v>6410</v>
      </c>
      <c r="F485" s="6">
        <v>6630</v>
      </c>
    </row>
    <row r="486" spans="1:6" x14ac:dyDescent="0.15">
      <c r="A486" s="5" t="s">
        <v>43</v>
      </c>
      <c r="B486" s="5" t="s">
        <v>4605</v>
      </c>
      <c r="C486" s="9">
        <v>42584</v>
      </c>
      <c r="D486" s="5" t="s">
        <v>16</v>
      </c>
      <c r="E486" s="5" t="s">
        <v>4606</v>
      </c>
      <c r="F486" s="6">
        <v>10185</v>
      </c>
    </row>
    <row r="487" spans="1:6" x14ac:dyDescent="0.15">
      <c r="A487" s="5" t="s">
        <v>37</v>
      </c>
      <c r="B487" s="5" t="s">
        <v>6361</v>
      </c>
      <c r="C487" s="9">
        <v>42584</v>
      </c>
      <c r="D487" s="5" t="s">
        <v>16</v>
      </c>
      <c r="E487" s="5" t="s">
        <v>4606</v>
      </c>
      <c r="F487" s="6">
        <v>3900</v>
      </c>
    </row>
    <row r="488" spans="1:6" x14ac:dyDescent="0.15">
      <c r="A488" s="5" t="s">
        <v>43</v>
      </c>
      <c r="B488" s="5" t="s">
        <v>4646</v>
      </c>
      <c r="C488" s="9">
        <v>42618</v>
      </c>
      <c r="D488" s="5" t="s">
        <v>16</v>
      </c>
      <c r="E488" s="5" t="s">
        <v>4647</v>
      </c>
      <c r="F488" s="6">
        <v>97</v>
      </c>
    </row>
    <row r="489" spans="1:6" x14ac:dyDescent="0.15">
      <c r="A489" s="5" t="s">
        <v>43</v>
      </c>
      <c r="B489" s="5" t="s">
        <v>4641</v>
      </c>
      <c r="C489" s="9">
        <v>42614</v>
      </c>
      <c r="D489" s="5" t="s">
        <v>16</v>
      </c>
      <c r="E489" s="5" t="s">
        <v>4642</v>
      </c>
      <c r="F489" s="6">
        <v>291</v>
      </c>
    </row>
    <row r="490" spans="1:6" x14ac:dyDescent="0.15">
      <c r="A490" s="5" t="s">
        <v>35</v>
      </c>
      <c r="B490" s="5" t="s">
        <v>2899</v>
      </c>
      <c r="C490" s="9">
        <v>42614</v>
      </c>
      <c r="D490" s="5" t="s">
        <v>16</v>
      </c>
      <c r="E490" s="5" t="s">
        <v>2900</v>
      </c>
      <c r="F490" s="6">
        <v>1950</v>
      </c>
    </row>
    <row r="491" spans="1:6" x14ac:dyDescent="0.15">
      <c r="A491" s="5" t="s">
        <v>43</v>
      </c>
      <c r="B491" s="5" t="s">
        <v>4643</v>
      </c>
      <c r="C491" s="9">
        <v>42614</v>
      </c>
      <c r="D491" s="5" t="s">
        <v>16</v>
      </c>
      <c r="E491" s="5" t="s">
        <v>2900</v>
      </c>
      <c r="F491" s="6">
        <v>873</v>
      </c>
    </row>
    <row r="492" spans="1:6" x14ac:dyDescent="0.15">
      <c r="A492" s="5" t="s">
        <v>37</v>
      </c>
      <c r="B492" s="5" t="s">
        <v>6428</v>
      </c>
      <c r="C492" s="9">
        <v>42614</v>
      </c>
      <c r="D492" s="5" t="s">
        <v>16</v>
      </c>
      <c r="E492" s="5" t="s">
        <v>2900</v>
      </c>
      <c r="F492" s="6">
        <v>97.5</v>
      </c>
    </row>
    <row r="493" spans="1:6" x14ac:dyDescent="0.15">
      <c r="A493" s="5" t="s">
        <v>35</v>
      </c>
      <c r="B493" s="5" t="s">
        <v>2901</v>
      </c>
      <c r="C493" s="9">
        <v>42614</v>
      </c>
      <c r="D493" s="5" t="s">
        <v>16</v>
      </c>
      <c r="E493" s="5" t="s">
        <v>2902</v>
      </c>
      <c r="F493" s="6">
        <v>2437.5</v>
      </c>
    </row>
    <row r="494" spans="1:6" x14ac:dyDescent="0.15">
      <c r="A494" s="5" t="s">
        <v>37</v>
      </c>
      <c r="B494" s="5" t="s">
        <v>6429</v>
      </c>
      <c r="C494" s="9">
        <v>42614</v>
      </c>
      <c r="D494" s="5" t="s">
        <v>16</v>
      </c>
      <c r="E494" s="5" t="s">
        <v>6430</v>
      </c>
      <c r="F494" s="6">
        <v>1560</v>
      </c>
    </row>
    <row r="495" spans="1:6" x14ac:dyDescent="0.15">
      <c r="A495" s="5" t="s">
        <v>43</v>
      </c>
      <c r="B495" s="5" t="s">
        <v>4644</v>
      </c>
      <c r="C495" s="9">
        <v>42614</v>
      </c>
      <c r="D495" s="5" t="s">
        <v>16</v>
      </c>
      <c r="E495" s="5" t="s">
        <v>4645</v>
      </c>
      <c r="F495" s="6">
        <v>291</v>
      </c>
    </row>
    <row r="496" spans="1:6" x14ac:dyDescent="0.15">
      <c r="A496" s="5" t="s">
        <v>37</v>
      </c>
      <c r="B496" s="5" t="s">
        <v>6431</v>
      </c>
      <c r="C496" s="9">
        <v>42614</v>
      </c>
      <c r="D496" s="5" t="s">
        <v>16</v>
      </c>
      <c r="E496" s="5" t="s">
        <v>4645</v>
      </c>
      <c r="F496" s="6">
        <v>585</v>
      </c>
    </row>
    <row r="497" spans="1:6" x14ac:dyDescent="0.15">
      <c r="A497" s="5" t="s">
        <v>37</v>
      </c>
      <c r="B497" s="5" t="s">
        <v>6432</v>
      </c>
      <c r="C497" s="9">
        <v>42618</v>
      </c>
      <c r="D497" s="5" t="s">
        <v>16</v>
      </c>
      <c r="E497" s="5" t="s">
        <v>6433</v>
      </c>
      <c r="F497" s="6">
        <v>975</v>
      </c>
    </row>
    <row r="498" spans="1:6" x14ac:dyDescent="0.15">
      <c r="A498" s="5" t="s">
        <v>37</v>
      </c>
      <c r="B498" s="5" t="s">
        <v>6434</v>
      </c>
      <c r="C498" s="9">
        <v>42618</v>
      </c>
      <c r="D498" s="5" t="s">
        <v>16</v>
      </c>
      <c r="E498" s="5" t="s">
        <v>6433</v>
      </c>
      <c r="F498" s="6">
        <v>975</v>
      </c>
    </row>
    <row r="499" spans="1:6" x14ac:dyDescent="0.15">
      <c r="A499" s="5" t="s">
        <v>37</v>
      </c>
      <c r="B499" s="5" t="s">
        <v>6435</v>
      </c>
      <c r="C499" s="9">
        <v>42618</v>
      </c>
      <c r="D499" s="5" t="s">
        <v>16</v>
      </c>
      <c r="E499" s="5" t="s">
        <v>6433</v>
      </c>
      <c r="F499" s="6">
        <v>-975</v>
      </c>
    </row>
    <row r="500" spans="1:6" x14ac:dyDescent="0.15">
      <c r="A500" s="5" t="s">
        <v>35</v>
      </c>
      <c r="B500" s="5" t="s">
        <v>2903</v>
      </c>
      <c r="C500" s="9">
        <v>42619</v>
      </c>
      <c r="D500" s="5" t="s">
        <v>16</v>
      </c>
      <c r="E500" s="5" t="s">
        <v>2904</v>
      </c>
      <c r="F500" s="6">
        <v>5850</v>
      </c>
    </row>
    <row r="501" spans="1:6" x14ac:dyDescent="0.15">
      <c r="A501" s="5" t="s">
        <v>53</v>
      </c>
      <c r="B501" s="5" t="s">
        <v>8401</v>
      </c>
      <c r="C501" s="9">
        <v>42619</v>
      </c>
      <c r="D501" s="5" t="s">
        <v>16</v>
      </c>
      <c r="E501" s="5" t="s">
        <v>8402</v>
      </c>
      <c r="F501" s="6">
        <v>1560</v>
      </c>
    </row>
    <row r="502" spans="1:6" x14ac:dyDescent="0.15">
      <c r="A502" s="5" t="s">
        <v>37</v>
      </c>
      <c r="B502" s="5" t="s">
        <v>6436</v>
      </c>
      <c r="C502" s="9">
        <v>42620</v>
      </c>
      <c r="D502" s="5" t="s">
        <v>16</v>
      </c>
      <c r="E502" s="5" t="s">
        <v>4649</v>
      </c>
      <c r="F502" s="6">
        <v>1560</v>
      </c>
    </row>
    <row r="503" spans="1:6" x14ac:dyDescent="0.15">
      <c r="A503" s="5" t="s">
        <v>43</v>
      </c>
      <c r="B503" s="5" t="s">
        <v>4648</v>
      </c>
      <c r="C503" s="9">
        <v>42620</v>
      </c>
      <c r="D503" s="5" t="s">
        <v>16</v>
      </c>
      <c r="E503" s="5" t="s">
        <v>4649</v>
      </c>
      <c r="F503" s="6">
        <v>3734.5</v>
      </c>
    </row>
    <row r="504" spans="1:6" x14ac:dyDescent="0.15">
      <c r="A504" s="5" t="s">
        <v>40</v>
      </c>
      <c r="B504" s="5" t="s">
        <v>2329</v>
      </c>
      <c r="C504" s="9">
        <v>42615</v>
      </c>
      <c r="D504" s="5" t="s">
        <v>16</v>
      </c>
      <c r="E504" s="5" t="s">
        <v>2330</v>
      </c>
      <c r="F504" s="6">
        <v>3000</v>
      </c>
    </row>
    <row r="505" spans="1:6" x14ac:dyDescent="0.15">
      <c r="A505" s="5" t="s">
        <v>43</v>
      </c>
      <c r="B505" s="5" t="s">
        <v>4650</v>
      </c>
      <c r="C505" s="9">
        <v>42620</v>
      </c>
      <c r="D505" s="5" t="s">
        <v>16</v>
      </c>
      <c r="E505" s="5" t="s">
        <v>4651</v>
      </c>
      <c r="F505" s="6">
        <v>970</v>
      </c>
    </row>
    <row r="506" spans="1:6" x14ac:dyDescent="0.15">
      <c r="A506" s="5" t="s">
        <v>42</v>
      </c>
      <c r="B506" s="5" t="s">
        <v>5763</v>
      </c>
      <c r="C506" s="9">
        <v>42620</v>
      </c>
      <c r="D506" s="5" t="s">
        <v>16</v>
      </c>
      <c r="E506" s="5" t="s">
        <v>4651</v>
      </c>
      <c r="F506" s="6">
        <v>1500</v>
      </c>
    </row>
    <row r="507" spans="1:6" x14ac:dyDescent="0.15">
      <c r="A507" s="5" t="s">
        <v>43</v>
      </c>
      <c r="B507" s="5" t="s">
        <v>4652</v>
      </c>
      <c r="C507" s="9">
        <v>42620</v>
      </c>
      <c r="D507" s="5" t="s">
        <v>16</v>
      </c>
      <c r="E507" s="5" t="s">
        <v>4653</v>
      </c>
      <c r="F507" s="6">
        <v>679</v>
      </c>
    </row>
    <row r="508" spans="1:6" x14ac:dyDescent="0.15">
      <c r="A508" s="5" t="s">
        <v>44</v>
      </c>
      <c r="B508" s="5" t="s">
        <v>4319</v>
      </c>
      <c r="C508" s="9">
        <v>42621</v>
      </c>
      <c r="D508" s="5" t="s">
        <v>16</v>
      </c>
      <c r="E508" s="5" t="s">
        <v>4320</v>
      </c>
      <c r="F508" s="6">
        <v>19500</v>
      </c>
    </row>
    <row r="509" spans="1:6" x14ac:dyDescent="0.15">
      <c r="A509" s="5" t="s">
        <v>41</v>
      </c>
      <c r="B509" s="5" t="s">
        <v>1799</v>
      </c>
      <c r="C509" s="9">
        <v>42632</v>
      </c>
      <c r="D509" s="5" t="s">
        <v>16</v>
      </c>
      <c r="E509" s="5" t="s">
        <v>1800</v>
      </c>
      <c r="F509" s="6">
        <v>1503.5</v>
      </c>
    </row>
    <row r="510" spans="1:6" x14ac:dyDescent="0.15">
      <c r="A510" s="5" t="s">
        <v>40</v>
      </c>
      <c r="B510" s="5" t="s">
        <v>2332</v>
      </c>
      <c r="C510" s="9">
        <v>42632</v>
      </c>
      <c r="D510" s="5" t="s">
        <v>16</v>
      </c>
      <c r="E510" s="5" t="s">
        <v>1800</v>
      </c>
      <c r="F510" s="6">
        <v>4500</v>
      </c>
    </row>
    <row r="511" spans="1:6" x14ac:dyDescent="0.15">
      <c r="A511" s="5" t="s">
        <v>35</v>
      </c>
      <c r="B511" s="5" t="s">
        <v>2918</v>
      </c>
      <c r="C511" s="9">
        <v>42632</v>
      </c>
      <c r="D511" s="5" t="s">
        <v>16</v>
      </c>
      <c r="E511" s="5" t="s">
        <v>1800</v>
      </c>
      <c r="F511" s="6">
        <v>7800</v>
      </c>
    </row>
    <row r="512" spans="1:6" x14ac:dyDescent="0.15">
      <c r="A512" s="5" t="s">
        <v>37</v>
      </c>
      <c r="B512" s="5" t="s">
        <v>6437</v>
      </c>
      <c r="C512" s="9">
        <v>42621</v>
      </c>
      <c r="D512" s="5" t="s">
        <v>16</v>
      </c>
      <c r="E512" s="5" t="s">
        <v>2256</v>
      </c>
      <c r="F512" s="6">
        <v>7800</v>
      </c>
    </row>
    <row r="513" spans="1:6" x14ac:dyDescent="0.15">
      <c r="A513" s="5" t="s">
        <v>42</v>
      </c>
      <c r="B513" s="5" t="s">
        <v>5764</v>
      </c>
      <c r="C513" s="9">
        <v>42621</v>
      </c>
      <c r="D513" s="5" t="s">
        <v>16</v>
      </c>
      <c r="E513" s="5" t="s">
        <v>2256</v>
      </c>
      <c r="F513" s="6">
        <v>3000</v>
      </c>
    </row>
    <row r="514" spans="1:6" x14ac:dyDescent="0.15">
      <c r="A514" s="5" t="s">
        <v>64</v>
      </c>
      <c r="B514" s="5" t="s">
        <v>6104</v>
      </c>
      <c r="C514" s="9">
        <v>42621</v>
      </c>
      <c r="D514" s="5" t="s">
        <v>16</v>
      </c>
      <c r="E514" s="5" t="s">
        <v>2256</v>
      </c>
      <c r="F514" s="6">
        <v>6000</v>
      </c>
    </row>
    <row r="515" spans="1:6" x14ac:dyDescent="0.15">
      <c r="A515" s="5" t="s">
        <v>174</v>
      </c>
      <c r="B515" s="5" t="s">
        <v>2641</v>
      </c>
      <c r="C515" s="9">
        <v>42621</v>
      </c>
      <c r="D515" s="5" t="s">
        <v>16</v>
      </c>
      <c r="E515" s="5" t="s">
        <v>2256</v>
      </c>
      <c r="F515" s="6">
        <v>3000</v>
      </c>
    </row>
    <row r="516" spans="1:6" x14ac:dyDescent="0.15">
      <c r="A516" s="5" t="s">
        <v>63</v>
      </c>
      <c r="B516" s="5" t="s">
        <v>2255</v>
      </c>
      <c r="C516" s="9">
        <v>42621</v>
      </c>
      <c r="D516" s="5" t="s">
        <v>16</v>
      </c>
      <c r="E516" s="5" t="s">
        <v>2256</v>
      </c>
      <c r="F516" s="6">
        <v>1940</v>
      </c>
    </row>
    <row r="517" spans="1:6" x14ac:dyDescent="0.15">
      <c r="A517" s="5" t="s">
        <v>43</v>
      </c>
      <c r="B517" s="5" t="s">
        <v>4654</v>
      </c>
      <c r="C517" s="9">
        <v>42622</v>
      </c>
      <c r="D517" s="5" t="s">
        <v>16</v>
      </c>
      <c r="E517" s="5" t="s">
        <v>4655</v>
      </c>
      <c r="F517" s="6">
        <v>4074</v>
      </c>
    </row>
    <row r="518" spans="1:6" x14ac:dyDescent="0.15">
      <c r="A518" s="5" t="s">
        <v>37</v>
      </c>
      <c r="B518" s="5" t="s">
        <v>6438</v>
      </c>
      <c r="C518" s="9">
        <v>42622</v>
      </c>
      <c r="D518" s="5" t="s">
        <v>16</v>
      </c>
      <c r="E518" s="5" t="s">
        <v>4655</v>
      </c>
      <c r="F518" s="6">
        <v>1950</v>
      </c>
    </row>
    <row r="519" spans="1:6" x14ac:dyDescent="0.15">
      <c r="A519" s="5" t="s">
        <v>43</v>
      </c>
      <c r="B519" s="5" t="s">
        <v>4656</v>
      </c>
      <c r="C519" s="9">
        <v>42622</v>
      </c>
      <c r="D519" s="5" t="s">
        <v>16</v>
      </c>
      <c r="E519" s="5" t="s">
        <v>4322</v>
      </c>
      <c r="F519" s="6">
        <v>15520</v>
      </c>
    </row>
    <row r="520" spans="1:6" x14ac:dyDescent="0.15">
      <c r="A520" s="5" t="s">
        <v>42</v>
      </c>
      <c r="B520" s="5" t="s">
        <v>5765</v>
      </c>
      <c r="C520" s="9">
        <v>42622</v>
      </c>
      <c r="D520" s="5" t="s">
        <v>16</v>
      </c>
      <c r="E520" s="5" t="s">
        <v>4322</v>
      </c>
      <c r="F520" s="6">
        <v>1500</v>
      </c>
    </row>
    <row r="521" spans="1:6" x14ac:dyDescent="0.15">
      <c r="A521" s="5" t="s">
        <v>37</v>
      </c>
      <c r="B521" s="5" t="s">
        <v>6439</v>
      </c>
      <c r="C521" s="9">
        <v>42622</v>
      </c>
      <c r="D521" s="5" t="s">
        <v>16</v>
      </c>
      <c r="E521" s="5" t="s">
        <v>4322</v>
      </c>
      <c r="F521" s="6">
        <v>1950</v>
      </c>
    </row>
    <row r="522" spans="1:6" x14ac:dyDescent="0.15">
      <c r="A522" s="5" t="s">
        <v>44</v>
      </c>
      <c r="B522" s="5" t="s">
        <v>4321</v>
      </c>
      <c r="C522" s="9">
        <v>42622</v>
      </c>
      <c r="D522" s="5" t="s">
        <v>16</v>
      </c>
      <c r="E522" s="5" t="s">
        <v>4322</v>
      </c>
      <c r="F522" s="6">
        <v>1950</v>
      </c>
    </row>
    <row r="523" spans="1:6" x14ac:dyDescent="0.15">
      <c r="A523" s="5" t="s">
        <v>148</v>
      </c>
      <c r="B523" s="5" t="s">
        <v>5627</v>
      </c>
      <c r="C523" s="9">
        <v>42622</v>
      </c>
      <c r="D523" s="5" t="s">
        <v>16</v>
      </c>
      <c r="E523" s="5" t="s">
        <v>1798</v>
      </c>
      <c r="F523" s="6">
        <v>11640</v>
      </c>
    </row>
    <row r="524" spans="1:6" x14ac:dyDescent="0.15">
      <c r="A524" s="5" t="s">
        <v>41</v>
      </c>
      <c r="B524" s="5" t="s">
        <v>1797</v>
      </c>
      <c r="C524" s="9">
        <v>42622</v>
      </c>
      <c r="D524" s="5" t="s">
        <v>16</v>
      </c>
      <c r="E524" s="5" t="s">
        <v>1798</v>
      </c>
      <c r="F524" s="6">
        <v>3880</v>
      </c>
    </row>
    <row r="525" spans="1:6" x14ac:dyDescent="0.15">
      <c r="A525" s="5" t="s">
        <v>40</v>
      </c>
      <c r="B525" s="5" t="s">
        <v>2331</v>
      </c>
      <c r="C525" s="9">
        <v>42622</v>
      </c>
      <c r="D525" s="5" t="s">
        <v>16</v>
      </c>
      <c r="E525" s="5" t="s">
        <v>1798</v>
      </c>
      <c r="F525" s="6">
        <v>4500</v>
      </c>
    </row>
    <row r="526" spans="1:6" x14ac:dyDescent="0.15">
      <c r="A526" s="5" t="s">
        <v>53</v>
      </c>
      <c r="B526" s="5" t="s">
        <v>8399</v>
      </c>
      <c r="C526" s="9">
        <v>42615</v>
      </c>
      <c r="D526" s="5" t="s">
        <v>16</v>
      </c>
      <c r="E526" s="5" t="s">
        <v>8400</v>
      </c>
      <c r="F526" s="6">
        <v>16770</v>
      </c>
    </row>
    <row r="527" spans="1:6" x14ac:dyDescent="0.15">
      <c r="A527" s="5" t="s">
        <v>49</v>
      </c>
      <c r="B527" s="5" t="s">
        <v>8639</v>
      </c>
      <c r="C527" s="9">
        <v>42615</v>
      </c>
      <c r="D527" s="5" t="s">
        <v>16</v>
      </c>
      <c r="E527" s="5" t="s">
        <v>8640</v>
      </c>
      <c r="F527" s="6">
        <v>2000</v>
      </c>
    </row>
    <row r="528" spans="1:6" x14ac:dyDescent="0.15">
      <c r="A528" s="5" t="s">
        <v>35</v>
      </c>
      <c r="B528" s="5" t="s">
        <v>2905</v>
      </c>
      <c r="C528" s="9">
        <v>42619</v>
      </c>
      <c r="D528" s="5" t="s">
        <v>16</v>
      </c>
      <c r="E528" s="5" t="s">
        <v>2906</v>
      </c>
      <c r="F528" s="6">
        <v>975</v>
      </c>
    </row>
    <row r="529" spans="1:6" x14ac:dyDescent="0.15">
      <c r="A529" s="5" t="s">
        <v>55</v>
      </c>
      <c r="B529" s="5" t="s">
        <v>4478</v>
      </c>
      <c r="C529" s="9">
        <v>42619</v>
      </c>
      <c r="D529" s="5" t="s">
        <v>16</v>
      </c>
      <c r="E529" s="5" t="s">
        <v>2906</v>
      </c>
      <c r="F529" s="6">
        <v>1200</v>
      </c>
    </row>
    <row r="530" spans="1:6" x14ac:dyDescent="0.15">
      <c r="A530" s="5" t="s">
        <v>35</v>
      </c>
      <c r="B530" s="5" t="s">
        <v>2912</v>
      </c>
      <c r="C530" s="9">
        <v>42622</v>
      </c>
      <c r="D530" s="5" t="s">
        <v>16</v>
      </c>
      <c r="E530" s="5" t="s">
        <v>2913</v>
      </c>
      <c r="F530" s="6">
        <v>2535</v>
      </c>
    </row>
    <row r="531" spans="1:6" x14ac:dyDescent="0.15">
      <c r="A531" s="5" t="s">
        <v>35</v>
      </c>
      <c r="B531" s="5" t="s">
        <v>2908</v>
      </c>
      <c r="C531" s="9">
        <v>42621</v>
      </c>
      <c r="D531" s="5" t="s">
        <v>16</v>
      </c>
      <c r="E531" s="5" t="s">
        <v>2909</v>
      </c>
      <c r="F531" s="6">
        <v>1755</v>
      </c>
    </row>
    <row r="532" spans="1:6" x14ac:dyDescent="0.15">
      <c r="A532" s="5" t="s">
        <v>35</v>
      </c>
      <c r="B532" s="5" t="s">
        <v>2910</v>
      </c>
      <c r="C532" s="9">
        <v>42621</v>
      </c>
      <c r="D532" s="5" t="s">
        <v>16</v>
      </c>
      <c r="E532" s="5" t="s">
        <v>2911</v>
      </c>
      <c r="F532" s="6">
        <v>682.5</v>
      </c>
    </row>
    <row r="533" spans="1:6" x14ac:dyDescent="0.15">
      <c r="A533" s="5" t="s">
        <v>37</v>
      </c>
      <c r="B533" s="5" t="s">
        <v>6440</v>
      </c>
      <c r="C533" s="9">
        <v>42622</v>
      </c>
      <c r="D533" s="5" t="s">
        <v>16</v>
      </c>
      <c r="E533" s="5" t="s">
        <v>6441</v>
      </c>
      <c r="F533" s="6">
        <v>8580</v>
      </c>
    </row>
    <row r="534" spans="1:6" x14ac:dyDescent="0.15">
      <c r="A534" s="5" t="s">
        <v>37</v>
      </c>
      <c r="B534" s="5" t="s">
        <v>6446</v>
      </c>
      <c r="C534" s="9">
        <v>42625</v>
      </c>
      <c r="D534" s="5" t="s">
        <v>16</v>
      </c>
      <c r="E534" s="5" t="s">
        <v>6447</v>
      </c>
      <c r="F534" s="6">
        <v>1560</v>
      </c>
    </row>
    <row r="535" spans="1:6" x14ac:dyDescent="0.15">
      <c r="A535" s="5" t="s">
        <v>43</v>
      </c>
      <c r="B535" s="5" t="s">
        <v>4657</v>
      </c>
      <c r="C535" s="9">
        <v>42625</v>
      </c>
      <c r="D535" s="5" t="s">
        <v>16</v>
      </c>
      <c r="E535" s="5" t="s">
        <v>4658</v>
      </c>
      <c r="F535" s="6">
        <v>2910</v>
      </c>
    </row>
    <row r="536" spans="1:6" x14ac:dyDescent="0.15">
      <c r="A536" s="5" t="s">
        <v>37</v>
      </c>
      <c r="B536" s="5" t="s">
        <v>6448</v>
      </c>
      <c r="C536" s="9">
        <v>42625</v>
      </c>
      <c r="D536" s="5" t="s">
        <v>16</v>
      </c>
      <c r="E536" s="5" t="s">
        <v>4658</v>
      </c>
      <c r="F536" s="6">
        <v>19305</v>
      </c>
    </row>
    <row r="537" spans="1:6" x14ac:dyDescent="0.15">
      <c r="A537" s="5" t="s">
        <v>43</v>
      </c>
      <c r="B537" s="5" t="s">
        <v>4659</v>
      </c>
      <c r="C537" s="9">
        <v>42625</v>
      </c>
      <c r="D537" s="5" t="s">
        <v>16</v>
      </c>
      <c r="E537" s="5" t="s">
        <v>4660</v>
      </c>
      <c r="F537" s="6">
        <v>1067</v>
      </c>
    </row>
    <row r="538" spans="1:6" x14ac:dyDescent="0.15">
      <c r="A538" s="5" t="s">
        <v>35</v>
      </c>
      <c r="B538" s="5" t="s">
        <v>2914</v>
      </c>
      <c r="C538" s="9">
        <v>42625</v>
      </c>
      <c r="D538" s="5" t="s">
        <v>16</v>
      </c>
      <c r="E538" s="5" t="s">
        <v>2915</v>
      </c>
      <c r="F538" s="6">
        <v>2340</v>
      </c>
    </row>
    <row r="539" spans="1:6" x14ac:dyDescent="0.15">
      <c r="A539" s="5" t="s">
        <v>44</v>
      </c>
      <c r="B539" s="5" t="s">
        <v>4323</v>
      </c>
      <c r="C539" s="9">
        <v>42629</v>
      </c>
      <c r="D539" s="5" t="s">
        <v>16</v>
      </c>
      <c r="E539" s="5" t="s">
        <v>4324</v>
      </c>
      <c r="F539" s="6">
        <v>19500</v>
      </c>
    </row>
    <row r="540" spans="1:6" x14ac:dyDescent="0.15">
      <c r="A540" s="5" t="s">
        <v>44</v>
      </c>
      <c r="B540" s="5" t="s">
        <v>4325</v>
      </c>
      <c r="C540" s="9">
        <v>42635</v>
      </c>
      <c r="D540" s="5" t="s">
        <v>16</v>
      </c>
      <c r="E540" s="5" t="s">
        <v>4326</v>
      </c>
      <c r="F540" s="6">
        <v>7800</v>
      </c>
    </row>
    <row r="541" spans="1:6" x14ac:dyDescent="0.15">
      <c r="A541" s="5" t="s">
        <v>44</v>
      </c>
      <c r="B541" s="5" t="s">
        <v>4329</v>
      </c>
      <c r="C541" s="9">
        <v>42660</v>
      </c>
      <c r="D541" s="5" t="s">
        <v>16</v>
      </c>
      <c r="E541" s="5" t="s">
        <v>4330</v>
      </c>
      <c r="F541" s="6">
        <v>7800</v>
      </c>
    </row>
    <row r="542" spans="1:6" x14ac:dyDescent="0.15">
      <c r="A542" s="5" t="s">
        <v>37</v>
      </c>
      <c r="B542" s="5" t="s">
        <v>6449</v>
      </c>
      <c r="C542" s="9">
        <v>42626</v>
      </c>
      <c r="D542" s="5" t="s">
        <v>16</v>
      </c>
      <c r="E542" s="5" t="s">
        <v>6450</v>
      </c>
      <c r="F542" s="6">
        <v>15990</v>
      </c>
    </row>
    <row r="543" spans="1:6" x14ac:dyDescent="0.15">
      <c r="A543" s="5" t="s">
        <v>37</v>
      </c>
      <c r="B543" s="5" t="s">
        <v>6451</v>
      </c>
      <c r="C543" s="9">
        <v>42626</v>
      </c>
      <c r="D543" s="5" t="s">
        <v>16</v>
      </c>
      <c r="E543" s="5" t="s">
        <v>6452</v>
      </c>
      <c r="F543" s="6">
        <v>7020</v>
      </c>
    </row>
    <row r="544" spans="1:6" x14ac:dyDescent="0.15">
      <c r="A544" s="5" t="s">
        <v>43</v>
      </c>
      <c r="B544" s="5" t="s">
        <v>4667</v>
      </c>
      <c r="C544" s="9">
        <v>42629</v>
      </c>
      <c r="D544" s="5" t="s">
        <v>16</v>
      </c>
      <c r="E544" s="5" t="s">
        <v>2917</v>
      </c>
      <c r="F544" s="6">
        <v>3880</v>
      </c>
    </row>
    <row r="545" spans="1:6" x14ac:dyDescent="0.15">
      <c r="A545" s="5" t="s">
        <v>37</v>
      </c>
      <c r="B545" s="5" t="s">
        <v>6454</v>
      </c>
      <c r="C545" s="9">
        <v>42629</v>
      </c>
      <c r="D545" s="5" t="s">
        <v>16</v>
      </c>
      <c r="E545" s="5" t="s">
        <v>2917</v>
      </c>
      <c r="F545" s="6">
        <v>3900</v>
      </c>
    </row>
    <row r="546" spans="1:6" x14ac:dyDescent="0.15">
      <c r="A546" s="5" t="s">
        <v>35</v>
      </c>
      <c r="B546" s="5" t="s">
        <v>2916</v>
      </c>
      <c r="C546" s="9">
        <v>42629</v>
      </c>
      <c r="D546" s="5" t="s">
        <v>16</v>
      </c>
      <c r="E546" s="5" t="s">
        <v>2917</v>
      </c>
      <c r="F546" s="6">
        <v>1950</v>
      </c>
    </row>
    <row r="547" spans="1:6" x14ac:dyDescent="0.15">
      <c r="A547" s="5" t="s">
        <v>43</v>
      </c>
      <c r="B547" s="5" t="s">
        <v>4661</v>
      </c>
      <c r="C547" s="9">
        <v>42627</v>
      </c>
      <c r="D547" s="5" t="s">
        <v>16</v>
      </c>
      <c r="E547" s="5" t="s">
        <v>4662</v>
      </c>
      <c r="F547" s="6">
        <v>48.5</v>
      </c>
    </row>
    <row r="548" spans="1:6" x14ac:dyDescent="0.15">
      <c r="A548" s="5" t="s">
        <v>43</v>
      </c>
      <c r="B548" s="5" t="s">
        <v>4663</v>
      </c>
      <c r="C548" s="9">
        <v>42627</v>
      </c>
      <c r="D548" s="5" t="s">
        <v>16</v>
      </c>
      <c r="E548" s="5" t="s">
        <v>4664</v>
      </c>
      <c r="F548" s="6">
        <v>388</v>
      </c>
    </row>
    <row r="549" spans="1:6" x14ac:dyDescent="0.15">
      <c r="A549" s="5" t="s">
        <v>43</v>
      </c>
      <c r="B549" s="5" t="s">
        <v>4665</v>
      </c>
      <c r="C549" s="9">
        <v>42628</v>
      </c>
      <c r="D549" s="5" t="s">
        <v>16</v>
      </c>
      <c r="E549" s="5" t="s">
        <v>4666</v>
      </c>
      <c r="F549" s="6">
        <v>1843</v>
      </c>
    </row>
    <row r="550" spans="1:6" x14ac:dyDescent="0.15">
      <c r="A550" s="5" t="s">
        <v>37</v>
      </c>
      <c r="B550" s="5" t="s">
        <v>6453</v>
      </c>
      <c r="C550" s="9">
        <v>42628</v>
      </c>
      <c r="D550" s="5" t="s">
        <v>16</v>
      </c>
      <c r="E550" s="5" t="s">
        <v>4666</v>
      </c>
      <c r="F550" s="6">
        <v>3607.5</v>
      </c>
    </row>
    <row r="551" spans="1:6" x14ac:dyDescent="0.15">
      <c r="A551" s="5" t="s">
        <v>41</v>
      </c>
      <c r="B551" s="5" t="s">
        <v>1795</v>
      </c>
      <c r="C551" s="9">
        <v>42620</v>
      </c>
      <c r="D551" s="5" t="s">
        <v>16</v>
      </c>
      <c r="E551" s="5" t="s">
        <v>1796</v>
      </c>
      <c r="F551" s="6">
        <v>485</v>
      </c>
    </row>
    <row r="552" spans="1:6" x14ac:dyDescent="0.15">
      <c r="A552" s="5" t="s">
        <v>35</v>
      </c>
      <c r="B552" s="5" t="s">
        <v>2907</v>
      </c>
      <c r="C552" s="9">
        <v>42620</v>
      </c>
      <c r="D552" s="5" t="s">
        <v>16</v>
      </c>
      <c r="E552" s="5" t="s">
        <v>1796</v>
      </c>
      <c r="F552" s="6">
        <v>5850</v>
      </c>
    </row>
    <row r="553" spans="1:6" x14ac:dyDescent="0.15">
      <c r="A553" s="5" t="s">
        <v>35</v>
      </c>
      <c r="B553" s="5" t="s">
        <v>2919</v>
      </c>
      <c r="C553" s="9">
        <v>42632</v>
      </c>
      <c r="D553" s="5" t="s">
        <v>16</v>
      </c>
      <c r="E553" s="5" t="s">
        <v>2920</v>
      </c>
      <c r="F553" s="6">
        <v>975</v>
      </c>
    </row>
    <row r="554" spans="1:6" x14ac:dyDescent="0.15">
      <c r="A554" s="5" t="s">
        <v>43</v>
      </c>
      <c r="B554" s="5" t="s">
        <v>4668</v>
      </c>
      <c r="C554" s="9">
        <v>42632</v>
      </c>
      <c r="D554" s="5" t="s">
        <v>16</v>
      </c>
      <c r="E554" s="5" t="s">
        <v>4669</v>
      </c>
      <c r="F554" s="6">
        <v>436.5</v>
      </c>
    </row>
    <row r="555" spans="1:6" x14ac:dyDescent="0.15">
      <c r="A555" s="5" t="s">
        <v>37</v>
      </c>
      <c r="B555" s="5" t="s">
        <v>6455</v>
      </c>
      <c r="C555" s="9">
        <v>42632</v>
      </c>
      <c r="D555" s="5" t="s">
        <v>16</v>
      </c>
      <c r="E555" s="5" t="s">
        <v>4669</v>
      </c>
      <c r="F555" s="6">
        <v>97.5</v>
      </c>
    </row>
    <row r="556" spans="1:6" x14ac:dyDescent="0.15">
      <c r="A556" s="5" t="s">
        <v>37</v>
      </c>
      <c r="B556" s="5" t="s">
        <v>6456</v>
      </c>
      <c r="C556" s="9">
        <v>42632</v>
      </c>
      <c r="D556" s="5" t="s">
        <v>16</v>
      </c>
      <c r="E556" s="5" t="s">
        <v>6457</v>
      </c>
      <c r="F556" s="6">
        <v>2047.5</v>
      </c>
    </row>
    <row r="557" spans="1:6" x14ac:dyDescent="0.15">
      <c r="A557" s="5" t="s">
        <v>37</v>
      </c>
      <c r="B557" s="5" t="s">
        <v>6458</v>
      </c>
      <c r="C557" s="9">
        <v>42632</v>
      </c>
      <c r="D557" s="5" t="s">
        <v>16</v>
      </c>
      <c r="E557" s="5" t="s">
        <v>2922</v>
      </c>
      <c r="F557" s="6">
        <v>3022.5</v>
      </c>
    </row>
    <row r="558" spans="1:6" x14ac:dyDescent="0.15">
      <c r="A558" s="5" t="s">
        <v>35</v>
      </c>
      <c r="B558" s="5" t="s">
        <v>2921</v>
      </c>
      <c r="C558" s="9">
        <v>42632</v>
      </c>
      <c r="D558" s="5" t="s">
        <v>16</v>
      </c>
      <c r="E558" s="5" t="s">
        <v>2922</v>
      </c>
      <c r="F558" s="6">
        <v>1950</v>
      </c>
    </row>
    <row r="559" spans="1:6" x14ac:dyDescent="0.15">
      <c r="A559" s="5" t="s">
        <v>37</v>
      </c>
      <c r="B559" s="5" t="s">
        <v>6459</v>
      </c>
      <c r="C559" s="9">
        <v>42632</v>
      </c>
      <c r="D559" s="5" t="s">
        <v>16</v>
      </c>
      <c r="E559" s="5" t="s">
        <v>6460</v>
      </c>
      <c r="F559" s="6">
        <v>7507.5</v>
      </c>
    </row>
    <row r="560" spans="1:6" x14ac:dyDescent="0.15">
      <c r="A560" s="5" t="s">
        <v>43</v>
      </c>
      <c r="B560" s="5" t="s">
        <v>4670</v>
      </c>
      <c r="C560" s="9">
        <v>42632</v>
      </c>
      <c r="D560" s="5" t="s">
        <v>16</v>
      </c>
      <c r="E560" s="5" t="s">
        <v>4671</v>
      </c>
      <c r="F560" s="6">
        <v>194</v>
      </c>
    </row>
    <row r="561" spans="1:6" x14ac:dyDescent="0.15">
      <c r="A561" s="5" t="s">
        <v>37</v>
      </c>
      <c r="B561" s="5" t="s">
        <v>6461</v>
      </c>
      <c r="C561" s="9">
        <v>42632</v>
      </c>
      <c r="D561" s="5" t="s">
        <v>16</v>
      </c>
      <c r="E561" s="5" t="s">
        <v>4671</v>
      </c>
      <c r="F561" s="6">
        <v>390</v>
      </c>
    </row>
    <row r="562" spans="1:6" x14ac:dyDescent="0.15">
      <c r="A562" s="5" t="s">
        <v>43</v>
      </c>
      <c r="B562" s="5" t="s">
        <v>4672</v>
      </c>
      <c r="C562" s="9">
        <v>42632</v>
      </c>
      <c r="D562" s="5" t="s">
        <v>16</v>
      </c>
      <c r="E562" s="5" t="s">
        <v>4673</v>
      </c>
      <c r="F562" s="6">
        <v>-436.5</v>
      </c>
    </row>
    <row r="563" spans="1:6" x14ac:dyDescent="0.15">
      <c r="A563" s="5" t="s">
        <v>37</v>
      </c>
      <c r="B563" s="5" t="s">
        <v>6462</v>
      </c>
      <c r="C563" s="9">
        <v>42632</v>
      </c>
      <c r="D563" s="5" t="s">
        <v>16</v>
      </c>
      <c r="E563" s="5" t="s">
        <v>4673</v>
      </c>
      <c r="F563" s="6">
        <v>-97.5</v>
      </c>
    </row>
    <row r="564" spans="1:6" x14ac:dyDescent="0.15">
      <c r="A564" s="5" t="s">
        <v>43</v>
      </c>
      <c r="B564" s="5" t="s">
        <v>4674</v>
      </c>
      <c r="C564" s="9">
        <v>42632</v>
      </c>
      <c r="D564" s="5" t="s">
        <v>16</v>
      </c>
      <c r="E564" s="5" t="s">
        <v>4675</v>
      </c>
      <c r="F564" s="6">
        <v>436.5</v>
      </c>
    </row>
    <row r="565" spans="1:6" x14ac:dyDescent="0.15">
      <c r="A565" s="5" t="s">
        <v>37</v>
      </c>
      <c r="B565" s="5" t="s">
        <v>6463</v>
      </c>
      <c r="C565" s="9">
        <v>42632</v>
      </c>
      <c r="D565" s="5" t="s">
        <v>16</v>
      </c>
      <c r="E565" s="5" t="s">
        <v>4675</v>
      </c>
      <c r="F565" s="6">
        <v>1170</v>
      </c>
    </row>
    <row r="566" spans="1:6" x14ac:dyDescent="0.15">
      <c r="A566" s="5" t="s">
        <v>43</v>
      </c>
      <c r="B566" s="5" t="s">
        <v>4676</v>
      </c>
      <c r="C566" s="9">
        <v>42632</v>
      </c>
      <c r="D566" s="5" t="s">
        <v>16</v>
      </c>
      <c r="E566" s="5" t="s">
        <v>4677</v>
      </c>
      <c r="F566" s="6">
        <v>2328</v>
      </c>
    </row>
    <row r="567" spans="1:6" x14ac:dyDescent="0.15">
      <c r="A567" s="5" t="s">
        <v>37</v>
      </c>
      <c r="B567" s="5" t="s">
        <v>6464</v>
      </c>
      <c r="C567" s="9">
        <v>42632</v>
      </c>
      <c r="D567" s="5" t="s">
        <v>16</v>
      </c>
      <c r="E567" s="5" t="s">
        <v>4677</v>
      </c>
      <c r="F567" s="6">
        <v>4485</v>
      </c>
    </row>
    <row r="568" spans="1:6" x14ac:dyDescent="0.15">
      <c r="A568" s="5" t="s">
        <v>35</v>
      </c>
      <c r="B568" s="5" t="s">
        <v>2923</v>
      </c>
      <c r="C568" s="9">
        <v>42632</v>
      </c>
      <c r="D568" s="5" t="s">
        <v>16</v>
      </c>
      <c r="E568" s="5" t="s">
        <v>2924</v>
      </c>
      <c r="F568" s="6">
        <v>7312.5</v>
      </c>
    </row>
    <row r="569" spans="1:6" x14ac:dyDescent="0.15">
      <c r="A569" s="5" t="s">
        <v>55</v>
      </c>
      <c r="B569" s="5" t="s">
        <v>4479</v>
      </c>
      <c r="C569" s="9">
        <v>42632</v>
      </c>
      <c r="D569" s="5" t="s">
        <v>16</v>
      </c>
      <c r="E569" s="5" t="s">
        <v>2924</v>
      </c>
      <c r="F569" s="6">
        <v>250</v>
      </c>
    </row>
    <row r="570" spans="1:6" x14ac:dyDescent="0.15">
      <c r="A570" s="5" t="s">
        <v>43</v>
      </c>
      <c r="B570" s="5" t="s">
        <v>4678</v>
      </c>
      <c r="C570" s="9">
        <v>42632</v>
      </c>
      <c r="D570" s="5" t="s">
        <v>16</v>
      </c>
      <c r="E570" s="5" t="s">
        <v>4679</v>
      </c>
      <c r="F570" s="6">
        <v>970</v>
      </c>
    </row>
    <row r="571" spans="1:6" x14ac:dyDescent="0.15">
      <c r="A571" s="5" t="s">
        <v>35</v>
      </c>
      <c r="B571" s="5" t="s">
        <v>2925</v>
      </c>
      <c r="C571" s="9">
        <v>42632</v>
      </c>
      <c r="D571" s="5" t="s">
        <v>16</v>
      </c>
      <c r="E571" s="5" t="s">
        <v>2926</v>
      </c>
      <c r="F571" s="6">
        <v>6532.5</v>
      </c>
    </row>
    <row r="572" spans="1:6" x14ac:dyDescent="0.15">
      <c r="A572" s="5" t="s">
        <v>37</v>
      </c>
      <c r="B572" s="5" t="s">
        <v>6465</v>
      </c>
      <c r="C572" s="9">
        <v>42632</v>
      </c>
      <c r="D572" s="5" t="s">
        <v>16</v>
      </c>
      <c r="E572" s="5" t="s">
        <v>6466</v>
      </c>
      <c r="F572" s="6">
        <v>975</v>
      </c>
    </row>
    <row r="573" spans="1:6" x14ac:dyDescent="0.15">
      <c r="A573" s="5" t="s">
        <v>35</v>
      </c>
      <c r="B573" s="5" t="s">
        <v>2927</v>
      </c>
      <c r="C573" s="9">
        <v>42634</v>
      </c>
      <c r="D573" s="5" t="s">
        <v>16</v>
      </c>
      <c r="E573" s="5" t="s">
        <v>2928</v>
      </c>
      <c r="F573" s="6">
        <v>585</v>
      </c>
    </row>
    <row r="574" spans="1:6" x14ac:dyDescent="0.15">
      <c r="A574" s="5" t="s">
        <v>35</v>
      </c>
      <c r="B574" s="5" t="s">
        <v>2927</v>
      </c>
      <c r="C574" s="9">
        <v>42635</v>
      </c>
      <c r="D574" s="5" t="s">
        <v>16</v>
      </c>
      <c r="E574" s="5" t="s">
        <v>2928</v>
      </c>
      <c r="F574" s="6">
        <v>390</v>
      </c>
    </row>
    <row r="575" spans="1:6" x14ac:dyDescent="0.15">
      <c r="A575" s="5" t="s">
        <v>43</v>
      </c>
      <c r="B575" s="5" t="s">
        <v>4680</v>
      </c>
      <c r="C575" s="9">
        <v>42633</v>
      </c>
      <c r="D575" s="5" t="s">
        <v>16</v>
      </c>
      <c r="E575" s="5" t="s">
        <v>4681</v>
      </c>
      <c r="F575" s="6">
        <v>1649</v>
      </c>
    </row>
    <row r="576" spans="1:6" x14ac:dyDescent="0.15">
      <c r="A576" s="5" t="s">
        <v>35</v>
      </c>
      <c r="B576" s="5" t="s">
        <v>2929</v>
      </c>
      <c r="C576" s="9">
        <v>42634</v>
      </c>
      <c r="D576" s="5" t="s">
        <v>16</v>
      </c>
      <c r="E576" s="5" t="s">
        <v>2930</v>
      </c>
      <c r="F576" s="6">
        <v>3705</v>
      </c>
    </row>
    <row r="577" spans="1:6" x14ac:dyDescent="0.15">
      <c r="A577" s="5" t="s">
        <v>37</v>
      </c>
      <c r="B577" s="5" t="s">
        <v>6467</v>
      </c>
      <c r="C577" s="9">
        <v>42634</v>
      </c>
      <c r="D577" s="5" t="s">
        <v>16</v>
      </c>
      <c r="E577" s="5" t="s">
        <v>6468</v>
      </c>
      <c r="F577" s="6">
        <v>4875</v>
      </c>
    </row>
    <row r="578" spans="1:6" x14ac:dyDescent="0.15">
      <c r="A578" s="5" t="s">
        <v>37</v>
      </c>
      <c r="B578" s="5" t="s">
        <v>6469</v>
      </c>
      <c r="C578" s="9">
        <v>42634</v>
      </c>
      <c r="D578" s="5" t="s">
        <v>16</v>
      </c>
      <c r="E578" s="5" t="s">
        <v>4683</v>
      </c>
      <c r="F578" s="6">
        <v>8970</v>
      </c>
    </row>
    <row r="579" spans="1:6" x14ac:dyDescent="0.15">
      <c r="A579" s="5" t="s">
        <v>43</v>
      </c>
      <c r="B579" s="5" t="s">
        <v>4682</v>
      </c>
      <c r="C579" s="9">
        <v>42634</v>
      </c>
      <c r="D579" s="5" t="s">
        <v>16</v>
      </c>
      <c r="E579" s="5" t="s">
        <v>4683</v>
      </c>
      <c r="F579" s="6">
        <v>1018.5</v>
      </c>
    </row>
    <row r="580" spans="1:6" x14ac:dyDescent="0.15">
      <c r="A580" s="5" t="s">
        <v>35</v>
      </c>
      <c r="B580" s="5" t="s">
        <v>2931</v>
      </c>
      <c r="C580" s="9">
        <v>42634</v>
      </c>
      <c r="D580" s="5" t="s">
        <v>16</v>
      </c>
      <c r="E580" s="5" t="s">
        <v>2932</v>
      </c>
      <c r="F580" s="6">
        <v>1560</v>
      </c>
    </row>
    <row r="581" spans="1:6" x14ac:dyDescent="0.15">
      <c r="A581" s="5" t="s">
        <v>55</v>
      </c>
      <c r="B581" s="5" t="s">
        <v>4480</v>
      </c>
      <c r="C581" s="9">
        <v>42634</v>
      </c>
      <c r="D581" s="5" t="s">
        <v>16</v>
      </c>
      <c r="E581" s="5" t="s">
        <v>2932</v>
      </c>
      <c r="F581" s="6">
        <v>240</v>
      </c>
    </row>
    <row r="582" spans="1:6" x14ac:dyDescent="0.15">
      <c r="A582" s="5" t="s">
        <v>37</v>
      </c>
      <c r="B582" s="5" t="s">
        <v>6470</v>
      </c>
      <c r="C582" s="9">
        <v>42634</v>
      </c>
      <c r="D582" s="5" t="s">
        <v>16</v>
      </c>
      <c r="E582" s="5" t="s">
        <v>6471</v>
      </c>
      <c r="F582" s="6">
        <v>1462.5</v>
      </c>
    </row>
    <row r="583" spans="1:6" x14ac:dyDescent="0.15">
      <c r="A583" s="5" t="s">
        <v>49</v>
      </c>
      <c r="B583" s="5" t="s">
        <v>8641</v>
      </c>
      <c r="C583" s="9">
        <v>42634</v>
      </c>
      <c r="D583" s="5" t="s">
        <v>16</v>
      </c>
      <c r="E583" s="5" t="s">
        <v>6471</v>
      </c>
      <c r="F583" s="6">
        <v>270</v>
      </c>
    </row>
    <row r="584" spans="1:6" x14ac:dyDescent="0.15">
      <c r="A584" s="5" t="s">
        <v>37</v>
      </c>
      <c r="B584" s="5" t="s">
        <v>6472</v>
      </c>
      <c r="C584" s="9">
        <v>42635</v>
      </c>
      <c r="D584" s="5" t="s">
        <v>16</v>
      </c>
      <c r="E584" s="5" t="s">
        <v>6473</v>
      </c>
      <c r="F584" s="6">
        <v>585</v>
      </c>
    </row>
    <row r="585" spans="1:6" x14ac:dyDescent="0.15">
      <c r="A585" s="5" t="s">
        <v>35</v>
      </c>
      <c r="B585" s="5" t="s">
        <v>2933</v>
      </c>
      <c r="C585" s="9">
        <v>42635</v>
      </c>
      <c r="D585" s="5" t="s">
        <v>16</v>
      </c>
      <c r="E585" s="5" t="s">
        <v>2934</v>
      </c>
      <c r="F585" s="6">
        <v>195</v>
      </c>
    </row>
    <row r="586" spans="1:6" x14ac:dyDescent="0.15">
      <c r="A586" s="5" t="s">
        <v>37</v>
      </c>
      <c r="B586" s="5" t="s">
        <v>6474</v>
      </c>
      <c r="C586" s="9">
        <v>42635</v>
      </c>
      <c r="D586" s="5" t="s">
        <v>16</v>
      </c>
      <c r="E586" s="5" t="s">
        <v>2934</v>
      </c>
      <c r="F586" s="6">
        <v>1657.5</v>
      </c>
    </row>
    <row r="587" spans="1:6" x14ac:dyDescent="0.15">
      <c r="A587" s="5" t="s">
        <v>37</v>
      </c>
      <c r="B587" s="5" t="s">
        <v>6442</v>
      </c>
      <c r="C587" s="9">
        <v>42622</v>
      </c>
      <c r="D587" s="5" t="s">
        <v>16</v>
      </c>
      <c r="E587" s="5" t="s">
        <v>6443</v>
      </c>
      <c r="F587" s="6">
        <v>-8580</v>
      </c>
    </row>
    <row r="588" spans="1:6" x14ac:dyDescent="0.15">
      <c r="A588" s="5" t="s">
        <v>37</v>
      </c>
      <c r="B588" s="5" t="s">
        <v>6444</v>
      </c>
      <c r="C588" s="9">
        <v>42622</v>
      </c>
      <c r="D588" s="5" t="s">
        <v>16</v>
      </c>
      <c r="E588" s="5" t="s">
        <v>6445</v>
      </c>
      <c r="F588" s="6">
        <v>8578.5</v>
      </c>
    </row>
    <row r="589" spans="1:6" x14ac:dyDescent="0.15">
      <c r="A589" s="5" t="s">
        <v>43</v>
      </c>
      <c r="B589" s="5" t="s">
        <v>4685</v>
      </c>
      <c r="C589" s="9">
        <v>42636</v>
      </c>
      <c r="D589" s="5" t="s">
        <v>16</v>
      </c>
      <c r="E589" s="5" t="s">
        <v>4686</v>
      </c>
      <c r="F589" s="6">
        <v>48.5</v>
      </c>
    </row>
    <row r="590" spans="1:6" x14ac:dyDescent="0.15">
      <c r="A590" s="5" t="s">
        <v>37</v>
      </c>
      <c r="B590" s="5" t="s">
        <v>6475</v>
      </c>
      <c r="C590" s="9">
        <v>42636</v>
      </c>
      <c r="D590" s="5" t="s">
        <v>16</v>
      </c>
      <c r="E590" s="5" t="s">
        <v>4686</v>
      </c>
      <c r="F590" s="6">
        <v>97.5</v>
      </c>
    </row>
    <row r="591" spans="1:6" x14ac:dyDescent="0.15">
      <c r="A591" s="5" t="s">
        <v>41</v>
      </c>
      <c r="B591" s="5" t="s">
        <v>1803</v>
      </c>
      <c r="C591" s="9">
        <v>42639</v>
      </c>
      <c r="D591" s="5" t="s">
        <v>16</v>
      </c>
      <c r="E591" s="5" t="s">
        <v>1804</v>
      </c>
      <c r="F591" s="6">
        <v>388</v>
      </c>
    </row>
    <row r="592" spans="1:6" x14ac:dyDescent="0.15">
      <c r="A592" s="5" t="s">
        <v>35</v>
      </c>
      <c r="B592" s="5" t="s">
        <v>2935</v>
      </c>
      <c r="C592" s="9">
        <v>42639</v>
      </c>
      <c r="D592" s="5" t="s">
        <v>16</v>
      </c>
      <c r="E592" s="5" t="s">
        <v>1804</v>
      </c>
      <c r="F592" s="6">
        <v>1365</v>
      </c>
    </row>
    <row r="593" spans="1:6" x14ac:dyDescent="0.15">
      <c r="A593" s="5" t="s">
        <v>55</v>
      </c>
      <c r="B593" s="5" t="s">
        <v>4481</v>
      </c>
      <c r="C593" s="9">
        <v>42639</v>
      </c>
      <c r="D593" s="5" t="s">
        <v>16</v>
      </c>
      <c r="E593" s="5" t="s">
        <v>1804</v>
      </c>
      <c r="F593" s="6">
        <v>250</v>
      </c>
    </row>
    <row r="594" spans="1:6" x14ac:dyDescent="0.15">
      <c r="A594" s="5" t="s">
        <v>35</v>
      </c>
      <c r="B594" s="5" t="s">
        <v>2936</v>
      </c>
      <c r="C594" s="9">
        <v>42639</v>
      </c>
      <c r="D594" s="5" t="s">
        <v>16</v>
      </c>
      <c r="E594" s="5" t="s">
        <v>2937</v>
      </c>
      <c r="F594" s="6">
        <v>3120</v>
      </c>
    </row>
    <row r="595" spans="1:6" x14ac:dyDescent="0.15">
      <c r="A595" s="5" t="s">
        <v>40</v>
      </c>
      <c r="B595" s="5" t="s">
        <v>2333</v>
      </c>
      <c r="C595" s="9">
        <v>42639</v>
      </c>
      <c r="D595" s="5" t="s">
        <v>16</v>
      </c>
      <c r="E595" s="5" t="s">
        <v>2334</v>
      </c>
      <c r="F595" s="6">
        <v>13350</v>
      </c>
    </row>
    <row r="596" spans="1:6" x14ac:dyDescent="0.15">
      <c r="A596" s="5" t="s">
        <v>35</v>
      </c>
      <c r="B596" s="5" t="s">
        <v>2938</v>
      </c>
      <c r="C596" s="9">
        <v>42639</v>
      </c>
      <c r="D596" s="5" t="s">
        <v>16</v>
      </c>
      <c r="E596" s="5" t="s">
        <v>2334</v>
      </c>
      <c r="F596" s="6">
        <v>5850</v>
      </c>
    </row>
    <row r="597" spans="1:6" x14ac:dyDescent="0.15">
      <c r="A597" s="5" t="s">
        <v>35</v>
      </c>
      <c r="B597" s="5" t="s">
        <v>2939</v>
      </c>
      <c r="C597" s="9">
        <v>42639</v>
      </c>
      <c r="D597" s="5" t="s">
        <v>16</v>
      </c>
      <c r="E597" s="5" t="s">
        <v>2940</v>
      </c>
      <c r="F597" s="6">
        <v>3900</v>
      </c>
    </row>
    <row r="598" spans="1:6" x14ac:dyDescent="0.15">
      <c r="A598" s="5" t="s">
        <v>37</v>
      </c>
      <c r="B598" s="5" t="s">
        <v>6476</v>
      </c>
      <c r="C598" s="9">
        <v>42639</v>
      </c>
      <c r="D598" s="5" t="s">
        <v>16</v>
      </c>
      <c r="E598" s="5" t="s">
        <v>4688</v>
      </c>
      <c r="F598" s="6">
        <v>585</v>
      </c>
    </row>
    <row r="599" spans="1:6" x14ac:dyDescent="0.15">
      <c r="A599" s="5" t="s">
        <v>42</v>
      </c>
      <c r="B599" s="5" t="s">
        <v>5766</v>
      </c>
      <c r="C599" s="9">
        <v>42639</v>
      </c>
      <c r="D599" s="5" t="s">
        <v>16</v>
      </c>
      <c r="E599" s="5" t="s">
        <v>4688</v>
      </c>
      <c r="F599" s="6">
        <v>75</v>
      </c>
    </row>
    <row r="600" spans="1:6" x14ac:dyDescent="0.15">
      <c r="A600" s="5" t="s">
        <v>43</v>
      </c>
      <c r="B600" s="5" t="s">
        <v>4687</v>
      </c>
      <c r="C600" s="9">
        <v>42639</v>
      </c>
      <c r="D600" s="5" t="s">
        <v>16</v>
      </c>
      <c r="E600" s="5" t="s">
        <v>4688</v>
      </c>
      <c r="F600" s="6">
        <v>97</v>
      </c>
    </row>
    <row r="601" spans="1:6" x14ac:dyDescent="0.15">
      <c r="A601" s="5" t="s">
        <v>49</v>
      </c>
      <c r="B601" s="5" t="s">
        <v>8642</v>
      </c>
      <c r="C601" s="9">
        <v>42639</v>
      </c>
      <c r="D601" s="5" t="s">
        <v>16</v>
      </c>
      <c r="E601" s="5" t="s">
        <v>4688</v>
      </c>
      <c r="F601" s="6">
        <v>97.5</v>
      </c>
    </row>
    <row r="602" spans="1:6" x14ac:dyDescent="0.15">
      <c r="A602" s="5" t="s">
        <v>37</v>
      </c>
      <c r="B602" s="5" t="s">
        <v>6477</v>
      </c>
      <c r="C602" s="9">
        <v>42639</v>
      </c>
      <c r="D602" s="5" t="s">
        <v>16</v>
      </c>
      <c r="E602" s="5" t="s">
        <v>2942</v>
      </c>
      <c r="F602" s="6">
        <v>15015</v>
      </c>
    </row>
    <row r="603" spans="1:6" x14ac:dyDescent="0.15">
      <c r="A603" s="5" t="s">
        <v>35</v>
      </c>
      <c r="B603" s="5" t="s">
        <v>2941</v>
      </c>
      <c r="C603" s="9">
        <v>42639</v>
      </c>
      <c r="D603" s="5" t="s">
        <v>16</v>
      </c>
      <c r="E603" s="5" t="s">
        <v>2942</v>
      </c>
      <c r="F603" s="6">
        <v>8385</v>
      </c>
    </row>
    <row r="604" spans="1:6" x14ac:dyDescent="0.15">
      <c r="A604" s="5" t="s">
        <v>44</v>
      </c>
      <c r="B604" s="5" t="s">
        <v>4327</v>
      </c>
      <c r="C604" s="9">
        <v>42640</v>
      </c>
      <c r="D604" s="5" t="s">
        <v>16</v>
      </c>
      <c r="E604" s="5" t="s">
        <v>4328</v>
      </c>
      <c r="F604" s="6">
        <v>1950</v>
      </c>
    </row>
    <row r="605" spans="1:6" x14ac:dyDescent="0.15">
      <c r="A605" s="5" t="s">
        <v>37</v>
      </c>
      <c r="B605" s="5" t="s">
        <v>6480</v>
      </c>
      <c r="C605" s="9">
        <v>42640</v>
      </c>
      <c r="D605" s="5" t="s">
        <v>16</v>
      </c>
      <c r="E605" s="5" t="s">
        <v>6481</v>
      </c>
      <c r="F605" s="6">
        <v>13650</v>
      </c>
    </row>
    <row r="606" spans="1:6" x14ac:dyDescent="0.15">
      <c r="A606" s="5" t="s">
        <v>37</v>
      </c>
      <c r="B606" s="5" t="s">
        <v>6478</v>
      </c>
      <c r="C606" s="9">
        <v>42639</v>
      </c>
      <c r="D606" s="5" t="s">
        <v>16</v>
      </c>
      <c r="E606" s="5" t="s">
        <v>6479</v>
      </c>
      <c r="F606" s="6">
        <v>682.5</v>
      </c>
    </row>
    <row r="607" spans="1:6" x14ac:dyDescent="0.15">
      <c r="A607" s="5" t="s">
        <v>43</v>
      </c>
      <c r="B607" s="5" t="s">
        <v>4684</v>
      </c>
      <c r="C607" s="9">
        <v>42635</v>
      </c>
      <c r="D607" s="5" t="s">
        <v>16</v>
      </c>
      <c r="E607" s="5" t="s">
        <v>1802</v>
      </c>
      <c r="F607" s="6">
        <v>436.5</v>
      </c>
    </row>
    <row r="608" spans="1:6" x14ac:dyDescent="0.15">
      <c r="A608" s="5" t="s">
        <v>41</v>
      </c>
      <c r="B608" s="5" t="s">
        <v>1801</v>
      </c>
      <c r="C608" s="9">
        <v>42635</v>
      </c>
      <c r="D608" s="5" t="s">
        <v>16</v>
      </c>
      <c r="E608" s="5" t="s">
        <v>1802</v>
      </c>
      <c r="F608" s="6">
        <v>1358</v>
      </c>
    </row>
    <row r="609" spans="1:6" x14ac:dyDescent="0.15">
      <c r="A609" s="5" t="s">
        <v>43</v>
      </c>
      <c r="B609" s="5" t="s">
        <v>4689</v>
      </c>
      <c r="C609" s="9">
        <v>42640</v>
      </c>
      <c r="D609" s="5" t="s">
        <v>16</v>
      </c>
      <c r="E609" s="5" t="s">
        <v>4690</v>
      </c>
      <c r="F609" s="6">
        <v>3880</v>
      </c>
    </row>
    <row r="610" spans="1:6" x14ac:dyDescent="0.15">
      <c r="A610" s="5" t="s">
        <v>43</v>
      </c>
      <c r="B610" s="5" t="s">
        <v>4691</v>
      </c>
      <c r="C610" s="9">
        <v>42640</v>
      </c>
      <c r="D610" s="5" t="s">
        <v>16</v>
      </c>
      <c r="E610" s="5" t="s">
        <v>4692</v>
      </c>
      <c r="F610" s="6">
        <v>145.5</v>
      </c>
    </row>
    <row r="611" spans="1:6" x14ac:dyDescent="0.15">
      <c r="A611" s="5" t="s">
        <v>43</v>
      </c>
      <c r="B611" s="5" t="s">
        <v>4693</v>
      </c>
      <c r="C611" s="9">
        <v>42640</v>
      </c>
      <c r="D611" s="5" t="s">
        <v>16</v>
      </c>
      <c r="E611" s="5" t="s">
        <v>1806</v>
      </c>
      <c r="F611" s="6">
        <v>-436.5</v>
      </c>
    </row>
    <row r="612" spans="1:6" x14ac:dyDescent="0.15">
      <c r="A612" s="5" t="s">
        <v>41</v>
      </c>
      <c r="B612" s="5" t="s">
        <v>1805</v>
      </c>
      <c r="C612" s="9">
        <v>42640</v>
      </c>
      <c r="D612" s="5" t="s">
        <v>16</v>
      </c>
      <c r="E612" s="5" t="s">
        <v>1806</v>
      </c>
      <c r="F612" s="6">
        <v>-1358</v>
      </c>
    </row>
    <row r="613" spans="1:6" x14ac:dyDescent="0.15">
      <c r="A613" s="5" t="s">
        <v>57</v>
      </c>
      <c r="B613" s="5" t="s">
        <v>5566</v>
      </c>
      <c r="C613" s="9">
        <v>42640</v>
      </c>
      <c r="D613" s="5" t="s">
        <v>16</v>
      </c>
      <c r="E613" s="5" t="s">
        <v>1808</v>
      </c>
      <c r="F613" s="6">
        <v>436.5</v>
      </c>
    </row>
    <row r="614" spans="1:6" x14ac:dyDescent="0.15">
      <c r="A614" s="5" t="s">
        <v>41</v>
      </c>
      <c r="B614" s="5" t="s">
        <v>1807</v>
      </c>
      <c r="C614" s="9">
        <v>42640</v>
      </c>
      <c r="D614" s="5" t="s">
        <v>16</v>
      </c>
      <c r="E614" s="5" t="s">
        <v>1808</v>
      </c>
      <c r="F614" s="6">
        <v>1358</v>
      </c>
    </row>
    <row r="615" spans="1:6" x14ac:dyDescent="0.15">
      <c r="A615" s="5" t="s">
        <v>40</v>
      </c>
      <c r="B615" s="5" t="s">
        <v>2335</v>
      </c>
      <c r="C615" s="9">
        <v>42641</v>
      </c>
      <c r="D615" s="5" t="s">
        <v>16</v>
      </c>
      <c r="E615" s="5" t="s">
        <v>2336</v>
      </c>
      <c r="F615" s="6">
        <v>900</v>
      </c>
    </row>
    <row r="616" spans="1:6" x14ac:dyDescent="0.15">
      <c r="A616" s="5" t="s">
        <v>35</v>
      </c>
      <c r="B616" s="5" t="s">
        <v>2945</v>
      </c>
      <c r="C616" s="9">
        <v>42641</v>
      </c>
      <c r="D616" s="5" t="s">
        <v>16</v>
      </c>
      <c r="E616" s="5" t="s">
        <v>2336</v>
      </c>
      <c r="F616" s="6">
        <v>1755</v>
      </c>
    </row>
    <row r="617" spans="1:6" x14ac:dyDescent="0.15">
      <c r="A617" s="5" t="s">
        <v>35</v>
      </c>
      <c r="B617" s="5" t="s">
        <v>2943</v>
      </c>
      <c r="C617" s="9">
        <v>42640</v>
      </c>
      <c r="D617" s="5" t="s">
        <v>16</v>
      </c>
      <c r="E617" s="5" t="s">
        <v>2944</v>
      </c>
      <c r="F617" s="6">
        <v>2730</v>
      </c>
    </row>
    <row r="618" spans="1:6" x14ac:dyDescent="0.15">
      <c r="A618" s="5" t="s">
        <v>35</v>
      </c>
      <c r="B618" s="5" t="s">
        <v>2946</v>
      </c>
      <c r="C618" s="9">
        <v>42641</v>
      </c>
      <c r="D618" s="5" t="s">
        <v>16</v>
      </c>
      <c r="E618" s="5" t="s">
        <v>2947</v>
      </c>
      <c r="F618" s="6">
        <v>195</v>
      </c>
    </row>
    <row r="619" spans="1:6" x14ac:dyDescent="0.15">
      <c r="A619" s="5" t="s">
        <v>43</v>
      </c>
      <c r="B619" s="5" t="s">
        <v>4694</v>
      </c>
      <c r="C619" s="9">
        <v>42650</v>
      </c>
      <c r="D619" s="5" t="s">
        <v>16</v>
      </c>
      <c r="E619" s="5" t="s">
        <v>4695</v>
      </c>
      <c r="F619" s="6">
        <v>6111</v>
      </c>
    </row>
    <row r="620" spans="1:6" x14ac:dyDescent="0.15">
      <c r="A620" s="5" t="s">
        <v>37</v>
      </c>
      <c r="B620" s="5" t="s">
        <v>6485</v>
      </c>
      <c r="C620" s="9">
        <v>42650</v>
      </c>
      <c r="D620" s="5" t="s">
        <v>16</v>
      </c>
      <c r="E620" s="5" t="s">
        <v>4695</v>
      </c>
      <c r="F620" s="6">
        <v>1950</v>
      </c>
    </row>
    <row r="621" spans="1:6" x14ac:dyDescent="0.15">
      <c r="A621" s="5" t="s">
        <v>63</v>
      </c>
      <c r="B621" s="5" t="s">
        <v>2257</v>
      </c>
      <c r="C621" s="9">
        <v>42653</v>
      </c>
      <c r="D621" s="5" t="s">
        <v>16</v>
      </c>
      <c r="E621" s="5" t="s">
        <v>2258</v>
      </c>
      <c r="F621" s="6">
        <v>3880</v>
      </c>
    </row>
    <row r="622" spans="1:6" x14ac:dyDescent="0.15">
      <c r="A622" s="5" t="s">
        <v>51</v>
      </c>
      <c r="B622" s="5" t="s">
        <v>4197</v>
      </c>
      <c r="C622" s="9">
        <v>42653</v>
      </c>
      <c r="D622" s="5" t="s">
        <v>16</v>
      </c>
      <c r="E622" s="5" t="s">
        <v>2258</v>
      </c>
      <c r="F622" s="6">
        <v>5850</v>
      </c>
    </row>
    <row r="623" spans="1:6" x14ac:dyDescent="0.15">
      <c r="A623" s="5" t="s">
        <v>35</v>
      </c>
      <c r="B623" s="5" t="s">
        <v>2956</v>
      </c>
      <c r="C623" s="9">
        <v>42653</v>
      </c>
      <c r="D623" s="5" t="s">
        <v>16</v>
      </c>
      <c r="E623" s="5" t="s">
        <v>2258</v>
      </c>
      <c r="F623" s="6">
        <v>7800</v>
      </c>
    </row>
    <row r="624" spans="1:6" x14ac:dyDescent="0.15">
      <c r="A624" s="5" t="s">
        <v>35</v>
      </c>
      <c r="B624" s="5" t="s">
        <v>2957</v>
      </c>
      <c r="C624" s="9">
        <v>42653</v>
      </c>
      <c r="D624" s="5" t="s">
        <v>16</v>
      </c>
      <c r="E624" s="5" t="s">
        <v>2643</v>
      </c>
      <c r="F624" s="6">
        <v>17550</v>
      </c>
    </row>
    <row r="625" spans="1:6" x14ac:dyDescent="0.15">
      <c r="A625" s="5" t="s">
        <v>174</v>
      </c>
      <c r="B625" s="5" t="s">
        <v>2642</v>
      </c>
      <c r="C625" s="9">
        <v>42653</v>
      </c>
      <c r="D625" s="5" t="s">
        <v>16</v>
      </c>
      <c r="E625" s="5" t="s">
        <v>2643</v>
      </c>
      <c r="F625" s="6">
        <v>3000</v>
      </c>
    </row>
    <row r="626" spans="1:6" x14ac:dyDescent="0.15">
      <c r="A626" s="5" t="s">
        <v>51</v>
      </c>
      <c r="B626" s="5" t="s">
        <v>4198</v>
      </c>
      <c r="C626" s="9">
        <v>42653</v>
      </c>
      <c r="D626" s="5" t="s">
        <v>16</v>
      </c>
      <c r="E626" s="5" t="s">
        <v>2643</v>
      </c>
      <c r="F626" s="6">
        <v>3900</v>
      </c>
    </row>
    <row r="627" spans="1:6" x14ac:dyDescent="0.15">
      <c r="A627" s="5" t="s">
        <v>64</v>
      </c>
      <c r="B627" s="5" t="s">
        <v>6107</v>
      </c>
      <c r="C627" s="9">
        <v>42653</v>
      </c>
      <c r="D627" s="5" t="s">
        <v>16</v>
      </c>
      <c r="E627" s="5" t="s">
        <v>5568</v>
      </c>
      <c r="F627" s="6">
        <v>3000</v>
      </c>
    </row>
    <row r="628" spans="1:6" x14ac:dyDescent="0.15">
      <c r="A628" s="5" t="s">
        <v>57</v>
      </c>
      <c r="B628" s="5" t="s">
        <v>5567</v>
      </c>
      <c r="C628" s="9">
        <v>42653</v>
      </c>
      <c r="D628" s="5" t="s">
        <v>16</v>
      </c>
      <c r="E628" s="5" t="s">
        <v>5568</v>
      </c>
      <c r="F628" s="6">
        <v>3880</v>
      </c>
    </row>
    <row r="629" spans="1:6" x14ac:dyDescent="0.15">
      <c r="A629" s="5" t="s">
        <v>43</v>
      </c>
      <c r="B629" s="5" t="s">
        <v>4696</v>
      </c>
      <c r="C629" s="9">
        <v>42650</v>
      </c>
      <c r="D629" s="5" t="s">
        <v>16</v>
      </c>
      <c r="E629" s="5" t="s">
        <v>1812</v>
      </c>
      <c r="F629" s="6">
        <v>1940</v>
      </c>
    </row>
    <row r="630" spans="1:6" x14ac:dyDescent="0.15">
      <c r="A630" s="5" t="s">
        <v>37</v>
      </c>
      <c r="B630" s="5" t="s">
        <v>6486</v>
      </c>
      <c r="C630" s="9">
        <v>42650</v>
      </c>
      <c r="D630" s="5" t="s">
        <v>16</v>
      </c>
      <c r="E630" s="5" t="s">
        <v>1812</v>
      </c>
      <c r="F630" s="6">
        <v>9750</v>
      </c>
    </row>
    <row r="631" spans="1:6" x14ac:dyDescent="0.15">
      <c r="A631" s="5" t="s">
        <v>41</v>
      </c>
      <c r="B631" s="5" t="s">
        <v>1811</v>
      </c>
      <c r="C631" s="9">
        <v>42650</v>
      </c>
      <c r="D631" s="5" t="s">
        <v>16</v>
      </c>
      <c r="E631" s="5" t="s">
        <v>1812</v>
      </c>
      <c r="F631" s="6">
        <v>3880</v>
      </c>
    </row>
    <row r="632" spans="1:6" x14ac:dyDescent="0.15">
      <c r="A632" s="5" t="s">
        <v>35</v>
      </c>
      <c r="B632" s="5" t="s">
        <v>2951</v>
      </c>
      <c r="C632" s="9">
        <v>42650</v>
      </c>
      <c r="D632" s="5" t="s">
        <v>16</v>
      </c>
      <c r="E632" s="5" t="s">
        <v>1812</v>
      </c>
      <c r="F632" s="6">
        <v>5850</v>
      </c>
    </row>
    <row r="633" spans="1:6" x14ac:dyDescent="0.15">
      <c r="A633" s="5" t="s">
        <v>37</v>
      </c>
      <c r="B633" s="5" t="s">
        <v>6493</v>
      </c>
      <c r="C633" s="9">
        <v>42653</v>
      </c>
      <c r="D633" s="5" t="s">
        <v>16</v>
      </c>
      <c r="E633" s="5" t="s">
        <v>6494</v>
      </c>
      <c r="F633" s="6">
        <v>18720</v>
      </c>
    </row>
    <row r="634" spans="1:6" x14ac:dyDescent="0.15">
      <c r="A634" s="5" t="s">
        <v>37</v>
      </c>
      <c r="B634" s="5" t="s">
        <v>6487</v>
      </c>
      <c r="C634" s="9">
        <v>42650</v>
      </c>
      <c r="D634" s="5" t="s">
        <v>16</v>
      </c>
      <c r="E634" s="5" t="s">
        <v>6488</v>
      </c>
      <c r="F634" s="6">
        <v>585</v>
      </c>
    </row>
    <row r="635" spans="1:6" x14ac:dyDescent="0.15">
      <c r="A635" s="5" t="s">
        <v>37</v>
      </c>
      <c r="B635" s="5" t="s">
        <v>6495</v>
      </c>
      <c r="C635" s="9">
        <v>42653</v>
      </c>
      <c r="D635" s="5" t="s">
        <v>16</v>
      </c>
      <c r="E635" s="5" t="s">
        <v>6496</v>
      </c>
      <c r="F635" s="6">
        <v>1852.5</v>
      </c>
    </row>
    <row r="636" spans="1:6" x14ac:dyDescent="0.15">
      <c r="A636" s="5" t="s">
        <v>37</v>
      </c>
      <c r="B636" s="5" t="s">
        <v>6497</v>
      </c>
      <c r="C636" s="9">
        <v>42653</v>
      </c>
      <c r="D636" s="5" t="s">
        <v>16</v>
      </c>
      <c r="E636" s="5" t="s">
        <v>2959</v>
      </c>
      <c r="F636" s="6">
        <v>1950</v>
      </c>
    </row>
    <row r="637" spans="1:6" x14ac:dyDescent="0.15">
      <c r="A637" s="5" t="s">
        <v>35</v>
      </c>
      <c r="B637" s="5" t="s">
        <v>2958</v>
      </c>
      <c r="C637" s="9">
        <v>42653</v>
      </c>
      <c r="D637" s="5" t="s">
        <v>16</v>
      </c>
      <c r="E637" s="5" t="s">
        <v>2959</v>
      </c>
      <c r="F637" s="6">
        <v>1950</v>
      </c>
    </row>
    <row r="638" spans="1:6" x14ac:dyDescent="0.15">
      <c r="A638" s="5" t="s">
        <v>35</v>
      </c>
      <c r="B638" s="5" t="s">
        <v>2960</v>
      </c>
      <c r="C638" s="9">
        <v>42653</v>
      </c>
      <c r="D638" s="5" t="s">
        <v>16</v>
      </c>
      <c r="E638" s="5" t="s">
        <v>2961</v>
      </c>
      <c r="F638" s="6">
        <v>8580</v>
      </c>
    </row>
    <row r="639" spans="1:6" x14ac:dyDescent="0.15">
      <c r="A639" s="5" t="s">
        <v>41</v>
      </c>
      <c r="B639" s="5" t="s">
        <v>1821</v>
      </c>
      <c r="C639" s="9">
        <v>42653</v>
      </c>
      <c r="D639" s="5" t="s">
        <v>16</v>
      </c>
      <c r="E639" s="5" t="s">
        <v>1822</v>
      </c>
      <c r="F639" s="6">
        <v>776</v>
      </c>
    </row>
    <row r="640" spans="1:6" x14ac:dyDescent="0.15">
      <c r="A640" s="5" t="s">
        <v>35</v>
      </c>
      <c r="B640" s="5" t="s">
        <v>2962</v>
      </c>
      <c r="C640" s="9">
        <v>42653</v>
      </c>
      <c r="D640" s="5" t="s">
        <v>16</v>
      </c>
      <c r="E640" s="5" t="s">
        <v>1822</v>
      </c>
      <c r="F640" s="6">
        <v>1950</v>
      </c>
    </row>
    <row r="641" spans="1:6" x14ac:dyDescent="0.15">
      <c r="A641" s="5" t="s">
        <v>35</v>
      </c>
      <c r="B641" s="5" t="s">
        <v>2963</v>
      </c>
      <c r="C641" s="9">
        <v>42653</v>
      </c>
      <c r="D641" s="5" t="s">
        <v>16</v>
      </c>
      <c r="E641" s="5" t="s">
        <v>2340</v>
      </c>
      <c r="F641" s="6">
        <v>1950</v>
      </c>
    </row>
    <row r="642" spans="1:6" x14ac:dyDescent="0.15">
      <c r="A642" s="5" t="s">
        <v>40</v>
      </c>
      <c r="B642" s="5" t="s">
        <v>2339</v>
      </c>
      <c r="C642" s="9">
        <v>42653</v>
      </c>
      <c r="D642" s="5" t="s">
        <v>16</v>
      </c>
      <c r="E642" s="5" t="s">
        <v>2340</v>
      </c>
      <c r="F642" s="6">
        <v>900</v>
      </c>
    </row>
    <row r="643" spans="1:6" x14ac:dyDescent="0.15">
      <c r="A643" s="5" t="s">
        <v>43</v>
      </c>
      <c r="B643" s="5" t="s">
        <v>4702</v>
      </c>
      <c r="C643" s="9">
        <v>42653</v>
      </c>
      <c r="D643" s="5" t="s">
        <v>16</v>
      </c>
      <c r="E643" s="5" t="s">
        <v>4703</v>
      </c>
      <c r="F643" s="6">
        <v>339.5</v>
      </c>
    </row>
    <row r="644" spans="1:6" x14ac:dyDescent="0.15">
      <c r="A644" s="5" t="s">
        <v>43</v>
      </c>
      <c r="B644" s="5" t="s">
        <v>4697</v>
      </c>
      <c r="C644" s="9">
        <v>42650</v>
      </c>
      <c r="D644" s="5" t="s">
        <v>16</v>
      </c>
      <c r="E644" s="5" t="s">
        <v>2338</v>
      </c>
      <c r="F644" s="6">
        <v>1309</v>
      </c>
    </row>
    <row r="645" spans="1:6" x14ac:dyDescent="0.15">
      <c r="A645" s="5" t="s">
        <v>40</v>
      </c>
      <c r="B645" s="5" t="s">
        <v>2337</v>
      </c>
      <c r="C645" s="9">
        <v>42650</v>
      </c>
      <c r="D645" s="5" t="s">
        <v>16</v>
      </c>
      <c r="E645" s="5" t="s">
        <v>2338</v>
      </c>
      <c r="F645" s="6">
        <v>6000</v>
      </c>
    </row>
    <row r="646" spans="1:6" x14ac:dyDescent="0.15">
      <c r="A646" s="5" t="s">
        <v>43</v>
      </c>
      <c r="B646" s="5" t="s">
        <v>4704</v>
      </c>
      <c r="C646" s="9">
        <v>42653</v>
      </c>
      <c r="D646" s="5" t="s">
        <v>16</v>
      </c>
      <c r="E646" s="5" t="s">
        <v>2965</v>
      </c>
      <c r="F646" s="6">
        <v>776</v>
      </c>
    </row>
    <row r="647" spans="1:6" x14ac:dyDescent="0.15">
      <c r="A647" s="5" t="s">
        <v>49</v>
      </c>
      <c r="B647" s="5" t="s">
        <v>8643</v>
      </c>
      <c r="C647" s="9">
        <v>42653</v>
      </c>
      <c r="D647" s="5" t="s">
        <v>16</v>
      </c>
      <c r="E647" s="5" t="s">
        <v>2965</v>
      </c>
      <c r="F647" s="6">
        <v>200</v>
      </c>
    </row>
    <row r="648" spans="1:6" x14ac:dyDescent="0.15">
      <c r="A648" s="5" t="s">
        <v>35</v>
      </c>
      <c r="B648" s="5" t="s">
        <v>2964</v>
      </c>
      <c r="C648" s="9">
        <v>42653</v>
      </c>
      <c r="D648" s="5" t="s">
        <v>16</v>
      </c>
      <c r="E648" s="5" t="s">
        <v>2965</v>
      </c>
      <c r="F648" s="6">
        <v>3315</v>
      </c>
    </row>
    <row r="649" spans="1:6" x14ac:dyDescent="0.15">
      <c r="A649" s="5" t="s">
        <v>55</v>
      </c>
      <c r="B649" s="5" t="s">
        <v>4482</v>
      </c>
      <c r="C649" s="9">
        <v>42653</v>
      </c>
      <c r="D649" s="5" t="s">
        <v>16</v>
      </c>
      <c r="E649" s="5" t="s">
        <v>2965</v>
      </c>
      <c r="F649" s="6">
        <v>500</v>
      </c>
    </row>
    <row r="650" spans="1:6" x14ac:dyDescent="0.15">
      <c r="A650" s="5" t="s">
        <v>35</v>
      </c>
      <c r="B650" s="5" t="s">
        <v>2950</v>
      </c>
      <c r="C650" s="9">
        <v>42649</v>
      </c>
      <c r="D650" s="5" t="s">
        <v>16</v>
      </c>
      <c r="E650" s="5" t="s">
        <v>1810</v>
      </c>
      <c r="F650" s="6">
        <v>1462.5</v>
      </c>
    </row>
    <row r="651" spans="1:6" x14ac:dyDescent="0.15">
      <c r="A651" s="5" t="s">
        <v>41</v>
      </c>
      <c r="B651" s="5" t="s">
        <v>1809</v>
      </c>
      <c r="C651" s="9">
        <v>42649</v>
      </c>
      <c r="D651" s="5" t="s">
        <v>16</v>
      </c>
      <c r="E651" s="5" t="s">
        <v>1810</v>
      </c>
      <c r="F651" s="6">
        <v>291</v>
      </c>
    </row>
    <row r="652" spans="1:6" x14ac:dyDescent="0.15">
      <c r="A652" s="5" t="s">
        <v>64</v>
      </c>
      <c r="B652" s="5" t="s">
        <v>6105</v>
      </c>
      <c r="C652" s="9">
        <v>42648</v>
      </c>
      <c r="D652" s="5" t="s">
        <v>16</v>
      </c>
      <c r="E652" s="5" t="s">
        <v>6106</v>
      </c>
      <c r="F652" s="6">
        <v>1650</v>
      </c>
    </row>
    <row r="653" spans="1:6" x14ac:dyDescent="0.15">
      <c r="A653" s="5" t="s">
        <v>37</v>
      </c>
      <c r="B653" s="5" t="s">
        <v>6482</v>
      </c>
      <c r="C653" s="9">
        <v>42646</v>
      </c>
      <c r="D653" s="5" t="s">
        <v>16</v>
      </c>
      <c r="E653" s="5" t="s">
        <v>5768</v>
      </c>
      <c r="F653" s="6">
        <v>3997.5</v>
      </c>
    </row>
    <row r="654" spans="1:6" x14ac:dyDescent="0.15">
      <c r="A654" s="5" t="s">
        <v>42</v>
      </c>
      <c r="B654" s="5" t="s">
        <v>5767</v>
      </c>
      <c r="C654" s="9">
        <v>42646</v>
      </c>
      <c r="D654" s="5" t="s">
        <v>16</v>
      </c>
      <c r="E654" s="5" t="s">
        <v>5768</v>
      </c>
      <c r="F654" s="6">
        <v>1050</v>
      </c>
    </row>
    <row r="655" spans="1:6" x14ac:dyDescent="0.15">
      <c r="A655" s="5" t="s">
        <v>37</v>
      </c>
      <c r="B655" s="5" t="s">
        <v>6498</v>
      </c>
      <c r="C655" s="9">
        <v>42653</v>
      </c>
      <c r="D655" s="5" t="s">
        <v>16</v>
      </c>
      <c r="E655" s="5" t="s">
        <v>6499</v>
      </c>
      <c r="F655" s="6">
        <v>11992.5</v>
      </c>
    </row>
    <row r="656" spans="1:6" x14ac:dyDescent="0.15">
      <c r="A656" s="5" t="s">
        <v>37</v>
      </c>
      <c r="B656" s="5" t="s">
        <v>6483</v>
      </c>
      <c r="C656" s="9">
        <v>42646</v>
      </c>
      <c r="D656" s="5" t="s">
        <v>16</v>
      </c>
      <c r="E656" s="5" t="s">
        <v>6484</v>
      </c>
      <c r="F656" s="6">
        <v>877.5</v>
      </c>
    </row>
    <row r="657" spans="1:6" x14ac:dyDescent="0.15">
      <c r="A657" s="5" t="s">
        <v>37</v>
      </c>
      <c r="B657" s="5" t="s">
        <v>6500</v>
      </c>
      <c r="C657" s="9">
        <v>42654</v>
      </c>
      <c r="D657" s="5" t="s">
        <v>16</v>
      </c>
      <c r="E657" s="5" t="s">
        <v>2969</v>
      </c>
      <c r="F657" s="6">
        <v>3022.5</v>
      </c>
    </row>
    <row r="658" spans="1:6" x14ac:dyDescent="0.15">
      <c r="A658" s="5" t="s">
        <v>35</v>
      </c>
      <c r="B658" s="5" t="s">
        <v>2968</v>
      </c>
      <c r="C658" s="9">
        <v>42654</v>
      </c>
      <c r="D658" s="5" t="s">
        <v>16</v>
      </c>
      <c r="E658" s="5" t="s">
        <v>2969</v>
      </c>
      <c r="F658" s="6">
        <v>1950</v>
      </c>
    </row>
    <row r="659" spans="1:6" x14ac:dyDescent="0.15">
      <c r="A659" s="5" t="s">
        <v>35</v>
      </c>
      <c r="B659" s="5" t="s">
        <v>2948</v>
      </c>
      <c r="C659" s="9">
        <v>42646</v>
      </c>
      <c r="D659" s="5" t="s">
        <v>16</v>
      </c>
      <c r="E659" s="5" t="s">
        <v>2949</v>
      </c>
      <c r="F659" s="6">
        <v>1950</v>
      </c>
    </row>
    <row r="660" spans="1:6" x14ac:dyDescent="0.15">
      <c r="A660" s="5" t="s">
        <v>43</v>
      </c>
      <c r="B660" s="5" t="s">
        <v>4707</v>
      </c>
      <c r="C660" s="9">
        <v>42655</v>
      </c>
      <c r="D660" s="5" t="s">
        <v>16</v>
      </c>
      <c r="E660" s="5" t="s">
        <v>4708</v>
      </c>
      <c r="F660" s="6">
        <v>436.5</v>
      </c>
    </row>
    <row r="661" spans="1:6" x14ac:dyDescent="0.15">
      <c r="A661" s="5" t="s">
        <v>40</v>
      </c>
      <c r="B661" s="5" t="s">
        <v>2344</v>
      </c>
      <c r="C661" s="9">
        <v>42654</v>
      </c>
      <c r="D661" s="5" t="s">
        <v>16</v>
      </c>
      <c r="E661" s="5" t="s">
        <v>2345</v>
      </c>
      <c r="F661" s="6">
        <v>1425</v>
      </c>
    </row>
    <row r="662" spans="1:6" x14ac:dyDescent="0.15">
      <c r="A662" s="5" t="s">
        <v>35</v>
      </c>
      <c r="B662" s="5" t="s">
        <v>2970</v>
      </c>
      <c r="C662" s="9">
        <v>42654</v>
      </c>
      <c r="D662" s="5" t="s">
        <v>16</v>
      </c>
      <c r="E662" s="5" t="s">
        <v>2345</v>
      </c>
      <c r="F662" s="6">
        <v>3705</v>
      </c>
    </row>
    <row r="663" spans="1:6" x14ac:dyDescent="0.15">
      <c r="A663" s="5" t="s">
        <v>35</v>
      </c>
      <c r="B663" s="5" t="s">
        <v>2971</v>
      </c>
      <c r="C663" s="9">
        <v>42654</v>
      </c>
      <c r="D663" s="5" t="s">
        <v>16</v>
      </c>
      <c r="E663" s="5" t="s">
        <v>2972</v>
      </c>
      <c r="F663" s="6">
        <v>2437.5</v>
      </c>
    </row>
    <row r="664" spans="1:6" x14ac:dyDescent="0.15">
      <c r="A664" s="5" t="s">
        <v>55</v>
      </c>
      <c r="B664" s="5" t="s">
        <v>4483</v>
      </c>
      <c r="C664" s="9">
        <v>42654</v>
      </c>
      <c r="D664" s="5" t="s">
        <v>16</v>
      </c>
      <c r="E664" s="5" t="s">
        <v>2972</v>
      </c>
      <c r="F664" s="6">
        <v>400</v>
      </c>
    </row>
    <row r="665" spans="1:6" x14ac:dyDescent="0.15">
      <c r="A665" s="5" t="s">
        <v>43</v>
      </c>
      <c r="B665" s="5" t="s">
        <v>4705</v>
      </c>
      <c r="C665" s="9">
        <v>42654</v>
      </c>
      <c r="D665" s="5" t="s">
        <v>16</v>
      </c>
      <c r="E665" s="5" t="s">
        <v>4706</v>
      </c>
      <c r="F665" s="6">
        <v>1358</v>
      </c>
    </row>
    <row r="666" spans="1:6" x14ac:dyDescent="0.15">
      <c r="A666" s="5" t="s">
        <v>43</v>
      </c>
      <c r="B666" s="5" t="s">
        <v>4698</v>
      </c>
      <c r="C666" s="9">
        <v>42650</v>
      </c>
      <c r="D666" s="5" t="s">
        <v>16</v>
      </c>
      <c r="E666" s="5" t="s">
        <v>1814</v>
      </c>
      <c r="F666" s="6">
        <v>-1940</v>
      </c>
    </row>
    <row r="667" spans="1:6" x14ac:dyDescent="0.15">
      <c r="A667" s="5" t="s">
        <v>37</v>
      </c>
      <c r="B667" s="5" t="s">
        <v>6489</v>
      </c>
      <c r="C667" s="9">
        <v>42650</v>
      </c>
      <c r="D667" s="5" t="s">
        <v>16</v>
      </c>
      <c r="E667" s="5" t="s">
        <v>1814</v>
      </c>
      <c r="F667" s="6">
        <v>-9750</v>
      </c>
    </row>
    <row r="668" spans="1:6" x14ac:dyDescent="0.15">
      <c r="A668" s="5" t="s">
        <v>41</v>
      </c>
      <c r="B668" s="5" t="s">
        <v>1813</v>
      </c>
      <c r="C668" s="9">
        <v>42650</v>
      </c>
      <c r="D668" s="5" t="s">
        <v>16</v>
      </c>
      <c r="E668" s="5" t="s">
        <v>1814</v>
      </c>
      <c r="F668" s="6">
        <v>-3880</v>
      </c>
    </row>
    <row r="669" spans="1:6" x14ac:dyDescent="0.15">
      <c r="A669" s="5" t="s">
        <v>35</v>
      </c>
      <c r="B669" s="5" t="s">
        <v>2952</v>
      </c>
      <c r="C669" s="9">
        <v>42650</v>
      </c>
      <c r="D669" s="5" t="s">
        <v>16</v>
      </c>
      <c r="E669" s="5" t="s">
        <v>1814</v>
      </c>
      <c r="F669" s="6">
        <v>-5850</v>
      </c>
    </row>
    <row r="670" spans="1:6" x14ac:dyDescent="0.15">
      <c r="A670" s="5" t="s">
        <v>53</v>
      </c>
      <c r="B670" s="5" t="s">
        <v>8403</v>
      </c>
      <c r="C670" s="9">
        <v>42656</v>
      </c>
      <c r="D670" s="5" t="s">
        <v>16</v>
      </c>
      <c r="E670" s="5" t="s">
        <v>6109</v>
      </c>
      <c r="F670" s="6">
        <v>12285</v>
      </c>
    </row>
    <row r="671" spans="1:6" x14ac:dyDescent="0.15">
      <c r="A671" s="5" t="s">
        <v>64</v>
      </c>
      <c r="B671" s="5" t="s">
        <v>6108</v>
      </c>
      <c r="C671" s="9">
        <v>42656</v>
      </c>
      <c r="D671" s="5" t="s">
        <v>16</v>
      </c>
      <c r="E671" s="5" t="s">
        <v>6109</v>
      </c>
      <c r="F671" s="6">
        <v>10800</v>
      </c>
    </row>
    <row r="672" spans="1:6" x14ac:dyDescent="0.15">
      <c r="A672" s="5" t="s">
        <v>37</v>
      </c>
      <c r="B672" s="5" t="s">
        <v>6514</v>
      </c>
      <c r="C672" s="9">
        <v>42660</v>
      </c>
      <c r="D672" s="5" t="s">
        <v>16</v>
      </c>
      <c r="E672" s="5" t="s">
        <v>6515</v>
      </c>
      <c r="F672" s="6">
        <v>5850</v>
      </c>
    </row>
    <row r="673" spans="1:6" x14ac:dyDescent="0.15">
      <c r="A673" s="5" t="s">
        <v>35</v>
      </c>
      <c r="B673" s="5" t="s">
        <v>2966</v>
      </c>
      <c r="C673" s="9">
        <v>42653</v>
      </c>
      <c r="D673" s="5" t="s">
        <v>16</v>
      </c>
      <c r="E673" s="5" t="s">
        <v>1824</v>
      </c>
      <c r="F673" s="6">
        <v>6045</v>
      </c>
    </row>
    <row r="674" spans="1:6" x14ac:dyDescent="0.15">
      <c r="A674" s="5" t="s">
        <v>40</v>
      </c>
      <c r="B674" s="5" t="s">
        <v>2341</v>
      </c>
      <c r="C674" s="9">
        <v>42653</v>
      </c>
      <c r="D674" s="5" t="s">
        <v>16</v>
      </c>
      <c r="E674" s="5" t="s">
        <v>1824</v>
      </c>
      <c r="F674" s="6">
        <v>2250</v>
      </c>
    </row>
    <row r="675" spans="1:6" x14ac:dyDescent="0.15">
      <c r="A675" s="5" t="s">
        <v>41</v>
      </c>
      <c r="B675" s="5" t="s">
        <v>1823</v>
      </c>
      <c r="C675" s="9">
        <v>42653</v>
      </c>
      <c r="D675" s="5" t="s">
        <v>16</v>
      </c>
      <c r="E675" s="5" t="s">
        <v>1824</v>
      </c>
      <c r="F675" s="6">
        <v>1503.5</v>
      </c>
    </row>
    <row r="676" spans="1:6" x14ac:dyDescent="0.15">
      <c r="A676" s="5" t="s">
        <v>43</v>
      </c>
      <c r="B676" s="5" t="s">
        <v>4699</v>
      </c>
      <c r="C676" s="9">
        <v>42650</v>
      </c>
      <c r="D676" s="5" t="s">
        <v>16</v>
      </c>
      <c r="E676" s="5" t="s">
        <v>1816</v>
      </c>
      <c r="F676" s="6">
        <v>1940</v>
      </c>
    </row>
    <row r="677" spans="1:6" x14ac:dyDescent="0.15">
      <c r="A677" s="5" t="s">
        <v>37</v>
      </c>
      <c r="B677" s="5" t="s">
        <v>6490</v>
      </c>
      <c r="C677" s="9">
        <v>42650</v>
      </c>
      <c r="D677" s="5" t="s">
        <v>16</v>
      </c>
      <c r="E677" s="5" t="s">
        <v>1816</v>
      </c>
      <c r="F677" s="6">
        <v>9750</v>
      </c>
    </row>
    <row r="678" spans="1:6" x14ac:dyDescent="0.15">
      <c r="A678" s="5" t="s">
        <v>41</v>
      </c>
      <c r="B678" s="5" t="s">
        <v>1815</v>
      </c>
      <c r="C678" s="9">
        <v>42650</v>
      </c>
      <c r="D678" s="5" t="s">
        <v>16</v>
      </c>
      <c r="E678" s="5" t="s">
        <v>1816</v>
      </c>
      <c r="F678" s="6">
        <v>3880</v>
      </c>
    </row>
    <row r="679" spans="1:6" x14ac:dyDescent="0.15">
      <c r="A679" s="5" t="s">
        <v>35</v>
      </c>
      <c r="B679" s="5" t="s">
        <v>2953</v>
      </c>
      <c r="C679" s="9">
        <v>42650</v>
      </c>
      <c r="D679" s="5" t="s">
        <v>16</v>
      </c>
      <c r="E679" s="5" t="s">
        <v>1816</v>
      </c>
      <c r="F679" s="6">
        <v>5850</v>
      </c>
    </row>
    <row r="680" spans="1:6" x14ac:dyDescent="0.15">
      <c r="A680" s="5" t="s">
        <v>43</v>
      </c>
      <c r="B680" s="5" t="s">
        <v>4700</v>
      </c>
      <c r="C680" s="9">
        <v>42650</v>
      </c>
      <c r="D680" s="5" t="s">
        <v>16</v>
      </c>
      <c r="E680" s="5" t="s">
        <v>1818</v>
      </c>
      <c r="F680" s="6">
        <v>-1940</v>
      </c>
    </row>
    <row r="681" spans="1:6" x14ac:dyDescent="0.15">
      <c r="A681" s="5" t="s">
        <v>37</v>
      </c>
      <c r="B681" s="5" t="s">
        <v>6491</v>
      </c>
      <c r="C681" s="9">
        <v>42650</v>
      </c>
      <c r="D681" s="5" t="s">
        <v>16</v>
      </c>
      <c r="E681" s="5" t="s">
        <v>1818</v>
      </c>
      <c r="F681" s="6">
        <v>-9750</v>
      </c>
    </row>
    <row r="682" spans="1:6" x14ac:dyDescent="0.15">
      <c r="A682" s="5" t="s">
        <v>41</v>
      </c>
      <c r="B682" s="5" t="s">
        <v>1817</v>
      </c>
      <c r="C682" s="9">
        <v>42650</v>
      </c>
      <c r="D682" s="5" t="s">
        <v>16</v>
      </c>
      <c r="E682" s="5" t="s">
        <v>1818</v>
      </c>
      <c r="F682" s="6">
        <v>-3880</v>
      </c>
    </row>
    <row r="683" spans="1:6" x14ac:dyDescent="0.15">
      <c r="A683" s="5" t="s">
        <v>35</v>
      </c>
      <c r="B683" s="5" t="s">
        <v>2954</v>
      </c>
      <c r="C683" s="9">
        <v>42650</v>
      </c>
      <c r="D683" s="5" t="s">
        <v>16</v>
      </c>
      <c r="E683" s="5" t="s">
        <v>1818</v>
      </c>
      <c r="F683" s="6">
        <v>-5850</v>
      </c>
    </row>
    <row r="684" spans="1:6" x14ac:dyDescent="0.15">
      <c r="A684" s="5" t="s">
        <v>40</v>
      </c>
      <c r="B684" s="5" t="s">
        <v>2346</v>
      </c>
      <c r="C684" s="9">
        <v>42655</v>
      </c>
      <c r="D684" s="5" t="s">
        <v>16</v>
      </c>
      <c r="E684" s="5" t="s">
        <v>2347</v>
      </c>
      <c r="F684" s="6">
        <v>4650</v>
      </c>
    </row>
    <row r="685" spans="1:6" x14ac:dyDescent="0.15">
      <c r="A685" s="5" t="s">
        <v>37</v>
      </c>
      <c r="B685" s="5" t="s">
        <v>6501</v>
      </c>
      <c r="C685" s="9">
        <v>42657</v>
      </c>
      <c r="D685" s="5" t="s">
        <v>16</v>
      </c>
      <c r="E685" s="5" t="s">
        <v>6502</v>
      </c>
      <c r="F685" s="6">
        <v>1852.5</v>
      </c>
    </row>
    <row r="686" spans="1:6" x14ac:dyDescent="0.15">
      <c r="A686" s="5" t="s">
        <v>37</v>
      </c>
      <c r="B686" s="5" t="s">
        <v>6503</v>
      </c>
      <c r="C686" s="9">
        <v>42657</v>
      </c>
      <c r="D686" s="5" t="s">
        <v>16</v>
      </c>
      <c r="E686" s="5" t="s">
        <v>6504</v>
      </c>
      <c r="F686" s="6">
        <v>487.5</v>
      </c>
    </row>
    <row r="687" spans="1:6" x14ac:dyDescent="0.15">
      <c r="A687" s="5" t="s">
        <v>37</v>
      </c>
      <c r="B687" s="5" t="s">
        <v>6505</v>
      </c>
      <c r="C687" s="9">
        <v>42657</v>
      </c>
      <c r="D687" s="5" t="s">
        <v>16</v>
      </c>
      <c r="E687" s="5" t="s">
        <v>6506</v>
      </c>
      <c r="F687" s="6">
        <v>3510</v>
      </c>
    </row>
    <row r="688" spans="1:6" x14ac:dyDescent="0.15">
      <c r="A688" s="5" t="s">
        <v>37</v>
      </c>
      <c r="B688" s="5" t="s">
        <v>6507</v>
      </c>
      <c r="C688" s="9">
        <v>42657</v>
      </c>
      <c r="D688" s="5" t="s">
        <v>16</v>
      </c>
      <c r="E688" s="5" t="s">
        <v>6508</v>
      </c>
      <c r="F688" s="6">
        <v>7312.5</v>
      </c>
    </row>
    <row r="689" spans="1:6" x14ac:dyDescent="0.15">
      <c r="A689" s="5" t="s">
        <v>37</v>
      </c>
      <c r="B689" s="5" t="s">
        <v>6509</v>
      </c>
      <c r="C689" s="9">
        <v>42657</v>
      </c>
      <c r="D689" s="5" t="s">
        <v>16</v>
      </c>
      <c r="E689" s="5" t="s">
        <v>6510</v>
      </c>
      <c r="F689" s="6">
        <v>5850</v>
      </c>
    </row>
    <row r="690" spans="1:6" x14ac:dyDescent="0.15">
      <c r="A690" s="5" t="s">
        <v>43</v>
      </c>
      <c r="B690" s="5" t="s">
        <v>4701</v>
      </c>
      <c r="C690" s="9">
        <v>42650</v>
      </c>
      <c r="D690" s="5" t="s">
        <v>16</v>
      </c>
      <c r="E690" s="5" t="s">
        <v>1820</v>
      </c>
      <c r="F690" s="6">
        <v>1940</v>
      </c>
    </row>
    <row r="691" spans="1:6" x14ac:dyDescent="0.15">
      <c r="A691" s="5" t="s">
        <v>37</v>
      </c>
      <c r="B691" s="5" t="s">
        <v>6492</v>
      </c>
      <c r="C691" s="9">
        <v>42650</v>
      </c>
      <c r="D691" s="5" t="s">
        <v>16</v>
      </c>
      <c r="E691" s="5" t="s">
        <v>1820</v>
      </c>
      <c r="F691" s="6">
        <v>9750</v>
      </c>
    </row>
    <row r="692" spans="1:6" x14ac:dyDescent="0.15">
      <c r="A692" s="5" t="s">
        <v>41</v>
      </c>
      <c r="B692" s="5" t="s">
        <v>1819</v>
      </c>
      <c r="C692" s="9">
        <v>42650</v>
      </c>
      <c r="D692" s="5" t="s">
        <v>16</v>
      </c>
      <c r="E692" s="5" t="s">
        <v>1820</v>
      </c>
      <c r="F692" s="6">
        <v>3880</v>
      </c>
    </row>
    <row r="693" spans="1:6" x14ac:dyDescent="0.15">
      <c r="A693" s="5" t="s">
        <v>35</v>
      </c>
      <c r="B693" s="5" t="s">
        <v>2955</v>
      </c>
      <c r="C693" s="9">
        <v>42650</v>
      </c>
      <c r="D693" s="5" t="s">
        <v>16</v>
      </c>
      <c r="E693" s="5" t="s">
        <v>1820</v>
      </c>
      <c r="F693" s="6">
        <v>5850</v>
      </c>
    </row>
    <row r="694" spans="1:6" x14ac:dyDescent="0.15">
      <c r="A694" s="5" t="s">
        <v>37</v>
      </c>
      <c r="B694" s="5" t="s">
        <v>6511</v>
      </c>
      <c r="C694" s="9">
        <v>42657</v>
      </c>
      <c r="D694" s="5" t="s">
        <v>16</v>
      </c>
      <c r="E694" s="5" t="s">
        <v>6512</v>
      </c>
      <c r="F694" s="6">
        <v>4375.5</v>
      </c>
    </row>
    <row r="695" spans="1:6" x14ac:dyDescent="0.15">
      <c r="A695" s="5" t="s">
        <v>37</v>
      </c>
      <c r="B695" s="5" t="s">
        <v>6513</v>
      </c>
      <c r="C695" s="9">
        <v>42657</v>
      </c>
      <c r="D695" s="5" t="s">
        <v>16</v>
      </c>
      <c r="E695" s="5" t="s">
        <v>2976</v>
      </c>
      <c r="F695" s="6">
        <v>19305</v>
      </c>
    </row>
    <row r="696" spans="1:6" x14ac:dyDescent="0.15">
      <c r="A696" s="5" t="s">
        <v>35</v>
      </c>
      <c r="B696" s="5" t="s">
        <v>2975</v>
      </c>
      <c r="C696" s="9">
        <v>42657</v>
      </c>
      <c r="D696" s="5" t="s">
        <v>16</v>
      </c>
      <c r="E696" s="5" t="s">
        <v>2976</v>
      </c>
      <c r="F696" s="6">
        <v>10335</v>
      </c>
    </row>
    <row r="697" spans="1:6" x14ac:dyDescent="0.15">
      <c r="A697" s="5" t="s">
        <v>43</v>
      </c>
      <c r="B697" s="5" t="s">
        <v>4727</v>
      </c>
      <c r="C697" s="9">
        <v>42681</v>
      </c>
      <c r="D697" s="5" t="s">
        <v>16</v>
      </c>
      <c r="E697" s="5" t="s">
        <v>4728</v>
      </c>
      <c r="F697" s="6">
        <v>12561.5</v>
      </c>
    </row>
    <row r="698" spans="1:6" x14ac:dyDescent="0.15">
      <c r="A698" s="5" t="s">
        <v>37</v>
      </c>
      <c r="B698" s="5" t="s">
        <v>6560</v>
      </c>
      <c r="C698" s="9">
        <v>42681</v>
      </c>
      <c r="D698" s="5" t="s">
        <v>16</v>
      </c>
      <c r="E698" s="5" t="s">
        <v>4728</v>
      </c>
      <c r="F698" s="6">
        <v>11700</v>
      </c>
    </row>
    <row r="699" spans="1:6" x14ac:dyDescent="0.15">
      <c r="A699" s="5" t="s">
        <v>37</v>
      </c>
      <c r="B699" s="5" t="s">
        <v>6516</v>
      </c>
      <c r="C699" s="9">
        <v>42660</v>
      </c>
      <c r="D699" s="5" t="s">
        <v>16</v>
      </c>
      <c r="E699" s="5" t="s">
        <v>6517</v>
      </c>
      <c r="F699" s="6">
        <v>2632.5</v>
      </c>
    </row>
    <row r="700" spans="1:6" x14ac:dyDescent="0.15">
      <c r="A700" s="5" t="s">
        <v>37</v>
      </c>
      <c r="B700" s="5" t="s">
        <v>6518</v>
      </c>
      <c r="C700" s="9">
        <v>42660</v>
      </c>
      <c r="D700" s="5" t="s">
        <v>16</v>
      </c>
      <c r="E700" s="5" t="s">
        <v>4710</v>
      </c>
      <c r="F700" s="6">
        <v>5265</v>
      </c>
    </row>
    <row r="701" spans="1:6" x14ac:dyDescent="0.15">
      <c r="A701" s="5" t="s">
        <v>43</v>
      </c>
      <c r="B701" s="5" t="s">
        <v>4709</v>
      </c>
      <c r="C701" s="9">
        <v>42660</v>
      </c>
      <c r="D701" s="5" t="s">
        <v>16</v>
      </c>
      <c r="E701" s="5" t="s">
        <v>4710</v>
      </c>
      <c r="F701" s="6">
        <v>2619</v>
      </c>
    </row>
    <row r="702" spans="1:6" x14ac:dyDescent="0.15">
      <c r="A702" s="5" t="s">
        <v>35</v>
      </c>
      <c r="B702" s="5" t="s">
        <v>2973</v>
      </c>
      <c r="C702" s="9">
        <v>42656</v>
      </c>
      <c r="D702" s="5" t="s">
        <v>16</v>
      </c>
      <c r="E702" s="5" t="s">
        <v>2974</v>
      </c>
      <c r="F702" s="6">
        <v>3022.5</v>
      </c>
    </row>
    <row r="703" spans="1:6" x14ac:dyDescent="0.15">
      <c r="A703" s="5" t="s">
        <v>37</v>
      </c>
      <c r="B703" s="5" t="s">
        <v>6519</v>
      </c>
      <c r="C703" s="9">
        <v>42662</v>
      </c>
      <c r="D703" s="5" t="s">
        <v>16</v>
      </c>
      <c r="E703" s="5" t="s">
        <v>6520</v>
      </c>
      <c r="F703" s="6">
        <v>13065</v>
      </c>
    </row>
    <row r="704" spans="1:6" x14ac:dyDescent="0.15">
      <c r="A704" s="5" t="s">
        <v>35</v>
      </c>
      <c r="B704" s="5" t="s">
        <v>2967</v>
      </c>
      <c r="C704" s="9">
        <v>42653</v>
      </c>
      <c r="D704" s="5" t="s">
        <v>16</v>
      </c>
      <c r="E704" s="5" t="s">
        <v>2343</v>
      </c>
      <c r="F704" s="6">
        <v>-1950</v>
      </c>
    </row>
    <row r="705" spans="1:6" x14ac:dyDescent="0.15">
      <c r="A705" s="5" t="s">
        <v>40</v>
      </c>
      <c r="B705" s="5" t="s">
        <v>2342</v>
      </c>
      <c r="C705" s="9">
        <v>42653</v>
      </c>
      <c r="D705" s="5" t="s">
        <v>16</v>
      </c>
      <c r="E705" s="5" t="s">
        <v>2343</v>
      </c>
      <c r="F705" s="6">
        <v>-900</v>
      </c>
    </row>
    <row r="706" spans="1:6" x14ac:dyDescent="0.15">
      <c r="A706" s="5" t="s">
        <v>37</v>
      </c>
      <c r="B706" s="5" t="s">
        <v>6529</v>
      </c>
      <c r="C706" s="9">
        <v>42663</v>
      </c>
      <c r="D706" s="5" t="s">
        <v>16</v>
      </c>
      <c r="E706" s="5" t="s">
        <v>6530</v>
      </c>
      <c r="F706" s="6">
        <v>-877.5</v>
      </c>
    </row>
    <row r="707" spans="1:6" x14ac:dyDescent="0.15">
      <c r="A707" s="5" t="s">
        <v>37</v>
      </c>
      <c r="B707" s="5" t="s">
        <v>6531</v>
      </c>
      <c r="C707" s="9">
        <v>42663</v>
      </c>
      <c r="D707" s="5" t="s">
        <v>16</v>
      </c>
      <c r="E707" s="5" t="s">
        <v>6530</v>
      </c>
      <c r="F707" s="6">
        <v>877.5</v>
      </c>
    </row>
    <row r="708" spans="1:6" x14ac:dyDescent="0.15">
      <c r="A708" s="5" t="s">
        <v>40</v>
      </c>
      <c r="B708" s="5" t="s">
        <v>2351</v>
      </c>
      <c r="C708" s="9">
        <v>42663</v>
      </c>
      <c r="D708" s="5" t="s">
        <v>16</v>
      </c>
      <c r="E708" s="5" t="s">
        <v>2352</v>
      </c>
      <c r="F708" s="6">
        <v>-4650</v>
      </c>
    </row>
    <row r="709" spans="1:6" x14ac:dyDescent="0.15">
      <c r="A709" s="5" t="s">
        <v>40</v>
      </c>
      <c r="B709" s="5" t="s">
        <v>2348</v>
      </c>
      <c r="C709" s="9">
        <v>42655</v>
      </c>
      <c r="D709" s="5" t="s">
        <v>16</v>
      </c>
      <c r="E709" s="5" t="s">
        <v>2349</v>
      </c>
      <c r="F709" s="6">
        <v>4650</v>
      </c>
    </row>
    <row r="710" spans="1:6" x14ac:dyDescent="0.15">
      <c r="A710" s="5" t="s">
        <v>37</v>
      </c>
      <c r="B710" s="5" t="s">
        <v>6535</v>
      </c>
      <c r="C710" s="9">
        <v>42664</v>
      </c>
      <c r="D710" s="5" t="s">
        <v>16</v>
      </c>
      <c r="E710" s="5" t="s">
        <v>6536</v>
      </c>
      <c r="F710" s="6">
        <v>975</v>
      </c>
    </row>
    <row r="711" spans="1:6" x14ac:dyDescent="0.15">
      <c r="A711" s="5" t="s">
        <v>35</v>
      </c>
      <c r="B711" s="5" t="s">
        <v>2977</v>
      </c>
      <c r="C711" s="9">
        <v>42662</v>
      </c>
      <c r="D711" s="5" t="s">
        <v>16</v>
      </c>
      <c r="E711" s="5" t="s">
        <v>2978</v>
      </c>
      <c r="F711" s="6">
        <v>1950</v>
      </c>
    </row>
    <row r="712" spans="1:6" x14ac:dyDescent="0.15">
      <c r="A712" s="5" t="s">
        <v>41</v>
      </c>
      <c r="B712" s="5" t="s">
        <v>1825</v>
      </c>
      <c r="C712" s="9">
        <v>42662</v>
      </c>
      <c r="D712" s="5" t="s">
        <v>16</v>
      </c>
      <c r="E712" s="5" t="s">
        <v>1826</v>
      </c>
      <c r="F712" s="6">
        <v>194</v>
      </c>
    </row>
    <row r="713" spans="1:6" x14ac:dyDescent="0.15">
      <c r="A713" s="5" t="s">
        <v>40</v>
      </c>
      <c r="B713" s="5" t="s">
        <v>2350</v>
      </c>
      <c r="C713" s="9">
        <v>42662</v>
      </c>
      <c r="D713" s="5" t="s">
        <v>16</v>
      </c>
      <c r="E713" s="5" t="s">
        <v>1826</v>
      </c>
      <c r="F713" s="6">
        <v>675</v>
      </c>
    </row>
    <row r="714" spans="1:6" x14ac:dyDescent="0.15">
      <c r="A714" s="5" t="s">
        <v>35</v>
      </c>
      <c r="B714" s="5" t="s">
        <v>2979</v>
      </c>
      <c r="C714" s="9">
        <v>42662</v>
      </c>
      <c r="D714" s="5" t="s">
        <v>16</v>
      </c>
      <c r="E714" s="5" t="s">
        <v>1826</v>
      </c>
      <c r="F714" s="6">
        <v>390</v>
      </c>
    </row>
    <row r="715" spans="1:6" x14ac:dyDescent="0.15">
      <c r="A715" s="5" t="s">
        <v>37</v>
      </c>
      <c r="B715" s="5" t="s">
        <v>6521</v>
      </c>
      <c r="C715" s="9">
        <v>42662</v>
      </c>
      <c r="D715" s="5" t="s">
        <v>16</v>
      </c>
      <c r="E715" s="5" t="s">
        <v>6522</v>
      </c>
      <c r="F715" s="6">
        <v>4095</v>
      </c>
    </row>
    <row r="716" spans="1:6" x14ac:dyDescent="0.15">
      <c r="A716" s="5" t="s">
        <v>37</v>
      </c>
      <c r="B716" s="5" t="s">
        <v>6523</v>
      </c>
      <c r="C716" s="9">
        <v>42662</v>
      </c>
      <c r="D716" s="5" t="s">
        <v>16</v>
      </c>
      <c r="E716" s="5" t="s">
        <v>6524</v>
      </c>
      <c r="F716" s="6">
        <v>2437.5</v>
      </c>
    </row>
    <row r="717" spans="1:6" x14ac:dyDescent="0.15">
      <c r="A717" s="5" t="s">
        <v>37</v>
      </c>
      <c r="B717" s="5" t="s">
        <v>6532</v>
      </c>
      <c r="C717" s="9">
        <v>42663</v>
      </c>
      <c r="D717" s="5" t="s">
        <v>16</v>
      </c>
      <c r="E717" s="5" t="s">
        <v>2982</v>
      </c>
      <c r="F717" s="6">
        <v>7800</v>
      </c>
    </row>
    <row r="718" spans="1:6" x14ac:dyDescent="0.15">
      <c r="A718" s="5" t="s">
        <v>35</v>
      </c>
      <c r="B718" s="5" t="s">
        <v>2981</v>
      </c>
      <c r="C718" s="9">
        <v>42663</v>
      </c>
      <c r="D718" s="5" t="s">
        <v>16</v>
      </c>
      <c r="E718" s="5" t="s">
        <v>2982</v>
      </c>
      <c r="F718" s="6">
        <v>1950</v>
      </c>
    </row>
    <row r="719" spans="1:6" x14ac:dyDescent="0.15">
      <c r="A719" s="5" t="s">
        <v>37</v>
      </c>
      <c r="B719" s="5" t="s">
        <v>6533</v>
      </c>
      <c r="C719" s="9">
        <v>42663</v>
      </c>
      <c r="D719" s="5" t="s">
        <v>16</v>
      </c>
      <c r="E719" s="5" t="s">
        <v>6534</v>
      </c>
      <c r="F719" s="6">
        <v>5362.5</v>
      </c>
    </row>
    <row r="720" spans="1:6" x14ac:dyDescent="0.15">
      <c r="A720" s="5" t="s">
        <v>53</v>
      </c>
      <c r="B720" s="5" t="s">
        <v>8404</v>
      </c>
      <c r="C720" s="9">
        <v>42664</v>
      </c>
      <c r="D720" s="5" t="s">
        <v>16</v>
      </c>
      <c r="E720" s="5" t="s">
        <v>8405</v>
      </c>
      <c r="F720" s="6">
        <v>2242.5</v>
      </c>
    </row>
    <row r="721" spans="1:6" x14ac:dyDescent="0.15">
      <c r="A721" s="5" t="s">
        <v>37</v>
      </c>
      <c r="B721" s="5" t="s">
        <v>6537</v>
      </c>
      <c r="C721" s="9">
        <v>42664</v>
      </c>
      <c r="D721" s="5" t="s">
        <v>16</v>
      </c>
      <c r="E721" s="5" t="s">
        <v>6538</v>
      </c>
      <c r="F721" s="6">
        <v>6045</v>
      </c>
    </row>
    <row r="722" spans="1:6" x14ac:dyDescent="0.15">
      <c r="A722" s="5" t="s">
        <v>41</v>
      </c>
      <c r="B722" s="5" t="s">
        <v>1827</v>
      </c>
      <c r="C722" s="9">
        <v>42662</v>
      </c>
      <c r="D722" s="5" t="s">
        <v>16</v>
      </c>
      <c r="E722" s="5" t="s">
        <v>1828</v>
      </c>
      <c r="F722" s="6">
        <v>7420.5</v>
      </c>
    </row>
    <row r="723" spans="1:6" x14ac:dyDescent="0.15">
      <c r="A723" s="5" t="s">
        <v>35</v>
      </c>
      <c r="B723" s="5" t="s">
        <v>2980</v>
      </c>
      <c r="C723" s="9">
        <v>42662</v>
      </c>
      <c r="D723" s="5" t="s">
        <v>16</v>
      </c>
      <c r="E723" s="5" t="s">
        <v>1828</v>
      </c>
      <c r="F723" s="6">
        <v>2340</v>
      </c>
    </row>
    <row r="724" spans="1:6" x14ac:dyDescent="0.15">
      <c r="A724" s="5" t="s">
        <v>37</v>
      </c>
      <c r="B724" s="5" t="s">
        <v>6542</v>
      </c>
      <c r="C724" s="9">
        <v>42668</v>
      </c>
      <c r="D724" s="5" t="s">
        <v>16</v>
      </c>
      <c r="E724" s="5" t="s">
        <v>2645</v>
      </c>
      <c r="F724" s="6">
        <v>7800</v>
      </c>
    </row>
    <row r="725" spans="1:6" x14ac:dyDescent="0.15">
      <c r="A725" s="5" t="s">
        <v>53</v>
      </c>
      <c r="B725" s="5" t="s">
        <v>8406</v>
      </c>
      <c r="C725" s="9">
        <v>42668</v>
      </c>
      <c r="D725" s="5" t="s">
        <v>16</v>
      </c>
      <c r="E725" s="5" t="s">
        <v>2645</v>
      </c>
      <c r="F725" s="6">
        <v>5850</v>
      </c>
    </row>
    <row r="726" spans="1:6" x14ac:dyDescent="0.15">
      <c r="A726" s="5" t="s">
        <v>57</v>
      </c>
      <c r="B726" s="5" t="s">
        <v>5569</v>
      </c>
      <c r="C726" s="9">
        <v>42668</v>
      </c>
      <c r="D726" s="5" t="s">
        <v>16</v>
      </c>
      <c r="E726" s="5" t="s">
        <v>2645</v>
      </c>
      <c r="F726" s="6">
        <v>5820</v>
      </c>
    </row>
    <row r="727" spans="1:6" x14ac:dyDescent="0.15">
      <c r="A727" s="5" t="s">
        <v>174</v>
      </c>
      <c r="B727" s="5" t="s">
        <v>2644</v>
      </c>
      <c r="C727" s="9">
        <v>42668</v>
      </c>
      <c r="D727" s="5" t="s">
        <v>16</v>
      </c>
      <c r="E727" s="5" t="s">
        <v>2645</v>
      </c>
      <c r="F727" s="6">
        <v>4500</v>
      </c>
    </row>
    <row r="728" spans="1:6" x14ac:dyDescent="0.15">
      <c r="A728" s="5" t="s">
        <v>43</v>
      </c>
      <c r="B728" s="5" t="s">
        <v>4713</v>
      </c>
      <c r="C728" s="9">
        <v>42668</v>
      </c>
      <c r="D728" s="5" t="s">
        <v>16</v>
      </c>
      <c r="E728" s="5" t="s">
        <v>4714</v>
      </c>
      <c r="F728" s="6">
        <v>291</v>
      </c>
    </row>
    <row r="729" spans="1:6" x14ac:dyDescent="0.15">
      <c r="A729" s="5" t="s">
        <v>35</v>
      </c>
      <c r="B729" s="5" t="s">
        <v>2983</v>
      </c>
      <c r="C729" s="9">
        <v>42667</v>
      </c>
      <c r="D729" s="5" t="s">
        <v>16</v>
      </c>
      <c r="E729" s="5" t="s">
        <v>2354</v>
      </c>
      <c r="F729" s="6">
        <v>2145</v>
      </c>
    </row>
    <row r="730" spans="1:6" x14ac:dyDescent="0.15">
      <c r="A730" s="5" t="s">
        <v>40</v>
      </c>
      <c r="B730" s="5" t="s">
        <v>2353</v>
      </c>
      <c r="C730" s="9">
        <v>42667</v>
      </c>
      <c r="D730" s="5" t="s">
        <v>16</v>
      </c>
      <c r="E730" s="5" t="s">
        <v>2354</v>
      </c>
      <c r="F730" s="6">
        <v>300</v>
      </c>
    </row>
    <row r="731" spans="1:6" x14ac:dyDescent="0.15">
      <c r="A731" s="5" t="s">
        <v>37</v>
      </c>
      <c r="B731" s="5" t="s">
        <v>6539</v>
      </c>
      <c r="C731" s="9">
        <v>42667</v>
      </c>
      <c r="D731" s="5" t="s">
        <v>16</v>
      </c>
      <c r="E731" s="5" t="s">
        <v>4712</v>
      </c>
      <c r="F731" s="6">
        <v>3802.5</v>
      </c>
    </row>
    <row r="732" spans="1:6" x14ac:dyDescent="0.15">
      <c r="A732" s="5" t="s">
        <v>43</v>
      </c>
      <c r="B732" s="5" t="s">
        <v>4711</v>
      </c>
      <c r="C732" s="9">
        <v>42667</v>
      </c>
      <c r="D732" s="5" t="s">
        <v>16</v>
      </c>
      <c r="E732" s="5" t="s">
        <v>4712</v>
      </c>
      <c r="F732" s="6">
        <v>48.5</v>
      </c>
    </row>
    <row r="733" spans="1:6" x14ac:dyDescent="0.15">
      <c r="A733" s="5" t="s">
        <v>37</v>
      </c>
      <c r="B733" s="5" t="s">
        <v>6525</v>
      </c>
      <c r="C733" s="9">
        <v>42662</v>
      </c>
      <c r="D733" s="5" t="s">
        <v>16</v>
      </c>
      <c r="E733" s="5" t="s">
        <v>6526</v>
      </c>
      <c r="F733" s="6">
        <v>-2437.5</v>
      </c>
    </row>
    <row r="734" spans="1:6" x14ac:dyDescent="0.15">
      <c r="A734" s="5" t="s">
        <v>37</v>
      </c>
      <c r="B734" s="5" t="s">
        <v>6527</v>
      </c>
      <c r="C734" s="9">
        <v>42662</v>
      </c>
      <c r="D734" s="5" t="s">
        <v>16</v>
      </c>
      <c r="E734" s="5" t="s">
        <v>6528</v>
      </c>
      <c r="F734" s="6">
        <v>2437.5</v>
      </c>
    </row>
    <row r="735" spans="1:6" x14ac:dyDescent="0.15">
      <c r="A735" s="5" t="s">
        <v>37</v>
      </c>
      <c r="B735" s="5" t="s">
        <v>6540</v>
      </c>
      <c r="C735" s="9">
        <v>42667</v>
      </c>
      <c r="D735" s="5" t="s">
        <v>16</v>
      </c>
      <c r="E735" s="5" t="s">
        <v>5770</v>
      </c>
      <c r="F735" s="6">
        <v>7605</v>
      </c>
    </row>
    <row r="736" spans="1:6" x14ac:dyDescent="0.15">
      <c r="A736" s="5" t="s">
        <v>42</v>
      </c>
      <c r="B736" s="5" t="s">
        <v>5769</v>
      </c>
      <c r="C736" s="9">
        <v>42667</v>
      </c>
      <c r="D736" s="5" t="s">
        <v>16</v>
      </c>
      <c r="E736" s="5" t="s">
        <v>5770</v>
      </c>
      <c r="F736" s="6">
        <v>2700</v>
      </c>
    </row>
    <row r="737" spans="1:6" x14ac:dyDescent="0.15">
      <c r="A737" s="5" t="s">
        <v>37</v>
      </c>
      <c r="B737" s="5" t="s">
        <v>6541</v>
      </c>
      <c r="C737" s="9">
        <v>42667</v>
      </c>
      <c r="D737" s="5" t="s">
        <v>16</v>
      </c>
      <c r="E737" s="5" t="s">
        <v>2356</v>
      </c>
      <c r="F737" s="6">
        <v>6630</v>
      </c>
    </row>
    <row r="738" spans="1:6" x14ac:dyDescent="0.15">
      <c r="A738" s="5" t="s">
        <v>40</v>
      </c>
      <c r="B738" s="5" t="s">
        <v>2355</v>
      </c>
      <c r="C738" s="9">
        <v>42667</v>
      </c>
      <c r="D738" s="5" t="s">
        <v>16</v>
      </c>
      <c r="E738" s="5" t="s">
        <v>2356</v>
      </c>
      <c r="F738" s="6">
        <v>5100</v>
      </c>
    </row>
    <row r="739" spans="1:6" x14ac:dyDescent="0.15">
      <c r="A739" s="5" t="s">
        <v>37</v>
      </c>
      <c r="B739" s="5" t="s">
        <v>6543</v>
      </c>
      <c r="C739" s="9">
        <v>42668</v>
      </c>
      <c r="D739" s="5" t="s">
        <v>16</v>
      </c>
      <c r="E739" s="5" t="s">
        <v>2647</v>
      </c>
      <c r="F739" s="6">
        <v>7800</v>
      </c>
    </row>
    <row r="740" spans="1:6" x14ac:dyDescent="0.15">
      <c r="A740" s="5" t="s">
        <v>53</v>
      </c>
      <c r="B740" s="5" t="s">
        <v>8407</v>
      </c>
      <c r="C740" s="9">
        <v>42668</v>
      </c>
      <c r="D740" s="5" t="s">
        <v>16</v>
      </c>
      <c r="E740" s="5" t="s">
        <v>2647</v>
      </c>
      <c r="F740" s="6">
        <v>5850</v>
      </c>
    </row>
    <row r="741" spans="1:6" x14ac:dyDescent="0.15">
      <c r="A741" s="5" t="s">
        <v>57</v>
      </c>
      <c r="B741" s="5" t="s">
        <v>5570</v>
      </c>
      <c r="C741" s="9">
        <v>42668</v>
      </c>
      <c r="D741" s="5" t="s">
        <v>16</v>
      </c>
      <c r="E741" s="5" t="s">
        <v>2647</v>
      </c>
      <c r="F741" s="6">
        <v>5820</v>
      </c>
    </row>
    <row r="742" spans="1:6" x14ac:dyDescent="0.15">
      <c r="A742" s="5" t="s">
        <v>174</v>
      </c>
      <c r="B742" s="5" t="s">
        <v>2646</v>
      </c>
      <c r="C742" s="9">
        <v>42668</v>
      </c>
      <c r="D742" s="5" t="s">
        <v>16</v>
      </c>
      <c r="E742" s="5" t="s">
        <v>2647</v>
      </c>
      <c r="F742" s="6">
        <v>4500</v>
      </c>
    </row>
    <row r="743" spans="1:6" x14ac:dyDescent="0.15">
      <c r="A743" s="5" t="s">
        <v>37</v>
      </c>
      <c r="B743" s="5" t="s">
        <v>6544</v>
      </c>
      <c r="C743" s="9">
        <v>42668</v>
      </c>
      <c r="D743" s="5" t="s">
        <v>16</v>
      </c>
      <c r="E743" s="5" t="s">
        <v>2649</v>
      </c>
      <c r="F743" s="6">
        <v>-7800</v>
      </c>
    </row>
    <row r="744" spans="1:6" x14ac:dyDescent="0.15">
      <c r="A744" s="5" t="s">
        <v>53</v>
      </c>
      <c r="B744" s="5" t="s">
        <v>8408</v>
      </c>
      <c r="C744" s="9">
        <v>42668</v>
      </c>
      <c r="D744" s="5" t="s">
        <v>16</v>
      </c>
      <c r="E744" s="5" t="s">
        <v>2649</v>
      </c>
      <c r="F744" s="6">
        <v>-5850</v>
      </c>
    </row>
    <row r="745" spans="1:6" x14ac:dyDescent="0.15">
      <c r="A745" s="5" t="s">
        <v>57</v>
      </c>
      <c r="B745" s="5" t="s">
        <v>5571</v>
      </c>
      <c r="C745" s="9">
        <v>42668</v>
      </c>
      <c r="D745" s="5" t="s">
        <v>16</v>
      </c>
      <c r="E745" s="5" t="s">
        <v>2649</v>
      </c>
      <c r="F745" s="6">
        <v>-5820</v>
      </c>
    </row>
    <row r="746" spans="1:6" x14ac:dyDescent="0.15">
      <c r="A746" s="5" t="s">
        <v>174</v>
      </c>
      <c r="B746" s="5" t="s">
        <v>2648</v>
      </c>
      <c r="C746" s="9">
        <v>42668</v>
      </c>
      <c r="D746" s="5" t="s">
        <v>16</v>
      </c>
      <c r="E746" s="5" t="s">
        <v>2649</v>
      </c>
      <c r="F746" s="6">
        <v>-4500</v>
      </c>
    </row>
    <row r="747" spans="1:6" x14ac:dyDescent="0.15">
      <c r="A747" s="5" t="s">
        <v>43</v>
      </c>
      <c r="B747" s="5" t="s">
        <v>4715</v>
      </c>
      <c r="C747" s="9">
        <v>42668</v>
      </c>
      <c r="D747" s="5" t="s">
        <v>16</v>
      </c>
      <c r="E747" s="5" t="s">
        <v>4716</v>
      </c>
      <c r="F747" s="6">
        <v>145.5</v>
      </c>
    </row>
    <row r="748" spans="1:6" x14ac:dyDescent="0.15">
      <c r="A748" s="5" t="s">
        <v>53</v>
      </c>
      <c r="B748" s="5" t="s">
        <v>8409</v>
      </c>
      <c r="C748" s="9">
        <v>42671</v>
      </c>
      <c r="D748" s="5" t="s">
        <v>16</v>
      </c>
      <c r="E748" s="5" t="s">
        <v>5573</v>
      </c>
      <c r="F748" s="6">
        <v>12285</v>
      </c>
    </row>
    <row r="749" spans="1:6" x14ac:dyDescent="0.15">
      <c r="A749" s="5" t="s">
        <v>57</v>
      </c>
      <c r="B749" s="5" t="s">
        <v>5572</v>
      </c>
      <c r="C749" s="9">
        <v>42671</v>
      </c>
      <c r="D749" s="5" t="s">
        <v>16</v>
      </c>
      <c r="E749" s="5" t="s">
        <v>5573</v>
      </c>
      <c r="F749" s="6">
        <v>582</v>
      </c>
    </row>
    <row r="750" spans="1:6" x14ac:dyDescent="0.15">
      <c r="A750" s="5" t="s">
        <v>53</v>
      </c>
      <c r="B750" s="5" t="s">
        <v>8410</v>
      </c>
      <c r="C750" s="9">
        <v>42671</v>
      </c>
      <c r="D750" s="5" t="s">
        <v>16</v>
      </c>
      <c r="E750" s="5" t="s">
        <v>5573</v>
      </c>
      <c r="F750" s="6">
        <v>1462.5</v>
      </c>
    </row>
    <row r="751" spans="1:6" x14ac:dyDescent="0.15">
      <c r="A751" s="5" t="s">
        <v>37</v>
      </c>
      <c r="B751" s="5" t="s">
        <v>6547</v>
      </c>
      <c r="C751" s="9">
        <v>42671</v>
      </c>
      <c r="D751" s="5" t="s">
        <v>16</v>
      </c>
      <c r="E751" s="5" t="s">
        <v>5573</v>
      </c>
      <c r="F751" s="6">
        <v>12285</v>
      </c>
    </row>
    <row r="752" spans="1:6" x14ac:dyDescent="0.15">
      <c r="A752" s="5" t="s">
        <v>43</v>
      </c>
      <c r="B752" s="5" t="s">
        <v>4717</v>
      </c>
      <c r="C752" s="9">
        <v>42670</v>
      </c>
      <c r="D752" s="5" t="s">
        <v>16</v>
      </c>
      <c r="E752" s="5" t="s">
        <v>4718</v>
      </c>
      <c r="F752" s="6">
        <v>97</v>
      </c>
    </row>
    <row r="753" spans="1:6" x14ac:dyDescent="0.15">
      <c r="A753" s="5" t="s">
        <v>41</v>
      </c>
      <c r="B753" s="5" t="s">
        <v>1829</v>
      </c>
      <c r="C753" s="9">
        <v>42669</v>
      </c>
      <c r="D753" s="5" t="s">
        <v>16</v>
      </c>
      <c r="E753" s="5" t="s">
        <v>1830</v>
      </c>
      <c r="F753" s="6">
        <v>2037</v>
      </c>
    </row>
    <row r="754" spans="1:6" x14ac:dyDescent="0.15">
      <c r="A754" s="5" t="s">
        <v>40</v>
      </c>
      <c r="B754" s="5" t="s">
        <v>2357</v>
      </c>
      <c r="C754" s="9">
        <v>42670</v>
      </c>
      <c r="D754" s="5" t="s">
        <v>16</v>
      </c>
      <c r="E754" s="5" t="s">
        <v>2358</v>
      </c>
      <c r="F754" s="6">
        <v>750</v>
      </c>
    </row>
    <row r="755" spans="1:6" x14ac:dyDescent="0.15">
      <c r="A755" s="5" t="s">
        <v>35</v>
      </c>
      <c r="B755" s="5" t="s">
        <v>2984</v>
      </c>
      <c r="C755" s="9">
        <v>42670</v>
      </c>
      <c r="D755" s="5" t="s">
        <v>16</v>
      </c>
      <c r="E755" s="5" t="s">
        <v>2358</v>
      </c>
      <c r="F755" s="6">
        <v>7605</v>
      </c>
    </row>
    <row r="756" spans="1:6" x14ac:dyDescent="0.15">
      <c r="A756" s="5" t="s">
        <v>37</v>
      </c>
      <c r="B756" s="5" t="s">
        <v>6545</v>
      </c>
      <c r="C756" s="9">
        <v>42670</v>
      </c>
      <c r="D756" s="5" t="s">
        <v>16</v>
      </c>
      <c r="E756" s="5" t="s">
        <v>6546</v>
      </c>
      <c r="F756" s="6">
        <v>5362.5</v>
      </c>
    </row>
    <row r="757" spans="1:6" x14ac:dyDescent="0.15">
      <c r="A757" s="5" t="s">
        <v>35</v>
      </c>
      <c r="B757" s="5" t="s">
        <v>2985</v>
      </c>
      <c r="C757" s="9">
        <v>42670</v>
      </c>
      <c r="D757" s="5" t="s">
        <v>16</v>
      </c>
      <c r="E757" s="5" t="s">
        <v>2986</v>
      </c>
      <c r="F757" s="6">
        <v>1657.5</v>
      </c>
    </row>
    <row r="758" spans="1:6" x14ac:dyDescent="0.15">
      <c r="A758" s="5" t="s">
        <v>55</v>
      </c>
      <c r="B758" s="5" t="s">
        <v>4484</v>
      </c>
      <c r="C758" s="9">
        <v>42670</v>
      </c>
      <c r="D758" s="5" t="s">
        <v>16</v>
      </c>
      <c r="E758" s="5" t="s">
        <v>2986</v>
      </c>
      <c r="F758" s="6">
        <v>340</v>
      </c>
    </row>
    <row r="759" spans="1:6" x14ac:dyDescent="0.15">
      <c r="A759" s="5" t="s">
        <v>40</v>
      </c>
      <c r="B759" s="5" t="s">
        <v>2359</v>
      </c>
      <c r="C759" s="9">
        <v>42671</v>
      </c>
      <c r="D759" s="5" t="s">
        <v>16</v>
      </c>
      <c r="E759" s="5" t="s">
        <v>2360</v>
      </c>
      <c r="F759" s="6">
        <v>675</v>
      </c>
    </row>
    <row r="760" spans="1:6" x14ac:dyDescent="0.15">
      <c r="A760" s="5" t="s">
        <v>35</v>
      </c>
      <c r="B760" s="5" t="s">
        <v>2987</v>
      </c>
      <c r="C760" s="9">
        <v>42671</v>
      </c>
      <c r="D760" s="5" t="s">
        <v>16</v>
      </c>
      <c r="E760" s="5" t="s">
        <v>2360</v>
      </c>
      <c r="F760" s="6">
        <v>2632.5</v>
      </c>
    </row>
    <row r="761" spans="1:6" x14ac:dyDescent="0.15">
      <c r="A761" s="5" t="s">
        <v>37</v>
      </c>
      <c r="B761" s="5" t="s">
        <v>6566</v>
      </c>
      <c r="C761" s="9">
        <v>42682</v>
      </c>
      <c r="D761" s="5" t="s">
        <v>16</v>
      </c>
      <c r="E761" s="5" t="s">
        <v>6567</v>
      </c>
      <c r="F761" s="6">
        <v>12090</v>
      </c>
    </row>
    <row r="762" spans="1:6" x14ac:dyDescent="0.15">
      <c r="A762" s="5" t="s">
        <v>43</v>
      </c>
      <c r="B762" s="5" t="s">
        <v>4725</v>
      </c>
      <c r="C762" s="9">
        <v>42677</v>
      </c>
      <c r="D762" s="5" t="s">
        <v>16</v>
      </c>
      <c r="E762" s="5" t="s">
        <v>4726</v>
      </c>
      <c r="F762" s="6">
        <v>1261</v>
      </c>
    </row>
    <row r="763" spans="1:6" x14ac:dyDescent="0.15">
      <c r="A763" s="5" t="s">
        <v>37</v>
      </c>
      <c r="B763" s="5" t="s">
        <v>6548</v>
      </c>
      <c r="C763" s="9">
        <v>42676</v>
      </c>
      <c r="D763" s="5" t="s">
        <v>16</v>
      </c>
      <c r="E763" s="5" t="s">
        <v>4720</v>
      </c>
      <c r="F763" s="6">
        <v>975</v>
      </c>
    </row>
    <row r="764" spans="1:6" x14ac:dyDescent="0.15">
      <c r="A764" s="5" t="s">
        <v>43</v>
      </c>
      <c r="B764" s="5" t="s">
        <v>4719</v>
      </c>
      <c r="C764" s="9">
        <v>42676</v>
      </c>
      <c r="D764" s="5" t="s">
        <v>16</v>
      </c>
      <c r="E764" s="5" t="s">
        <v>4720</v>
      </c>
      <c r="F764" s="6">
        <v>1988.5</v>
      </c>
    </row>
    <row r="765" spans="1:6" x14ac:dyDescent="0.15">
      <c r="A765" s="5" t="s">
        <v>35</v>
      </c>
      <c r="B765" s="5" t="s">
        <v>2988</v>
      </c>
      <c r="C765" s="9">
        <v>42677</v>
      </c>
      <c r="D765" s="5" t="s">
        <v>16</v>
      </c>
      <c r="E765" s="5" t="s">
        <v>2989</v>
      </c>
      <c r="F765" s="6">
        <v>195</v>
      </c>
    </row>
    <row r="766" spans="1:6" x14ac:dyDescent="0.15">
      <c r="A766" s="5" t="s">
        <v>43</v>
      </c>
      <c r="B766" s="5" t="s">
        <v>4721</v>
      </c>
      <c r="C766" s="9">
        <v>42676</v>
      </c>
      <c r="D766" s="5" t="s">
        <v>16</v>
      </c>
      <c r="E766" s="5" t="s">
        <v>4722</v>
      </c>
      <c r="F766" s="6">
        <v>485</v>
      </c>
    </row>
    <row r="767" spans="1:6" x14ac:dyDescent="0.15">
      <c r="A767" s="5" t="s">
        <v>37</v>
      </c>
      <c r="B767" s="5" t="s">
        <v>6549</v>
      </c>
      <c r="C767" s="9">
        <v>42677</v>
      </c>
      <c r="D767" s="5" t="s">
        <v>16</v>
      </c>
      <c r="E767" s="5" t="s">
        <v>6550</v>
      </c>
      <c r="F767" s="6">
        <v>780</v>
      </c>
    </row>
    <row r="768" spans="1:6" x14ac:dyDescent="0.15">
      <c r="A768" s="5" t="s">
        <v>37</v>
      </c>
      <c r="B768" s="5" t="s">
        <v>6551</v>
      </c>
      <c r="C768" s="9">
        <v>42677</v>
      </c>
      <c r="D768" s="5" t="s">
        <v>16</v>
      </c>
      <c r="E768" s="5" t="s">
        <v>5772</v>
      </c>
      <c r="F768" s="6">
        <v>195</v>
      </c>
    </row>
    <row r="769" spans="1:6" x14ac:dyDescent="0.15">
      <c r="A769" s="5" t="s">
        <v>42</v>
      </c>
      <c r="B769" s="5" t="s">
        <v>5771</v>
      </c>
      <c r="C769" s="9">
        <v>42677</v>
      </c>
      <c r="D769" s="5" t="s">
        <v>16</v>
      </c>
      <c r="E769" s="5" t="s">
        <v>5772</v>
      </c>
      <c r="F769" s="6">
        <v>75</v>
      </c>
    </row>
    <row r="770" spans="1:6" x14ac:dyDescent="0.15">
      <c r="A770" s="5" t="s">
        <v>53</v>
      </c>
      <c r="B770" s="5" t="s">
        <v>8411</v>
      </c>
      <c r="C770" s="9">
        <v>42677</v>
      </c>
      <c r="D770" s="5" t="s">
        <v>16</v>
      </c>
      <c r="E770" s="5" t="s">
        <v>8412</v>
      </c>
      <c r="F770" s="6">
        <v>1657.5</v>
      </c>
    </row>
    <row r="771" spans="1:6" x14ac:dyDescent="0.15">
      <c r="A771" s="5" t="s">
        <v>43</v>
      </c>
      <c r="B771" s="5" t="s">
        <v>4723</v>
      </c>
      <c r="C771" s="9">
        <v>42676</v>
      </c>
      <c r="D771" s="5" t="s">
        <v>16</v>
      </c>
      <c r="E771" s="5" t="s">
        <v>4724</v>
      </c>
      <c r="F771" s="6">
        <v>48.5</v>
      </c>
    </row>
    <row r="772" spans="1:6" x14ac:dyDescent="0.15">
      <c r="A772" s="5" t="s">
        <v>42</v>
      </c>
      <c r="B772" s="5" t="s">
        <v>5775</v>
      </c>
      <c r="C772" s="9">
        <v>42678</v>
      </c>
      <c r="D772" s="5" t="s">
        <v>16</v>
      </c>
      <c r="E772" s="5" t="s">
        <v>5776</v>
      </c>
      <c r="F772" s="6">
        <v>3375</v>
      </c>
    </row>
    <row r="773" spans="1:6" x14ac:dyDescent="0.15">
      <c r="A773" s="5" t="s">
        <v>37</v>
      </c>
      <c r="B773" s="5" t="s">
        <v>6559</v>
      </c>
      <c r="C773" s="9">
        <v>42678</v>
      </c>
      <c r="D773" s="5" t="s">
        <v>16</v>
      </c>
      <c r="E773" s="5" t="s">
        <v>5776</v>
      </c>
      <c r="F773" s="6">
        <v>1462.5</v>
      </c>
    </row>
    <row r="774" spans="1:6" x14ac:dyDescent="0.15">
      <c r="A774" s="5" t="s">
        <v>37</v>
      </c>
      <c r="B774" s="5" t="s">
        <v>6552</v>
      </c>
      <c r="C774" s="9">
        <v>42677</v>
      </c>
      <c r="D774" s="5" t="s">
        <v>16</v>
      </c>
      <c r="E774" s="5" t="s">
        <v>6553</v>
      </c>
      <c r="F774" s="6">
        <v>2047.5</v>
      </c>
    </row>
    <row r="775" spans="1:6" x14ac:dyDescent="0.15">
      <c r="A775" s="5" t="s">
        <v>37</v>
      </c>
      <c r="B775" s="5" t="s">
        <v>6554</v>
      </c>
      <c r="C775" s="9">
        <v>42677</v>
      </c>
      <c r="D775" s="5" t="s">
        <v>16</v>
      </c>
      <c r="E775" s="5" t="s">
        <v>2991</v>
      </c>
      <c r="F775" s="6">
        <v>7312.5</v>
      </c>
    </row>
    <row r="776" spans="1:6" x14ac:dyDescent="0.15">
      <c r="A776" s="5" t="s">
        <v>35</v>
      </c>
      <c r="B776" s="5" t="s">
        <v>2990</v>
      </c>
      <c r="C776" s="9">
        <v>42677</v>
      </c>
      <c r="D776" s="5" t="s">
        <v>16</v>
      </c>
      <c r="E776" s="5" t="s">
        <v>2991</v>
      </c>
      <c r="F776" s="6">
        <v>1462.5</v>
      </c>
    </row>
    <row r="777" spans="1:6" x14ac:dyDescent="0.15">
      <c r="A777" s="5" t="s">
        <v>42</v>
      </c>
      <c r="B777" s="5" t="s">
        <v>5773</v>
      </c>
      <c r="C777" s="9">
        <v>42677</v>
      </c>
      <c r="D777" s="5" t="s">
        <v>16</v>
      </c>
      <c r="E777" s="5" t="s">
        <v>5774</v>
      </c>
      <c r="F777" s="6">
        <v>150</v>
      </c>
    </row>
    <row r="778" spans="1:6" x14ac:dyDescent="0.15">
      <c r="A778" s="5" t="s">
        <v>37</v>
      </c>
      <c r="B778" s="5" t="s">
        <v>6555</v>
      </c>
      <c r="C778" s="9">
        <v>42677</v>
      </c>
      <c r="D778" s="5" t="s">
        <v>16</v>
      </c>
      <c r="E778" s="5" t="s">
        <v>5774</v>
      </c>
      <c r="F778" s="6">
        <v>682.5</v>
      </c>
    </row>
    <row r="779" spans="1:6" x14ac:dyDescent="0.15">
      <c r="A779" s="5" t="s">
        <v>35</v>
      </c>
      <c r="B779" s="5" t="s">
        <v>2992</v>
      </c>
      <c r="C779" s="9">
        <v>42677</v>
      </c>
      <c r="D779" s="5" t="s">
        <v>16</v>
      </c>
      <c r="E779" s="5" t="s">
        <v>2993</v>
      </c>
      <c r="F779" s="6">
        <v>3802.5</v>
      </c>
    </row>
    <row r="780" spans="1:6" x14ac:dyDescent="0.15">
      <c r="A780" s="5" t="s">
        <v>35</v>
      </c>
      <c r="B780" s="5" t="s">
        <v>2994</v>
      </c>
      <c r="C780" s="9">
        <v>42677</v>
      </c>
      <c r="D780" s="5" t="s">
        <v>16</v>
      </c>
      <c r="E780" s="5" t="s">
        <v>2995</v>
      </c>
      <c r="F780" s="6">
        <v>487.5</v>
      </c>
    </row>
    <row r="781" spans="1:6" x14ac:dyDescent="0.15">
      <c r="A781" s="5" t="s">
        <v>37</v>
      </c>
      <c r="B781" s="5" t="s">
        <v>6556</v>
      </c>
      <c r="C781" s="9">
        <v>42677</v>
      </c>
      <c r="D781" s="5" t="s">
        <v>16</v>
      </c>
      <c r="E781" s="5" t="s">
        <v>2995</v>
      </c>
      <c r="F781" s="6">
        <v>1950</v>
      </c>
    </row>
    <row r="782" spans="1:6" x14ac:dyDescent="0.15">
      <c r="A782" s="5" t="s">
        <v>37</v>
      </c>
      <c r="B782" s="5" t="s">
        <v>6557</v>
      </c>
      <c r="C782" s="9">
        <v>42677</v>
      </c>
      <c r="D782" s="5" t="s">
        <v>16</v>
      </c>
      <c r="E782" s="5" t="s">
        <v>6558</v>
      </c>
      <c r="F782" s="6">
        <v>4972.5</v>
      </c>
    </row>
    <row r="783" spans="1:6" x14ac:dyDescent="0.15">
      <c r="A783" s="5" t="s">
        <v>43</v>
      </c>
      <c r="B783" s="5" t="s">
        <v>4729</v>
      </c>
      <c r="C783" s="9">
        <v>42681</v>
      </c>
      <c r="D783" s="5" t="s">
        <v>16</v>
      </c>
      <c r="E783" s="5" t="s">
        <v>4730</v>
      </c>
      <c r="F783" s="6">
        <v>194</v>
      </c>
    </row>
    <row r="784" spans="1:6" x14ac:dyDescent="0.15">
      <c r="A784" s="5" t="s">
        <v>37</v>
      </c>
      <c r="B784" s="5" t="s">
        <v>6561</v>
      </c>
      <c r="C784" s="9">
        <v>42681</v>
      </c>
      <c r="D784" s="5" t="s">
        <v>16</v>
      </c>
      <c r="E784" s="5" t="s">
        <v>6562</v>
      </c>
      <c r="F784" s="6">
        <v>3315</v>
      </c>
    </row>
    <row r="785" spans="1:6" x14ac:dyDescent="0.15">
      <c r="A785" s="5" t="s">
        <v>37</v>
      </c>
      <c r="B785" s="5" t="s">
        <v>6568</v>
      </c>
      <c r="C785" s="9">
        <v>42682</v>
      </c>
      <c r="D785" s="5" t="s">
        <v>16</v>
      </c>
      <c r="E785" s="5" t="s">
        <v>5778</v>
      </c>
      <c r="F785" s="6">
        <v>5850</v>
      </c>
    </row>
    <row r="786" spans="1:6" x14ac:dyDescent="0.15">
      <c r="A786" s="5" t="s">
        <v>64</v>
      </c>
      <c r="B786" s="5" t="s">
        <v>6110</v>
      </c>
      <c r="C786" s="9">
        <v>42682</v>
      </c>
      <c r="D786" s="5" t="s">
        <v>16</v>
      </c>
      <c r="E786" s="5" t="s">
        <v>5778</v>
      </c>
      <c r="F786" s="6">
        <v>7500</v>
      </c>
    </row>
    <row r="787" spans="1:6" x14ac:dyDescent="0.15">
      <c r="A787" s="5" t="s">
        <v>42</v>
      </c>
      <c r="B787" s="5" t="s">
        <v>5777</v>
      </c>
      <c r="C787" s="9">
        <v>42682</v>
      </c>
      <c r="D787" s="5" t="s">
        <v>16</v>
      </c>
      <c r="E787" s="5" t="s">
        <v>5778</v>
      </c>
      <c r="F787" s="6">
        <v>7500</v>
      </c>
    </row>
    <row r="788" spans="1:6" x14ac:dyDescent="0.15">
      <c r="A788" s="5" t="s">
        <v>37</v>
      </c>
      <c r="B788" s="5" t="s">
        <v>6569</v>
      </c>
      <c r="C788" s="9">
        <v>42682</v>
      </c>
      <c r="D788" s="5" t="s">
        <v>16</v>
      </c>
      <c r="E788" s="5" t="s">
        <v>6570</v>
      </c>
      <c r="F788" s="6">
        <v>25350</v>
      </c>
    </row>
    <row r="789" spans="1:6" x14ac:dyDescent="0.15">
      <c r="A789" s="5" t="s">
        <v>37</v>
      </c>
      <c r="B789" s="5" t="s">
        <v>6563</v>
      </c>
      <c r="C789" s="9">
        <v>42681</v>
      </c>
      <c r="D789" s="5" t="s">
        <v>16</v>
      </c>
      <c r="E789" s="5" t="s">
        <v>6564</v>
      </c>
      <c r="F789" s="6">
        <v>487.5</v>
      </c>
    </row>
    <row r="790" spans="1:6" x14ac:dyDescent="0.15">
      <c r="A790" s="5" t="s">
        <v>43</v>
      </c>
      <c r="B790" s="5" t="s">
        <v>4731</v>
      </c>
      <c r="C790" s="9">
        <v>42681</v>
      </c>
      <c r="D790" s="5" t="s">
        <v>16</v>
      </c>
      <c r="E790" s="5" t="s">
        <v>4732</v>
      </c>
      <c r="F790" s="6">
        <v>824.5</v>
      </c>
    </row>
    <row r="791" spans="1:6" x14ac:dyDescent="0.15">
      <c r="A791" s="5" t="s">
        <v>35</v>
      </c>
      <c r="B791" s="5" t="s">
        <v>2996</v>
      </c>
      <c r="C791" s="9">
        <v>42681</v>
      </c>
      <c r="D791" s="5" t="s">
        <v>16</v>
      </c>
      <c r="E791" s="5" t="s">
        <v>2997</v>
      </c>
      <c r="F791" s="6">
        <v>292.5</v>
      </c>
    </row>
    <row r="792" spans="1:6" x14ac:dyDescent="0.15">
      <c r="A792" s="5" t="s">
        <v>43</v>
      </c>
      <c r="B792" s="5" t="s">
        <v>4733</v>
      </c>
      <c r="C792" s="9">
        <v>42681</v>
      </c>
      <c r="D792" s="5" t="s">
        <v>16</v>
      </c>
      <c r="E792" s="5" t="s">
        <v>4734</v>
      </c>
      <c r="F792" s="6">
        <v>145.5</v>
      </c>
    </row>
    <row r="793" spans="1:6" x14ac:dyDescent="0.15">
      <c r="A793" s="5" t="s">
        <v>37</v>
      </c>
      <c r="B793" s="5" t="s">
        <v>6565</v>
      </c>
      <c r="C793" s="9">
        <v>42681</v>
      </c>
      <c r="D793" s="5" t="s">
        <v>16</v>
      </c>
      <c r="E793" s="5" t="s">
        <v>4734</v>
      </c>
      <c r="F793" s="6">
        <v>975</v>
      </c>
    </row>
    <row r="794" spans="1:6" x14ac:dyDescent="0.15">
      <c r="A794" s="5" t="s">
        <v>53</v>
      </c>
      <c r="B794" s="5" t="s">
        <v>8415</v>
      </c>
      <c r="C794" s="9">
        <v>42692</v>
      </c>
      <c r="D794" s="5" t="s">
        <v>16</v>
      </c>
      <c r="E794" s="5" t="s">
        <v>8416</v>
      </c>
      <c r="F794" s="6">
        <v>25350</v>
      </c>
    </row>
    <row r="795" spans="1:6" x14ac:dyDescent="0.15">
      <c r="A795" s="5" t="s">
        <v>37</v>
      </c>
      <c r="B795" s="5" t="s">
        <v>6571</v>
      </c>
      <c r="C795" s="9">
        <v>42682</v>
      </c>
      <c r="D795" s="5" t="s">
        <v>16</v>
      </c>
      <c r="E795" s="5" t="s">
        <v>2999</v>
      </c>
      <c r="F795" s="6">
        <v>6825</v>
      </c>
    </row>
    <row r="796" spans="1:6" x14ac:dyDescent="0.15">
      <c r="A796" s="5" t="s">
        <v>35</v>
      </c>
      <c r="B796" s="5" t="s">
        <v>2998</v>
      </c>
      <c r="C796" s="9">
        <v>42682</v>
      </c>
      <c r="D796" s="5" t="s">
        <v>16</v>
      </c>
      <c r="E796" s="5" t="s">
        <v>2999</v>
      </c>
      <c r="F796" s="6">
        <v>975</v>
      </c>
    </row>
    <row r="797" spans="1:6" x14ac:dyDescent="0.15">
      <c r="A797" s="5" t="s">
        <v>37</v>
      </c>
      <c r="B797" s="5" t="s">
        <v>6572</v>
      </c>
      <c r="C797" s="9">
        <v>42682</v>
      </c>
      <c r="D797" s="5" t="s">
        <v>16</v>
      </c>
      <c r="E797" s="5" t="s">
        <v>6573</v>
      </c>
      <c r="F797" s="6">
        <v>2535</v>
      </c>
    </row>
    <row r="798" spans="1:6" x14ac:dyDescent="0.15">
      <c r="A798" s="5" t="s">
        <v>43</v>
      </c>
      <c r="B798" s="5" t="s">
        <v>4735</v>
      </c>
      <c r="C798" s="9">
        <v>42683</v>
      </c>
      <c r="D798" s="5" t="s">
        <v>16</v>
      </c>
      <c r="E798" s="5" t="s">
        <v>4736</v>
      </c>
      <c r="F798" s="6">
        <v>679</v>
      </c>
    </row>
    <row r="799" spans="1:6" x14ac:dyDescent="0.15">
      <c r="A799" s="5" t="s">
        <v>35</v>
      </c>
      <c r="B799" s="5" t="s">
        <v>3000</v>
      </c>
      <c r="C799" s="9">
        <v>42683</v>
      </c>
      <c r="D799" s="5" t="s">
        <v>16</v>
      </c>
      <c r="E799" s="5" t="s">
        <v>3001</v>
      </c>
      <c r="F799" s="6">
        <v>780</v>
      </c>
    </row>
    <row r="800" spans="1:6" x14ac:dyDescent="0.15">
      <c r="A800" s="5" t="s">
        <v>42</v>
      </c>
      <c r="B800" s="5" t="s">
        <v>5779</v>
      </c>
      <c r="C800" s="9">
        <v>42684</v>
      </c>
      <c r="D800" s="5" t="s">
        <v>16</v>
      </c>
      <c r="E800" s="5" t="s">
        <v>3003</v>
      </c>
      <c r="F800" s="6">
        <v>4500</v>
      </c>
    </row>
    <row r="801" spans="1:6" x14ac:dyDescent="0.15">
      <c r="A801" s="5" t="s">
        <v>35</v>
      </c>
      <c r="B801" s="5" t="s">
        <v>3002</v>
      </c>
      <c r="C801" s="9">
        <v>42684</v>
      </c>
      <c r="D801" s="5" t="s">
        <v>16</v>
      </c>
      <c r="E801" s="5" t="s">
        <v>3003</v>
      </c>
      <c r="F801" s="6">
        <v>5850</v>
      </c>
    </row>
    <row r="802" spans="1:6" x14ac:dyDescent="0.15">
      <c r="A802" s="5" t="s">
        <v>37</v>
      </c>
      <c r="B802" s="5" t="s">
        <v>6574</v>
      </c>
      <c r="C802" s="9">
        <v>42684</v>
      </c>
      <c r="D802" s="5" t="s">
        <v>16</v>
      </c>
      <c r="E802" s="5" t="s">
        <v>3005</v>
      </c>
      <c r="F802" s="6">
        <v>3217.5</v>
      </c>
    </row>
    <row r="803" spans="1:6" x14ac:dyDescent="0.15">
      <c r="A803" s="5" t="s">
        <v>35</v>
      </c>
      <c r="B803" s="5" t="s">
        <v>3004</v>
      </c>
      <c r="C803" s="9">
        <v>42684</v>
      </c>
      <c r="D803" s="5" t="s">
        <v>16</v>
      </c>
      <c r="E803" s="5" t="s">
        <v>3005</v>
      </c>
      <c r="F803" s="6">
        <v>2145</v>
      </c>
    </row>
    <row r="804" spans="1:6" x14ac:dyDescent="0.15">
      <c r="A804" s="5" t="s">
        <v>53</v>
      </c>
      <c r="B804" s="5" t="s">
        <v>8413</v>
      </c>
      <c r="C804" s="9">
        <v>42684</v>
      </c>
      <c r="D804" s="5" t="s">
        <v>16</v>
      </c>
      <c r="E804" s="5" t="s">
        <v>8414</v>
      </c>
      <c r="F804" s="6">
        <v>97.5</v>
      </c>
    </row>
    <row r="805" spans="1:6" x14ac:dyDescent="0.15">
      <c r="A805" s="5" t="s">
        <v>37</v>
      </c>
      <c r="B805" s="5" t="s">
        <v>6575</v>
      </c>
      <c r="C805" s="9">
        <v>42684</v>
      </c>
      <c r="D805" s="5" t="s">
        <v>16</v>
      </c>
      <c r="E805" s="5" t="s">
        <v>6576</v>
      </c>
      <c r="F805" s="6">
        <v>780</v>
      </c>
    </row>
    <row r="806" spans="1:6" x14ac:dyDescent="0.15">
      <c r="A806" s="5" t="s">
        <v>37</v>
      </c>
      <c r="B806" s="5" t="s">
        <v>6577</v>
      </c>
      <c r="C806" s="9">
        <v>42684</v>
      </c>
      <c r="D806" s="5" t="s">
        <v>16</v>
      </c>
      <c r="E806" s="5" t="s">
        <v>6578</v>
      </c>
      <c r="F806" s="6">
        <v>3705</v>
      </c>
    </row>
    <row r="807" spans="1:6" x14ac:dyDescent="0.15">
      <c r="A807" s="5" t="s">
        <v>35</v>
      </c>
      <c r="B807" s="5" t="s">
        <v>3006</v>
      </c>
      <c r="C807" s="9">
        <v>42688</v>
      </c>
      <c r="D807" s="5" t="s">
        <v>16</v>
      </c>
      <c r="E807" s="5" t="s">
        <v>3007</v>
      </c>
      <c r="F807" s="6">
        <v>8580</v>
      </c>
    </row>
    <row r="808" spans="1:6" x14ac:dyDescent="0.15">
      <c r="A808" s="5" t="s">
        <v>37</v>
      </c>
      <c r="B808" s="5" t="s">
        <v>6579</v>
      </c>
      <c r="C808" s="9">
        <v>42688</v>
      </c>
      <c r="D808" s="5" t="s">
        <v>16</v>
      </c>
      <c r="E808" s="5" t="s">
        <v>4738</v>
      </c>
      <c r="F808" s="6">
        <v>3705</v>
      </c>
    </row>
    <row r="809" spans="1:6" x14ac:dyDescent="0.15">
      <c r="A809" s="5" t="s">
        <v>43</v>
      </c>
      <c r="B809" s="5" t="s">
        <v>4737</v>
      </c>
      <c r="C809" s="9">
        <v>42688</v>
      </c>
      <c r="D809" s="5" t="s">
        <v>16</v>
      </c>
      <c r="E809" s="5" t="s">
        <v>4738</v>
      </c>
      <c r="F809" s="6">
        <v>921.5</v>
      </c>
    </row>
    <row r="810" spans="1:6" x14ac:dyDescent="0.15">
      <c r="A810" s="5" t="s">
        <v>37</v>
      </c>
      <c r="B810" s="5" t="s">
        <v>6580</v>
      </c>
      <c r="C810" s="9">
        <v>42688</v>
      </c>
      <c r="D810" s="5" t="s">
        <v>16</v>
      </c>
      <c r="E810" s="5" t="s">
        <v>6581</v>
      </c>
      <c r="F810" s="6">
        <v>6045</v>
      </c>
    </row>
    <row r="811" spans="1:6" x14ac:dyDescent="0.15">
      <c r="A811" s="5" t="s">
        <v>40</v>
      </c>
      <c r="B811" s="5" t="s">
        <v>2361</v>
      </c>
      <c r="C811" s="9">
        <v>42689</v>
      </c>
      <c r="D811" s="5" t="s">
        <v>16</v>
      </c>
      <c r="E811" s="5" t="s">
        <v>2362</v>
      </c>
      <c r="F811" s="6">
        <v>150</v>
      </c>
    </row>
    <row r="812" spans="1:6" x14ac:dyDescent="0.15">
      <c r="A812" s="5" t="s">
        <v>35</v>
      </c>
      <c r="B812" s="5" t="s">
        <v>3008</v>
      </c>
      <c r="C812" s="9">
        <v>42688</v>
      </c>
      <c r="D812" s="5" t="s">
        <v>16</v>
      </c>
      <c r="E812" s="5" t="s">
        <v>3009</v>
      </c>
      <c r="F812" s="6">
        <v>487.5</v>
      </c>
    </row>
    <row r="813" spans="1:6" x14ac:dyDescent="0.15">
      <c r="A813" s="5" t="s">
        <v>35</v>
      </c>
      <c r="B813" s="5" t="s">
        <v>3010</v>
      </c>
      <c r="C813" s="9">
        <v>42690</v>
      </c>
      <c r="D813" s="5" t="s">
        <v>16</v>
      </c>
      <c r="E813" s="5" t="s">
        <v>3011</v>
      </c>
      <c r="F813" s="6">
        <v>19597.5</v>
      </c>
    </row>
    <row r="814" spans="1:6" x14ac:dyDescent="0.15">
      <c r="A814" s="5" t="s">
        <v>37</v>
      </c>
      <c r="B814" s="5" t="s">
        <v>6582</v>
      </c>
      <c r="C814" s="9">
        <v>42689</v>
      </c>
      <c r="D814" s="5" t="s">
        <v>16</v>
      </c>
      <c r="E814" s="5" t="s">
        <v>6583</v>
      </c>
      <c r="F814" s="6">
        <v>487.5</v>
      </c>
    </row>
    <row r="815" spans="1:6" x14ac:dyDescent="0.15">
      <c r="A815" s="5" t="s">
        <v>37</v>
      </c>
      <c r="B815" s="5" t="s">
        <v>6584</v>
      </c>
      <c r="C815" s="9">
        <v>42690</v>
      </c>
      <c r="D815" s="5" t="s">
        <v>16</v>
      </c>
      <c r="E815" s="5" t="s">
        <v>6585</v>
      </c>
      <c r="F815" s="6">
        <v>6825</v>
      </c>
    </row>
    <row r="816" spans="1:6" x14ac:dyDescent="0.15">
      <c r="A816" s="5" t="s">
        <v>37</v>
      </c>
      <c r="B816" s="5" t="s">
        <v>6586</v>
      </c>
      <c r="C816" s="9">
        <v>42690</v>
      </c>
      <c r="D816" s="5" t="s">
        <v>16</v>
      </c>
      <c r="E816" s="5" t="s">
        <v>6587</v>
      </c>
      <c r="F816" s="6">
        <v>2437.5</v>
      </c>
    </row>
    <row r="817" spans="1:6" x14ac:dyDescent="0.15">
      <c r="A817" s="5" t="s">
        <v>43</v>
      </c>
      <c r="B817" s="5" t="s">
        <v>4739</v>
      </c>
      <c r="C817" s="9">
        <v>42690</v>
      </c>
      <c r="D817" s="5" t="s">
        <v>16</v>
      </c>
      <c r="E817" s="5" t="s">
        <v>4740</v>
      </c>
      <c r="F817" s="6">
        <v>921.5</v>
      </c>
    </row>
    <row r="818" spans="1:6" x14ac:dyDescent="0.15">
      <c r="A818" s="5" t="s">
        <v>35</v>
      </c>
      <c r="B818" s="5" t="s">
        <v>3012</v>
      </c>
      <c r="C818" s="9">
        <v>42690</v>
      </c>
      <c r="D818" s="5" t="s">
        <v>16</v>
      </c>
      <c r="E818" s="5" t="s">
        <v>3013</v>
      </c>
      <c r="F818" s="6">
        <v>1950</v>
      </c>
    </row>
    <row r="819" spans="1:6" x14ac:dyDescent="0.15">
      <c r="A819" s="5" t="s">
        <v>43</v>
      </c>
      <c r="B819" s="5" t="s">
        <v>4741</v>
      </c>
      <c r="C819" s="9">
        <v>42692</v>
      </c>
      <c r="D819" s="5" t="s">
        <v>16</v>
      </c>
      <c r="E819" s="5" t="s">
        <v>4742</v>
      </c>
      <c r="F819" s="6">
        <v>3880</v>
      </c>
    </row>
    <row r="820" spans="1:6" x14ac:dyDescent="0.15">
      <c r="A820" s="5" t="s">
        <v>35</v>
      </c>
      <c r="B820" s="5" t="s">
        <v>3014</v>
      </c>
      <c r="C820" s="9">
        <v>42691</v>
      </c>
      <c r="D820" s="5" t="s">
        <v>16</v>
      </c>
      <c r="E820" s="5" t="s">
        <v>3015</v>
      </c>
      <c r="F820" s="6">
        <v>1170</v>
      </c>
    </row>
    <row r="821" spans="1:6" x14ac:dyDescent="0.15">
      <c r="A821" s="5" t="s">
        <v>35</v>
      </c>
      <c r="B821" s="5" t="s">
        <v>3016</v>
      </c>
      <c r="C821" s="9">
        <v>42692</v>
      </c>
      <c r="D821" s="5" t="s">
        <v>16</v>
      </c>
      <c r="E821" s="5" t="s">
        <v>3017</v>
      </c>
      <c r="F821" s="6">
        <v>292.5</v>
      </c>
    </row>
    <row r="822" spans="1:6" x14ac:dyDescent="0.15">
      <c r="A822" s="5" t="s">
        <v>40</v>
      </c>
      <c r="B822" s="5" t="s">
        <v>2363</v>
      </c>
      <c r="C822" s="9">
        <v>42695</v>
      </c>
      <c r="D822" s="5" t="s">
        <v>16</v>
      </c>
      <c r="E822" s="5" t="s">
        <v>2364</v>
      </c>
      <c r="F822" s="6">
        <v>75</v>
      </c>
    </row>
    <row r="823" spans="1:6" x14ac:dyDescent="0.15">
      <c r="A823" s="5" t="s">
        <v>55</v>
      </c>
      <c r="B823" s="5" t="s">
        <v>4485</v>
      </c>
      <c r="C823" s="9">
        <v>42695</v>
      </c>
      <c r="D823" s="5" t="s">
        <v>16</v>
      </c>
      <c r="E823" s="5" t="s">
        <v>2364</v>
      </c>
      <c r="F823" s="6">
        <v>15</v>
      </c>
    </row>
    <row r="824" spans="1:6" x14ac:dyDescent="0.15">
      <c r="A824" s="5" t="s">
        <v>41</v>
      </c>
      <c r="B824" s="5" t="s">
        <v>1831</v>
      </c>
      <c r="C824" s="9">
        <v>42692</v>
      </c>
      <c r="D824" s="5" t="s">
        <v>16</v>
      </c>
      <c r="E824" s="5" t="s">
        <v>1832</v>
      </c>
      <c r="F824" s="6">
        <v>1067</v>
      </c>
    </row>
    <row r="825" spans="1:6" x14ac:dyDescent="0.15">
      <c r="A825" s="5" t="s">
        <v>35</v>
      </c>
      <c r="B825" s="5" t="s">
        <v>3018</v>
      </c>
      <c r="C825" s="9">
        <v>42695</v>
      </c>
      <c r="D825" s="5" t="s">
        <v>16</v>
      </c>
      <c r="E825" s="5" t="s">
        <v>3019</v>
      </c>
      <c r="F825" s="6">
        <v>7215</v>
      </c>
    </row>
    <row r="826" spans="1:6" x14ac:dyDescent="0.15">
      <c r="A826" s="5" t="s">
        <v>35</v>
      </c>
      <c r="B826" s="5" t="s">
        <v>3020</v>
      </c>
      <c r="C826" s="9">
        <v>42695</v>
      </c>
      <c r="D826" s="5" t="s">
        <v>16</v>
      </c>
      <c r="E826" s="5" t="s">
        <v>3021</v>
      </c>
      <c r="F826" s="6">
        <v>2535</v>
      </c>
    </row>
    <row r="827" spans="1:6" x14ac:dyDescent="0.15">
      <c r="A827" s="5" t="s">
        <v>148</v>
      </c>
      <c r="B827" s="5" t="s">
        <v>5628</v>
      </c>
      <c r="C827" s="9">
        <v>42697</v>
      </c>
      <c r="D827" s="5" t="s">
        <v>16</v>
      </c>
      <c r="E827" s="5" t="s">
        <v>5629</v>
      </c>
      <c r="F827" s="6">
        <v>10282</v>
      </c>
    </row>
    <row r="828" spans="1:6" x14ac:dyDescent="0.15">
      <c r="A828" s="5" t="s">
        <v>8535</v>
      </c>
      <c r="B828" s="5" t="s">
        <v>8551</v>
      </c>
      <c r="C828" s="9">
        <v>42697</v>
      </c>
      <c r="D828" s="5" t="s">
        <v>16</v>
      </c>
      <c r="E828" s="5" t="s">
        <v>5629</v>
      </c>
      <c r="F828" s="6">
        <v>7878</v>
      </c>
    </row>
    <row r="829" spans="1:6" x14ac:dyDescent="0.15">
      <c r="A829" s="5" t="s">
        <v>35</v>
      </c>
      <c r="B829" s="5" t="s">
        <v>3022</v>
      </c>
      <c r="C829" s="9">
        <v>42696</v>
      </c>
      <c r="D829" s="5" t="s">
        <v>16</v>
      </c>
      <c r="E829" s="5" t="s">
        <v>3023</v>
      </c>
      <c r="F829" s="6">
        <v>4777.5</v>
      </c>
    </row>
    <row r="830" spans="1:6" x14ac:dyDescent="0.15">
      <c r="A830" s="5" t="s">
        <v>35</v>
      </c>
      <c r="B830" s="5" t="s">
        <v>3024</v>
      </c>
      <c r="C830" s="9">
        <v>42698</v>
      </c>
      <c r="D830" s="5" t="s">
        <v>16</v>
      </c>
      <c r="E830" s="5" t="s">
        <v>3025</v>
      </c>
      <c r="F830" s="6">
        <v>4192.5</v>
      </c>
    </row>
    <row r="831" spans="1:6" x14ac:dyDescent="0.15">
      <c r="A831" s="5" t="s">
        <v>35</v>
      </c>
      <c r="B831" s="5" t="s">
        <v>3026</v>
      </c>
      <c r="C831" s="9">
        <v>42698</v>
      </c>
      <c r="D831" s="5" t="s">
        <v>16</v>
      </c>
      <c r="E831" s="5" t="s">
        <v>3025</v>
      </c>
      <c r="F831" s="6">
        <v>1852.5</v>
      </c>
    </row>
    <row r="832" spans="1:6" x14ac:dyDescent="0.15">
      <c r="A832" s="5" t="s">
        <v>37</v>
      </c>
      <c r="B832" s="5" t="s">
        <v>6588</v>
      </c>
      <c r="C832" s="9">
        <v>42698</v>
      </c>
      <c r="D832" s="5" t="s">
        <v>16</v>
      </c>
      <c r="E832" s="5" t="s">
        <v>3025</v>
      </c>
      <c r="F832" s="6">
        <v>5752.5</v>
      </c>
    </row>
    <row r="833" spans="1:6" x14ac:dyDescent="0.15">
      <c r="A833" s="5" t="s">
        <v>37</v>
      </c>
      <c r="B833" s="5" t="s">
        <v>6589</v>
      </c>
      <c r="C833" s="9">
        <v>42698</v>
      </c>
      <c r="D833" s="5" t="s">
        <v>16</v>
      </c>
      <c r="E833" s="5" t="s">
        <v>3025</v>
      </c>
      <c r="F833" s="6">
        <v>292.5</v>
      </c>
    </row>
    <row r="834" spans="1:6" x14ac:dyDescent="0.15">
      <c r="A834" s="5" t="s">
        <v>35</v>
      </c>
      <c r="B834" s="5" t="s">
        <v>3027</v>
      </c>
      <c r="C834" s="9">
        <v>42698</v>
      </c>
      <c r="D834" s="5" t="s">
        <v>16</v>
      </c>
      <c r="E834" s="5" t="s">
        <v>3028</v>
      </c>
      <c r="F834" s="6">
        <v>2437.5</v>
      </c>
    </row>
    <row r="835" spans="1:6" x14ac:dyDescent="0.15">
      <c r="A835" s="5" t="s">
        <v>35</v>
      </c>
      <c r="B835" s="5" t="s">
        <v>3029</v>
      </c>
      <c r="C835" s="9">
        <v>42698</v>
      </c>
      <c r="D835" s="5" t="s">
        <v>16</v>
      </c>
      <c r="E835" s="5" t="s">
        <v>3030</v>
      </c>
      <c r="F835" s="6">
        <v>14430</v>
      </c>
    </row>
    <row r="836" spans="1:6" x14ac:dyDescent="0.15">
      <c r="A836" s="5" t="s">
        <v>41</v>
      </c>
      <c r="B836" s="5" t="s">
        <v>1833</v>
      </c>
      <c r="C836" s="9">
        <v>42698</v>
      </c>
      <c r="D836" s="5" t="s">
        <v>16</v>
      </c>
      <c r="E836" s="5" t="s">
        <v>1834</v>
      </c>
      <c r="F836" s="6">
        <v>145.5</v>
      </c>
    </row>
    <row r="837" spans="1:6" x14ac:dyDescent="0.15">
      <c r="A837" s="5" t="s">
        <v>37</v>
      </c>
      <c r="B837" s="5" t="s">
        <v>6590</v>
      </c>
      <c r="C837" s="9">
        <v>42703</v>
      </c>
      <c r="D837" s="5" t="s">
        <v>16</v>
      </c>
      <c r="E837" s="5" t="s">
        <v>3032</v>
      </c>
      <c r="F837" s="6">
        <v>8775</v>
      </c>
    </row>
    <row r="838" spans="1:6" x14ac:dyDescent="0.15">
      <c r="A838" s="5" t="s">
        <v>35</v>
      </c>
      <c r="B838" s="5" t="s">
        <v>3031</v>
      </c>
      <c r="C838" s="9">
        <v>42703</v>
      </c>
      <c r="D838" s="5" t="s">
        <v>16</v>
      </c>
      <c r="E838" s="5" t="s">
        <v>3032</v>
      </c>
      <c r="F838" s="6">
        <v>1267.5</v>
      </c>
    </row>
    <row r="839" spans="1:6" x14ac:dyDescent="0.15">
      <c r="A839" s="5" t="s">
        <v>37</v>
      </c>
      <c r="B839" s="5" t="s">
        <v>6591</v>
      </c>
      <c r="C839" s="9">
        <v>42705</v>
      </c>
      <c r="D839" s="5" t="s">
        <v>16</v>
      </c>
      <c r="E839" s="5" t="s">
        <v>6592</v>
      </c>
      <c r="F839" s="6">
        <v>27787.5</v>
      </c>
    </row>
    <row r="840" spans="1:6" x14ac:dyDescent="0.15">
      <c r="A840" s="5" t="s">
        <v>43</v>
      </c>
      <c r="B840" s="5" t="s">
        <v>4743</v>
      </c>
      <c r="C840" s="9">
        <v>42705</v>
      </c>
      <c r="D840" s="5" t="s">
        <v>16</v>
      </c>
      <c r="E840" s="5" t="s">
        <v>3034</v>
      </c>
      <c r="F840" s="6">
        <v>970</v>
      </c>
    </row>
    <row r="841" spans="1:6" x14ac:dyDescent="0.15">
      <c r="A841" s="5" t="s">
        <v>35</v>
      </c>
      <c r="B841" s="5" t="s">
        <v>3033</v>
      </c>
      <c r="C841" s="9">
        <v>42705</v>
      </c>
      <c r="D841" s="5" t="s">
        <v>16</v>
      </c>
      <c r="E841" s="5" t="s">
        <v>3034</v>
      </c>
      <c r="F841" s="6">
        <v>3412.5</v>
      </c>
    </row>
    <row r="842" spans="1:6" x14ac:dyDescent="0.15">
      <c r="A842" s="5" t="s">
        <v>37</v>
      </c>
      <c r="B842" s="5" t="s">
        <v>6593</v>
      </c>
      <c r="C842" s="9">
        <v>42706</v>
      </c>
      <c r="D842" s="5" t="s">
        <v>16</v>
      </c>
      <c r="E842" s="5" t="s">
        <v>6594</v>
      </c>
      <c r="F842" s="6">
        <v>2535</v>
      </c>
    </row>
    <row r="843" spans="1:6" x14ac:dyDescent="0.15">
      <c r="A843" s="5" t="s">
        <v>35</v>
      </c>
      <c r="B843" s="5" t="s">
        <v>3035</v>
      </c>
      <c r="C843" s="9">
        <v>42706</v>
      </c>
      <c r="D843" s="5" t="s">
        <v>16</v>
      </c>
      <c r="E843" s="5" t="s">
        <v>3036</v>
      </c>
      <c r="F843" s="6">
        <v>19695</v>
      </c>
    </row>
    <row r="844" spans="1:6" x14ac:dyDescent="0.15">
      <c r="A844" s="5" t="s">
        <v>42</v>
      </c>
      <c r="B844" s="5" t="s">
        <v>5780</v>
      </c>
      <c r="C844" s="9">
        <v>42706</v>
      </c>
      <c r="D844" s="5" t="s">
        <v>16</v>
      </c>
      <c r="E844" s="5" t="s">
        <v>5781</v>
      </c>
      <c r="F844" s="6">
        <v>7200</v>
      </c>
    </row>
    <row r="845" spans="1:6" x14ac:dyDescent="0.15">
      <c r="A845" s="5" t="s">
        <v>37</v>
      </c>
      <c r="B845" s="5" t="s">
        <v>6595</v>
      </c>
      <c r="C845" s="9">
        <v>42706</v>
      </c>
      <c r="D845" s="5" t="s">
        <v>16</v>
      </c>
      <c r="E845" s="5" t="s">
        <v>5781</v>
      </c>
      <c r="F845" s="6">
        <v>9360</v>
      </c>
    </row>
    <row r="846" spans="1:6" x14ac:dyDescent="0.15">
      <c r="A846" s="5" t="s">
        <v>40</v>
      </c>
      <c r="B846" s="5" t="s">
        <v>2365</v>
      </c>
      <c r="C846" s="9">
        <v>42706</v>
      </c>
      <c r="D846" s="5" t="s">
        <v>16</v>
      </c>
      <c r="E846" s="5" t="s">
        <v>2366</v>
      </c>
      <c r="F846" s="6">
        <v>900</v>
      </c>
    </row>
    <row r="847" spans="1:6" x14ac:dyDescent="0.15">
      <c r="A847" s="5" t="s">
        <v>35</v>
      </c>
      <c r="B847" s="5" t="s">
        <v>3037</v>
      </c>
      <c r="C847" s="9">
        <v>42706</v>
      </c>
      <c r="D847" s="5" t="s">
        <v>16</v>
      </c>
      <c r="E847" s="5" t="s">
        <v>2366</v>
      </c>
      <c r="F847" s="6">
        <v>3900</v>
      </c>
    </row>
    <row r="848" spans="1:6" x14ac:dyDescent="0.15">
      <c r="A848" s="5" t="s">
        <v>35</v>
      </c>
      <c r="B848" s="5" t="s">
        <v>3038</v>
      </c>
      <c r="C848" s="9">
        <v>42706</v>
      </c>
      <c r="D848" s="5" t="s">
        <v>16</v>
      </c>
      <c r="E848" s="5" t="s">
        <v>3039</v>
      </c>
      <c r="F848" s="6">
        <v>97.5</v>
      </c>
    </row>
    <row r="849" spans="1:6" x14ac:dyDescent="0.15">
      <c r="A849" s="5" t="s">
        <v>40</v>
      </c>
      <c r="B849" s="5" t="s">
        <v>2367</v>
      </c>
      <c r="C849" s="9">
        <v>42706</v>
      </c>
      <c r="D849" s="5" t="s">
        <v>16</v>
      </c>
      <c r="E849" s="5" t="s">
        <v>2368</v>
      </c>
      <c r="F849" s="6">
        <v>75</v>
      </c>
    </row>
    <row r="850" spans="1:6" x14ac:dyDescent="0.15">
      <c r="A850" s="5" t="s">
        <v>43</v>
      </c>
      <c r="B850" s="5" t="s">
        <v>4744</v>
      </c>
      <c r="C850" s="9">
        <v>42709</v>
      </c>
      <c r="D850" s="5" t="s">
        <v>16</v>
      </c>
      <c r="E850" s="5" t="s">
        <v>4745</v>
      </c>
      <c r="F850" s="6">
        <v>194</v>
      </c>
    </row>
    <row r="851" spans="1:6" x14ac:dyDescent="0.15">
      <c r="A851" s="5" t="s">
        <v>37</v>
      </c>
      <c r="B851" s="5" t="s">
        <v>6596</v>
      </c>
      <c r="C851" s="9">
        <v>42709</v>
      </c>
      <c r="D851" s="5" t="s">
        <v>16</v>
      </c>
      <c r="E851" s="5" t="s">
        <v>4745</v>
      </c>
      <c r="F851" s="6">
        <v>2827.5</v>
      </c>
    </row>
    <row r="852" spans="1:6" x14ac:dyDescent="0.15">
      <c r="A852" s="5" t="s">
        <v>35</v>
      </c>
      <c r="B852" s="5" t="s">
        <v>3040</v>
      </c>
      <c r="C852" s="9">
        <v>42706</v>
      </c>
      <c r="D852" s="5" t="s">
        <v>16</v>
      </c>
      <c r="E852" s="5" t="s">
        <v>1836</v>
      </c>
      <c r="F852" s="6">
        <v>195</v>
      </c>
    </row>
    <row r="853" spans="1:6" x14ac:dyDescent="0.15">
      <c r="A853" s="5" t="s">
        <v>41</v>
      </c>
      <c r="B853" s="5" t="s">
        <v>1835</v>
      </c>
      <c r="C853" s="9">
        <v>42706</v>
      </c>
      <c r="D853" s="5" t="s">
        <v>16</v>
      </c>
      <c r="E853" s="5" t="s">
        <v>1836</v>
      </c>
      <c r="F853" s="6">
        <v>388</v>
      </c>
    </row>
    <row r="854" spans="1:6" x14ac:dyDescent="0.15">
      <c r="A854" s="5" t="s">
        <v>43</v>
      </c>
      <c r="B854" s="5" t="s">
        <v>4746</v>
      </c>
      <c r="C854" s="9">
        <v>42709</v>
      </c>
      <c r="D854" s="5" t="s">
        <v>16</v>
      </c>
      <c r="E854" s="5" t="s">
        <v>4747</v>
      </c>
      <c r="F854" s="6">
        <v>339.5</v>
      </c>
    </row>
    <row r="855" spans="1:6" x14ac:dyDescent="0.15">
      <c r="A855" s="5" t="s">
        <v>37</v>
      </c>
      <c r="B855" s="5" t="s">
        <v>6597</v>
      </c>
      <c r="C855" s="9">
        <v>42709</v>
      </c>
      <c r="D855" s="5" t="s">
        <v>16</v>
      </c>
      <c r="E855" s="5" t="s">
        <v>4747</v>
      </c>
      <c r="F855" s="6">
        <v>97.5</v>
      </c>
    </row>
    <row r="856" spans="1:6" x14ac:dyDescent="0.15">
      <c r="A856" s="5" t="s">
        <v>37</v>
      </c>
      <c r="B856" s="5" t="s">
        <v>6598</v>
      </c>
      <c r="C856" s="9">
        <v>42709</v>
      </c>
      <c r="D856" s="5" t="s">
        <v>16</v>
      </c>
      <c r="E856" s="5" t="s">
        <v>6599</v>
      </c>
      <c r="F856" s="6">
        <v>292.5</v>
      </c>
    </row>
    <row r="857" spans="1:6" x14ac:dyDescent="0.15">
      <c r="A857" s="5" t="s">
        <v>37</v>
      </c>
      <c r="B857" s="5" t="s">
        <v>6600</v>
      </c>
      <c r="C857" s="9">
        <v>42709</v>
      </c>
      <c r="D857" s="5" t="s">
        <v>16</v>
      </c>
      <c r="E857" s="5" t="s">
        <v>6601</v>
      </c>
      <c r="F857" s="6">
        <v>8190</v>
      </c>
    </row>
    <row r="858" spans="1:6" x14ac:dyDescent="0.15">
      <c r="A858" s="5" t="s">
        <v>49</v>
      </c>
      <c r="B858" s="5" t="s">
        <v>8644</v>
      </c>
      <c r="C858" s="9">
        <v>42709</v>
      </c>
      <c r="D858" s="5" t="s">
        <v>16</v>
      </c>
      <c r="E858" s="5" t="s">
        <v>6601</v>
      </c>
      <c r="F858" s="6">
        <v>1000</v>
      </c>
    </row>
    <row r="859" spans="1:6" x14ac:dyDescent="0.15">
      <c r="A859" s="5" t="s">
        <v>37</v>
      </c>
      <c r="B859" s="5" t="s">
        <v>6602</v>
      </c>
      <c r="C859" s="9">
        <v>42711</v>
      </c>
      <c r="D859" s="5" t="s">
        <v>16</v>
      </c>
      <c r="E859" s="5" t="s">
        <v>6603</v>
      </c>
      <c r="F859" s="6">
        <v>1170</v>
      </c>
    </row>
    <row r="860" spans="1:6" x14ac:dyDescent="0.15">
      <c r="A860" s="5" t="s">
        <v>41</v>
      </c>
      <c r="B860" s="5" t="s">
        <v>1837</v>
      </c>
      <c r="C860" s="9">
        <v>42710</v>
      </c>
      <c r="D860" s="5" t="s">
        <v>16</v>
      </c>
      <c r="E860" s="5" t="s">
        <v>1838</v>
      </c>
      <c r="F860" s="6">
        <v>679</v>
      </c>
    </row>
    <row r="861" spans="1:6" x14ac:dyDescent="0.15">
      <c r="A861" s="5" t="s">
        <v>35</v>
      </c>
      <c r="B861" s="5" t="s">
        <v>3041</v>
      </c>
      <c r="C861" s="9">
        <v>42710</v>
      </c>
      <c r="D861" s="5" t="s">
        <v>16</v>
      </c>
      <c r="E861" s="5" t="s">
        <v>1838</v>
      </c>
      <c r="F861" s="6">
        <v>1365</v>
      </c>
    </row>
    <row r="862" spans="1:6" x14ac:dyDescent="0.15">
      <c r="A862" s="5" t="s">
        <v>63</v>
      </c>
      <c r="B862" s="5" t="s">
        <v>2259</v>
      </c>
      <c r="C862" s="9">
        <v>42709</v>
      </c>
      <c r="D862" s="5" t="s">
        <v>16</v>
      </c>
      <c r="E862" s="5" t="s">
        <v>2260</v>
      </c>
      <c r="F862" s="6">
        <v>97</v>
      </c>
    </row>
    <row r="863" spans="1:6" x14ac:dyDescent="0.15">
      <c r="A863" s="5" t="s">
        <v>40</v>
      </c>
      <c r="B863" s="5" t="s">
        <v>2369</v>
      </c>
      <c r="C863" s="9">
        <v>42712</v>
      </c>
      <c r="D863" s="5" t="s">
        <v>16</v>
      </c>
      <c r="E863" s="5" t="s">
        <v>2370</v>
      </c>
      <c r="F863" s="6">
        <v>2025</v>
      </c>
    </row>
    <row r="864" spans="1:6" x14ac:dyDescent="0.15">
      <c r="A864" s="5" t="s">
        <v>41</v>
      </c>
      <c r="B864" s="5" t="s">
        <v>1839</v>
      </c>
      <c r="C864" s="9">
        <v>42713</v>
      </c>
      <c r="D864" s="5" t="s">
        <v>16</v>
      </c>
      <c r="E864" s="5" t="s">
        <v>1840</v>
      </c>
      <c r="F864" s="6">
        <v>97</v>
      </c>
    </row>
    <row r="865" spans="1:6" x14ac:dyDescent="0.15">
      <c r="A865" s="5" t="s">
        <v>35</v>
      </c>
      <c r="B865" s="5" t="s">
        <v>3042</v>
      </c>
      <c r="C865" s="9">
        <v>42713</v>
      </c>
      <c r="D865" s="5" t="s">
        <v>16</v>
      </c>
      <c r="E865" s="5" t="s">
        <v>1840</v>
      </c>
      <c r="F865" s="6">
        <v>195</v>
      </c>
    </row>
    <row r="866" spans="1:6" x14ac:dyDescent="0.15">
      <c r="A866" s="5" t="s">
        <v>37</v>
      </c>
      <c r="B866" s="5" t="s">
        <v>6604</v>
      </c>
      <c r="C866" s="9">
        <v>42713</v>
      </c>
      <c r="D866" s="5" t="s">
        <v>16</v>
      </c>
      <c r="E866" s="5" t="s">
        <v>6605</v>
      </c>
      <c r="F866" s="6">
        <v>27787.5</v>
      </c>
    </row>
    <row r="867" spans="1:6" x14ac:dyDescent="0.15">
      <c r="A867" s="5" t="s">
        <v>35</v>
      </c>
      <c r="B867" s="5" t="s">
        <v>3043</v>
      </c>
      <c r="C867" s="9">
        <v>42716</v>
      </c>
      <c r="D867" s="5" t="s">
        <v>16</v>
      </c>
      <c r="E867" s="5" t="s">
        <v>3044</v>
      </c>
      <c r="F867" s="6">
        <v>-7215</v>
      </c>
    </row>
    <row r="868" spans="1:6" x14ac:dyDescent="0.15">
      <c r="A868" s="5" t="s">
        <v>43</v>
      </c>
      <c r="B868" s="5" t="s">
        <v>4748</v>
      </c>
      <c r="C868" s="9">
        <v>42716</v>
      </c>
      <c r="D868" s="5" t="s">
        <v>16</v>
      </c>
      <c r="E868" s="5" t="s">
        <v>4749</v>
      </c>
      <c r="F868" s="6">
        <v>970</v>
      </c>
    </row>
    <row r="869" spans="1:6" x14ac:dyDescent="0.15">
      <c r="A869" s="5" t="s">
        <v>37</v>
      </c>
      <c r="B869" s="5" t="s">
        <v>6606</v>
      </c>
      <c r="C869" s="9">
        <v>42716</v>
      </c>
      <c r="D869" s="5" t="s">
        <v>16</v>
      </c>
      <c r="E869" s="5" t="s">
        <v>6607</v>
      </c>
      <c r="F869" s="6">
        <v>1560</v>
      </c>
    </row>
    <row r="870" spans="1:6" x14ac:dyDescent="0.15">
      <c r="A870" s="5" t="s">
        <v>43</v>
      </c>
      <c r="B870" s="5" t="s">
        <v>4750</v>
      </c>
      <c r="C870" s="9">
        <v>42716</v>
      </c>
      <c r="D870" s="5" t="s">
        <v>16</v>
      </c>
      <c r="E870" s="5" t="s">
        <v>4751</v>
      </c>
      <c r="F870" s="6">
        <v>679</v>
      </c>
    </row>
    <row r="871" spans="1:6" x14ac:dyDescent="0.15">
      <c r="A871" s="5" t="s">
        <v>43</v>
      </c>
      <c r="B871" s="5" t="s">
        <v>4752</v>
      </c>
      <c r="C871" s="9">
        <v>42716</v>
      </c>
      <c r="D871" s="5" t="s">
        <v>16</v>
      </c>
      <c r="E871" s="5" t="s">
        <v>4753</v>
      </c>
      <c r="F871" s="6">
        <v>436.5</v>
      </c>
    </row>
    <row r="872" spans="1:6" x14ac:dyDescent="0.15">
      <c r="A872" s="5" t="s">
        <v>43</v>
      </c>
      <c r="B872" s="5" t="s">
        <v>4754</v>
      </c>
      <c r="C872" s="9">
        <v>42718</v>
      </c>
      <c r="D872" s="5" t="s">
        <v>16</v>
      </c>
      <c r="E872" s="5" t="s">
        <v>4755</v>
      </c>
      <c r="F872" s="6">
        <v>1164</v>
      </c>
    </row>
    <row r="873" spans="1:6" x14ac:dyDescent="0.15">
      <c r="A873" s="5" t="s">
        <v>37</v>
      </c>
      <c r="B873" s="5" t="s">
        <v>6608</v>
      </c>
      <c r="C873" s="9">
        <v>42718</v>
      </c>
      <c r="D873" s="5" t="s">
        <v>16</v>
      </c>
      <c r="E873" s="5" t="s">
        <v>4755</v>
      </c>
      <c r="F873" s="6">
        <v>4192.5</v>
      </c>
    </row>
    <row r="874" spans="1:6" x14ac:dyDescent="0.15">
      <c r="A874" s="5" t="s">
        <v>43</v>
      </c>
      <c r="B874" s="5" t="s">
        <v>4756</v>
      </c>
      <c r="C874" s="9">
        <v>42719</v>
      </c>
      <c r="D874" s="5" t="s">
        <v>16</v>
      </c>
      <c r="E874" s="5" t="s">
        <v>4757</v>
      </c>
      <c r="F874" s="6">
        <v>485</v>
      </c>
    </row>
    <row r="875" spans="1:6" x14ac:dyDescent="0.15">
      <c r="A875" s="5" t="s">
        <v>37</v>
      </c>
      <c r="B875" s="5" t="s">
        <v>6609</v>
      </c>
      <c r="C875" s="9">
        <v>42719</v>
      </c>
      <c r="D875" s="5" t="s">
        <v>16</v>
      </c>
      <c r="E875" s="5" t="s">
        <v>6610</v>
      </c>
      <c r="F875" s="6">
        <v>2827.5</v>
      </c>
    </row>
    <row r="876" spans="1:6" x14ac:dyDescent="0.15">
      <c r="A876" s="5" t="s">
        <v>40</v>
      </c>
      <c r="B876" s="5" t="s">
        <v>2371</v>
      </c>
      <c r="C876" s="9">
        <v>42723</v>
      </c>
      <c r="D876" s="5" t="s">
        <v>16</v>
      </c>
      <c r="E876" s="5" t="s">
        <v>2372</v>
      </c>
      <c r="F876" s="6">
        <v>525</v>
      </c>
    </row>
    <row r="877" spans="1:6" x14ac:dyDescent="0.15">
      <c r="A877" s="5" t="s">
        <v>53</v>
      </c>
      <c r="B877" s="5" t="s">
        <v>8417</v>
      </c>
      <c r="C877" s="9">
        <v>42738</v>
      </c>
      <c r="D877" s="5" t="s">
        <v>16</v>
      </c>
      <c r="E877" s="5" t="s">
        <v>3046</v>
      </c>
      <c r="F877" s="6">
        <v>7800</v>
      </c>
    </row>
    <row r="878" spans="1:6" x14ac:dyDescent="0.15">
      <c r="A878" s="5" t="s">
        <v>35</v>
      </c>
      <c r="B878" s="5" t="s">
        <v>3045</v>
      </c>
      <c r="C878" s="9">
        <v>42738</v>
      </c>
      <c r="D878" s="5" t="s">
        <v>16</v>
      </c>
      <c r="E878" s="5" t="s">
        <v>3046</v>
      </c>
      <c r="F878" s="6">
        <v>18427.5</v>
      </c>
    </row>
    <row r="879" spans="1:6" x14ac:dyDescent="0.15">
      <c r="A879" s="5" t="s">
        <v>37</v>
      </c>
      <c r="B879" s="5" t="s">
        <v>6611</v>
      </c>
      <c r="C879" s="9">
        <v>42744</v>
      </c>
      <c r="D879" s="5" t="s">
        <v>16</v>
      </c>
      <c r="E879" s="5" t="s">
        <v>6612</v>
      </c>
      <c r="F879" s="6">
        <v>93600</v>
      </c>
    </row>
    <row r="880" spans="1:6" x14ac:dyDescent="0.15">
      <c r="A880" s="5" t="s">
        <v>53</v>
      </c>
      <c r="B880" s="5" t="s">
        <v>8420</v>
      </c>
      <c r="C880" s="9">
        <v>42758</v>
      </c>
      <c r="D880" s="5" t="s">
        <v>16</v>
      </c>
      <c r="E880" s="5" t="s">
        <v>8421</v>
      </c>
      <c r="F880" s="6">
        <v>10237.5</v>
      </c>
    </row>
    <row r="881" spans="1:6" x14ac:dyDescent="0.15">
      <c r="A881" s="5" t="s">
        <v>53</v>
      </c>
      <c r="B881" s="5" t="s">
        <v>8418</v>
      </c>
      <c r="C881" s="9">
        <v>42751</v>
      </c>
      <c r="D881" s="5" t="s">
        <v>16</v>
      </c>
      <c r="E881" s="5" t="s">
        <v>6112</v>
      </c>
      <c r="F881" s="6">
        <v>8970</v>
      </c>
    </row>
    <row r="882" spans="1:6" x14ac:dyDescent="0.15">
      <c r="A882" s="5" t="s">
        <v>64</v>
      </c>
      <c r="B882" s="5" t="s">
        <v>6111</v>
      </c>
      <c r="C882" s="9">
        <v>42751</v>
      </c>
      <c r="D882" s="5" t="s">
        <v>16</v>
      </c>
      <c r="E882" s="5" t="s">
        <v>6112</v>
      </c>
      <c r="F882" s="6">
        <v>15525</v>
      </c>
    </row>
    <row r="883" spans="1:6" x14ac:dyDescent="0.15">
      <c r="A883" s="5" t="s">
        <v>51</v>
      </c>
      <c r="B883" s="5" t="s">
        <v>4202</v>
      </c>
      <c r="C883" s="9">
        <v>42758</v>
      </c>
      <c r="D883" s="5" t="s">
        <v>16</v>
      </c>
      <c r="E883" s="5" t="s">
        <v>4203</v>
      </c>
      <c r="F883" s="6">
        <v>7800</v>
      </c>
    </row>
    <row r="884" spans="1:6" x14ac:dyDescent="0.15">
      <c r="A884" s="5" t="s">
        <v>57</v>
      </c>
      <c r="B884" s="5" t="s">
        <v>5575</v>
      </c>
      <c r="C884" s="9">
        <v>42758</v>
      </c>
      <c r="D884" s="5" t="s">
        <v>16</v>
      </c>
      <c r="E884" s="5" t="s">
        <v>4203</v>
      </c>
      <c r="F884" s="6">
        <v>5820</v>
      </c>
    </row>
    <row r="885" spans="1:6" x14ac:dyDescent="0.15">
      <c r="A885" s="5" t="s">
        <v>53</v>
      </c>
      <c r="B885" s="5" t="s">
        <v>8422</v>
      </c>
      <c r="C885" s="9">
        <v>42758</v>
      </c>
      <c r="D885" s="5" t="s">
        <v>16</v>
      </c>
      <c r="E885" s="5" t="s">
        <v>4203</v>
      </c>
      <c r="F885" s="6">
        <v>1950</v>
      </c>
    </row>
    <row r="886" spans="1:6" x14ac:dyDescent="0.15">
      <c r="A886" s="5" t="s">
        <v>44</v>
      </c>
      <c r="B886" s="5" t="s">
        <v>4331</v>
      </c>
      <c r="C886" s="9">
        <v>42758</v>
      </c>
      <c r="D886" s="5" t="s">
        <v>16</v>
      </c>
      <c r="E886" s="5" t="s">
        <v>4203</v>
      </c>
      <c r="F886" s="6">
        <v>9750</v>
      </c>
    </row>
    <row r="887" spans="1:6" x14ac:dyDescent="0.15">
      <c r="A887" s="5" t="s">
        <v>37</v>
      </c>
      <c r="B887" s="5" t="s">
        <v>6613</v>
      </c>
      <c r="C887" s="9">
        <v>42745</v>
      </c>
      <c r="D887" s="5" t="s">
        <v>16</v>
      </c>
      <c r="E887" s="5" t="s">
        <v>6614</v>
      </c>
      <c r="F887" s="6">
        <v>25350</v>
      </c>
    </row>
    <row r="888" spans="1:6" x14ac:dyDescent="0.15">
      <c r="A888" s="5" t="s">
        <v>49</v>
      </c>
      <c r="B888" s="5" t="s">
        <v>8645</v>
      </c>
      <c r="C888" s="9">
        <v>42760</v>
      </c>
      <c r="D888" s="5" t="s">
        <v>16</v>
      </c>
      <c r="E888" s="5" t="s">
        <v>8646</v>
      </c>
      <c r="F888" s="6">
        <v>95</v>
      </c>
    </row>
    <row r="889" spans="1:6" x14ac:dyDescent="0.15">
      <c r="A889" s="5" t="s">
        <v>35</v>
      </c>
      <c r="B889" s="5" t="s">
        <v>3047</v>
      </c>
      <c r="C889" s="9">
        <v>42745</v>
      </c>
      <c r="D889" s="5" t="s">
        <v>16</v>
      </c>
      <c r="E889" s="5" t="s">
        <v>3048</v>
      </c>
      <c r="F889" s="6">
        <v>25350</v>
      </c>
    </row>
    <row r="890" spans="1:6" x14ac:dyDescent="0.15">
      <c r="A890" s="5" t="s">
        <v>53</v>
      </c>
      <c r="B890" s="5" t="s">
        <v>8419</v>
      </c>
      <c r="C890" s="9">
        <v>42752</v>
      </c>
      <c r="D890" s="5" t="s">
        <v>16</v>
      </c>
      <c r="E890" s="5" t="s">
        <v>4200</v>
      </c>
      <c r="F890" s="6">
        <v>13650</v>
      </c>
    </row>
    <row r="891" spans="1:6" x14ac:dyDescent="0.15">
      <c r="A891" s="5" t="s">
        <v>64</v>
      </c>
      <c r="B891" s="5" t="s">
        <v>6113</v>
      </c>
      <c r="C891" s="9">
        <v>42752</v>
      </c>
      <c r="D891" s="5" t="s">
        <v>16</v>
      </c>
      <c r="E891" s="5" t="s">
        <v>4200</v>
      </c>
      <c r="F891" s="6">
        <v>6000</v>
      </c>
    </row>
    <row r="892" spans="1:6" x14ac:dyDescent="0.15">
      <c r="A892" s="5" t="s">
        <v>51</v>
      </c>
      <c r="B892" s="5" t="s">
        <v>4199</v>
      </c>
      <c r="C892" s="9">
        <v>42752</v>
      </c>
      <c r="D892" s="5" t="s">
        <v>16</v>
      </c>
      <c r="E892" s="5" t="s">
        <v>4200</v>
      </c>
      <c r="F892" s="6">
        <v>3900</v>
      </c>
    </row>
    <row r="893" spans="1:6" x14ac:dyDescent="0.15">
      <c r="A893" s="5" t="s">
        <v>51</v>
      </c>
      <c r="B893" s="5" t="s">
        <v>4201</v>
      </c>
      <c r="C893" s="9">
        <v>42755</v>
      </c>
      <c r="D893" s="5" t="s">
        <v>16</v>
      </c>
      <c r="E893" s="5" t="s">
        <v>2651</v>
      </c>
      <c r="F893" s="6">
        <v>5850</v>
      </c>
    </row>
    <row r="894" spans="1:6" x14ac:dyDescent="0.15">
      <c r="A894" s="5" t="s">
        <v>57</v>
      </c>
      <c r="B894" s="5" t="s">
        <v>5574</v>
      </c>
      <c r="C894" s="9">
        <v>42755</v>
      </c>
      <c r="D894" s="5" t="s">
        <v>16</v>
      </c>
      <c r="E894" s="5" t="s">
        <v>2651</v>
      </c>
      <c r="F894" s="6">
        <v>7760</v>
      </c>
    </row>
    <row r="895" spans="1:6" x14ac:dyDescent="0.15">
      <c r="A895" s="5" t="s">
        <v>174</v>
      </c>
      <c r="B895" s="5" t="s">
        <v>2650</v>
      </c>
      <c r="C895" s="9">
        <v>42755</v>
      </c>
      <c r="D895" s="5" t="s">
        <v>16</v>
      </c>
      <c r="E895" s="5" t="s">
        <v>2651</v>
      </c>
      <c r="F895" s="6">
        <v>9000</v>
      </c>
    </row>
    <row r="896" spans="1:6" x14ac:dyDescent="0.15">
      <c r="A896" s="5" t="s">
        <v>53</v>
      </c>
      <c r="B896" s="5" t="s">
        <v>8423</v>
      </c>
      <c r="C896" s="9">
        <v>42765</v>
      </c>
      <c r="D896" s="5" t="s">
        <v>16</v>
      </c>
      <c r="E896" s="5" t="s">
        <v>2262</v>
      </c>
      <c r="F896" s="6">
        <v>9750</v>
      </c>
    </row>
    <row r="897" spans="1:6" x14ac:dyDescent="0.15">
      <c r="A897" s="5" t="s">
        <v>51</v>
      </c>
      <c r="B897" s="5" t="s">
        <v>4204</v>
      </c>
      <c r="C897" s="9">
        <v>42765</v>
      </c>
      <c r="D897" s="5" t="s">
        <v>16</v>
      </c>
      <c r="E897" s="5" t="s">
        <v>2262</v>
      </c>
      <c r="F897" s="6">
        <v>5850</v>
      </c>
    </row>
    <row r="898" spans="1:6" x14ac:dyDescent="0.15">
      <c r="A898" s="5" t="s">
        <v>63</v>
      </c>
      <c r="B898" s="5" t="s">
        <v>2261</v>
      </c>
      <c r="C898" s="9">
        <v>42765</v>
      </c>
      <c r="D898" s="5" t="s">
        <v>16</v>
      </c>
      <c r="E898" s="5" t="s">
        <v>2262</v>
      </c>
      <c r="F898" s="6">
        <v>1940</v>
      </c>
    </row>
    <row r="899" spans="1:6" x14ac:dyDescent="0.15">
      <c r="A899" s="5" t="s">
        <v>44</v>
      </c>
      <c r="B899" s="5" t="s">
        <v>4332</v>
      </c>
      <c r="C899" s="9">
        <v>42765</v>
      </c>
      <c r="D899" s="5" t="s">
        <v>16</v>
      </c>
      <c r="E899" s="5" t="s">
        <v>2262</v>
      </c>
      <c r="F899" s="6">
        <v>7800</v>
      </c>
    </row>
    <row r="900" spans="1:6" x14ac:dyDescent="0.15">
      <c r="A900" s="5" t="s">
        <v>49</v>
      </c>
      <c r="B900" s="5" t="s">
        <v>8647</v>
      </c>
      <c r="C900" s="9">
        <v>42774</v>
      </c>
      <c r="D900" s="5" t="s">
        <v>16</v>
      </c>
      <c r="E900" s="5" t="s">
        <v>8648</v>
      </c>
      <c r="F900" s="6">
        <v>3800</v>
      </c>
    </row>
    <row r="901" spans="1:6" x14ac:dyDescent="0.15">
      <c r="A901" s="5" t="s">
        <v>37</v>
      </c>
      <c r="B901" s="5" t="s">
        <v>6615</v>
      </c>
      <c r="C901" s="9">
        <v>42779</v>
      </c>
      <c r="D901" s="5" t="s">
        <v>16</v>
      </c>
      <c r="E901" s="5" t="s">
        <v>3050</v>
      </c>
      <c r="F901" s="6">
        <v>17355</v>
      </c>
    </row>
    <row r="902" spans="1:6" x14ac:dyDescent="0.15">
      <c r="A902" s="5" t="s">
        <v>35</v>
      </c>
      <c r="B902" s="5" t="s">
        <v>3049</v>
      </c>
      <c r="C902" s="9">
        <v>42779</v>
      </c>
      <c r="D902" s="5" t="s">
        <v>16</v>
      </c>
      <c r="E902" s="5" t="s">
        <v>3050</v>
      </c>
      <c r="F902" s="6">
        <v>1755</v>
      </c>
    </row>
    <row r="903" spans="1:6" x14ac:dyDescent="0.15">
      <c r="A903" s="5" t="s">
        <v>43</v>
      </c>
      <c r="B903" s="5" t="s">
        <v>4758</v>
      </c>
      <c r="C903" s="9">
        <v>42782</v>
      </c>
      <c r="D903" s="5" t="s">
        <v>16</v>
      </c>
      <c r="E903" s="5" t="s">
        <v>4759</v>
      </c>
      <c r="F903" s="6">
        <v>3880</v>
      </c>
    </row>
    <row r="904" spans="1:6" x14ac:dyDescent="0.15">
      <c r="A904" s="5" t="s">
        <v>37</v>
      </c>
      <c r="B904" s="5" t="s">
        <v>6616</v>
      </c>
      <c r="C904" s="9">
        <v>42788</v>
      </c>
      <c r="D904" s="5" t="s">
        <v>16</v>
      </c>
      <c r="E904" s="5" t="s">
        <v>6617</v>
      </c>
      <c r="F904" s="6">
        <v>26617.5</v>
      </c>
    </row>
    <row r="905" spans="1:6" x14ac:dyDescent="0.15">
      <c r="A905" s="5" t="s">
        <v>148</v>
      </c>
      <c r="B905" s="5" t="s">
        <v>5630</v>
      </c>
      <c r="C905" s="9">
        <v>42800</v>
      </c>
      <c r="D905" s="5" t="s">
        <v>16</v>
      </c>
      <c r="E905" s="5" t="s">
        <v>5631</v>
      </c>
      <c r="F905" s="6">
        <v>18915</v>
      </c>
    </row>
    <row r="906" spans="1:6" x14ac:dyDescent="0.15">
      <c r="A906" s="5" t="s">
        <v>43</v>
      </c>
      <c r="B906" s="5" t="s">
        <v>4760</v>
      </c>
      <c r="C906" s="9">
        <v>42795</v>
      </c>
      <c r="D906" s="5" t="s">
        <v>16</v>
      </c>
      <c r="E906" s="5" t="s">
        <v>4761</v>
      </c>
      <c r="F906" s="6">
        <v>970</v>
      </c>
    </row>
    <row r="907" spans="1:6" x14ac:dyDescent="0.15">
      <c r="A907" s="5" t="s">
        <v>37</v>
      </c>
      <c r="B907" s="5" t="s">
        <v>6618</v>
      </c>
      <c r="C907" s="9">
        <v>42795</v>
      </c>
      <c r="D907" s="5" t="s">
        <v>16</v>
      </c>
      <c r="E907" s="5" t="s">
        <v>4761</v>
      </c>
      <c r="F907" s="6">
        <v>2242.5</v>
      </c>
    </row>
    <row r="908" spans="1:6" x14ac:dyDescent="0.15">
      <c r="A908" s="5" t="s">
        <v>51</v>
      </c>
      <c r="B908" s="5" t="s">
        <v>4205</v>
      </c>
      <c r="C908" s="9">
        <v>42795</v>
      </c>
      <c r="D908" s="5" t="s">
        <v>16</v>
      </c>
      <c r="E908" s="5" t="s">
        <v>2264</v>
      </c>
      <c r="F908" s="6">
        <v>1950</v>
      </c>
    </row>
    <row r="909" spans="1:6" x14ac:dyDescent="0.15">
      <c r="A909" s="5" t="s">
        <v>63</v>
      </c>
      <c r="B909" s="5" t="s">
        <v>2263</v>
      </c>
      <c r="C909" s="9">
        <v>42795</v>
      </c>
      <c r="D909" s="5" t="s">
        <v>16</v>
      </c>
      <c r="E909" s="5" t="s">
        <v>2264</v>
      </c>
      <c r="F909" s="6">
        <v>11640</v>
      </c>
    </row>
    <row r="910" spans="1:6" x14ac:dyDescent="0.15">
      <c r="A910" s="5" t="s">
        <v>174</v>
      </c>
      <c r="B910" s="5" t="s">
        <v>2652</v>
      </c>
      <c r="C910" s="9">
        <v>42795</v>
      </c>
      <c r="D910" s="5" t="s">
        <v>16</v>
      </c>
      <c r="E910" s="5" t="s">
        <v>2264</v>
      </c>
      <c r="F910" s="6">
        <v>1500</v>
      </c>
    </row>
    <row r="911" spans="1:6" x14ac:dyDescent="0.15">
      <c r="A911" s="5" t="s">
        <v>43</v>
      </c>
      <c r="B911" s="5" t="s">
        <v>4762</v>
      </c>
      <c r="C911" s="9">
        <v>42795</v>
      </c>
      <c r="D911" s="5" t="s">
        <v>16</v>
      </c>
      <c r="E911" s="5" t="s">
        <v>2264</v>
      </c>
      <c r="F911" s="6">
        <v>7760</v>
      </c>
    </row>
    <row r="912" spans="1:6" x14ac:dyDescent="0.15">
      <c r="A912" s="5" t="s">
        <v>42</v>
      </c>
      <c r="B912" s="5" t="s">
        <v>5782</v>
      </c>
      <c r="C912" s="9">
        <v>42795</v>
      </c>
      <c r="D912" s="5" t="s">
        <v>16</v>
      </c>
      <c r="E912" s="5" t="s">
        <v>2264</v>
      </c>
      <c r="F912" s="6">
        <v>1500</v>
      </c>
    </row>
    <row r="913" spans="1:6" x14ac:dyDescent="0.15">
      <c r="A913" s="5" t="s">
        <v>148</v>
      </c>
      <c r="B913" s="5" t="s">
        <v>5632</v>
      </c>
      <c r="C913" s="9">
        <v>42801</v>
      </c>
      <c r="D913" s="5" t="s">
        <v>16</v>
      </c>
      <c r="E913" s="5" t="s">
        <v>5633</v>
      </c>
      <c r="F913" s="6">
        <v>18915</v>
      </c>
    </row>
    <row r="914" spans="1:6" x14ac:dyDescent="0.15">
      <c r="A914" s="5" t="s">
        <v>43</v>
      </c>
      <c r="B914" s="5" t="s">
        <v>4763</v>
      </c>
      <c r="C914" s="9">
        <v>42800</v>
      </c>
      <c r="D914" s="5" t="s">
        <v>16</v>
      </c>
      <c r="E914" s="5" t="s">
        <v>1842</v>
      </c>
      <c r="F914" s="6">
        <v>1940</v>
      </c>
    </row>
    <row r="915" spans="1:6" x14ac:dyDescent="0.15">
      <c r="A915" s="5" t="s">
        <v>41</v>
      </c>
      <c r="B915" s="5" t="s">
        <v>1841</v>
      </c>
      <c r="C915" s="9">
        <v>42800</v>
      </c>
      <c r="D915" s="5" t="s">
        <v>16</v>
      </c>
      <c r="E915" s="5" t="s">
        <v>1842</v>
      </c>
      <c r="F915" s="6">
        <v>11640</v>
      </c>
    </row>
    <row r="916" spans="1:6" x14ac:dyDescent="0.15">
      <c r="A916" s="5" t="s">
        <v>40</v>
      </c>
      <c r="B916" s="5" t="s">
        <v>2373</v>
      </c>
      <c r="C916" s="9">
        <v>42800</v>
      </c>
      <c r="D916" s="5" t="s">
        <v>16</v>
      </c>
      <c r="E916" s="5" t="s">
        <v>1842</v>
      </c>
      <c r="F916" s="6">
        <v>9000</v>
      </c>
    </row>
    <row r="917" spans="1:6" x14ac:dyDescent="0.15">
      <c r="A917" s="5" t="s">
        <v>43</v>
      </c>
      <c r="B917" s="5" t="s">
        <v>4764</v>
      </c>
      <c r="C917" s="9">
        <v>42802</v>
      </c>
      <c r="D917" s="5" t="s">
        <v>16</v>
      </c>
      <c r="E917" s="5" t="s">
        <v>4765</v>
      </c>
      <c r="F917" s="6">
        <v>5820</v>
      </c>
    </row>
    <row r="918" spans="1:6" x14ac:dyDescent="0.15">
      <c r="A918" s="5" t="s">
        <v>37</v>
      </c>
      <c r="B918" s="5" t="s">
        <v>6619</v>
      </c>
      <c r="C918" s="9">
        <v>42802</v>
      </c>
      <c r="D918" s="5" t="s">
        <v>16</v>
      </c>
      <c r="E918" s="5" t="s">
        <v>4765</v>
      </c>
      <c r="F918" s="6">
        <v>3900</v>
      </c>
    </row>
    <row r="919" spans="1:6" x14ac:dyDescent="0.15">
      <c r="A919" s="5" t="s">
        <v>37</v>
      </c>
      <c r="B919" s="5" t="s">
        <v>6620</v>
      </c>
      <c r="C919" s="9">
        <v>42808</v>
      </c>
      <c r="D919" s="5" t="s">
        <v>16</v>
      </c>
      <c r="E919" s="5" t="s">
        <v>6621</v>
      </c>
      <c r="F919" s="6">
        <v>25740</v>
      </c>
    </row>
    <row r="920" spans="1:6" x14ac:dyDescent="0.15">
      <c r="A920" s="5" t="s">
        <v>42</v>
      </c>
      <c r="B920" s="5" t="s">
        <v>5783</v>
      </c>
      <c r="C920" s="9">
        <v>42803</v>
      </c>
      <c r="D920" s="5" t="s">
        <v>16</v>
      </c>
      <c r="E920" s="5" t="s">
        <v>4334</v>
      </c>
      <c r="F920" s="6">
        <v>7500</v>
      </c>
    </row>
    <row r="921" spans="1:6" x14ac:dyDescent="0.15">
      <c r="A921" s="5" t="s">
        <v>64</v>
      </c>
      <c r="B921" s="5" t="s">
        <v>6114</v>
      </c>
      <c r="C921" s="9">
        <v>42803</v>
      </c>
      <c r="D921" s="5" t="s">
        <v>16</v>
      </c>
      <c r="E921" s="5" t="s">
        <v>4334</v>
      </c>
      <c r="F921" s="6">
        <v>4500</v>
      </c>
    </row>
    <row r="922" spans="1:6" x14ac:dyDescent="0.15">
      <c r="A922" s="5" t="s">
        <v>43</v>
      </c>
      <c r="B922" s="5" t="s">
        <v>4766</v>
      </c>
      <c r="C922" s="9">
        <v>42803</v>
      </c>
      <c r="D922" s="5" t="s">
        <v>16</v>
      </c>
      <c r="E922" s="5" t="s">
        <v>4334</v>
      </c>
      <c r="F922" s="6">
        <v>1940</v>
      </c>
    </row>
    <row r="923" spans="1:6" x14ac:dyDescent="0.15">
      <c r="A923" s="5" t="s">
        <v>44</v>
      </c>
      <c r="B923" s="5" t="s">
        <v>4333</v>
      </c>
      <c r="C923" s="9">
        <v>42803</v>
      </c>
      <c r="D923" s="5" t="s">
        <v>16</v>
      </c>
      <c r="E923" s="5" t="s">
        <v>4334</v>
      </c>
      <c r="F923" s="6">
        <v>7800</v>
      </c>
    </row>
    <row r="924" spans="1:6" x14ac:dyDescent="0.15">
      <c r="A924" s="5" t="s">
        <v>35</v>
      </c>
      <c r="B924" s="5" t="s">
        <v>3051</v>
      </c>
      <c r="C924" s="9">
        <v>42807</v>
      </c>
      <c r="D924" s="5" t="s">
        <v>16</v>
      </c>
      <c r="E924" s="5" t="s">
        <v>3052</v>
      </c>
      <c r="F924" s="6">
        <v>292.5</v>
      </c>
    </row>
    <row r="925" spans="1:6" x14ac:dyDescent="0.15">
      <c r="A925" s="5" t="s">
        <v>41</v>
      </c>
      <c r="B925" s="5" t="s">
        <v>1843</v>
      </c>
      <c r="C925" s="9">
        <v>42808</v>
      </c>
      <c r="D925" s="5" t="s">
        <v>16</v>
      </c>
      <c r="E925" s="5" t="s">
        <v>1844</v>
      </c>
      <c r="F925" s="6">
        <v>4753</v>
      </c>
    </row>
    <row r="926" spans="1:6" x14ac:dyDescent="0.15">
      <c r="A926" s="5" t="s">
        <v>41</v>
      </c>
      <c r="B926" s="5" t="s">
        <v>1845</v>
      </c>
      <c r="C926" s="9">
        <v>42809</v>
      </c>
      <c r="D926" s="5" t="s">
        <v>16</v>
      </c>
      <c r="E926" s="5" t="s">
        <v>1846</v>
      </c>
      <c r="F926" s="6">
        <v>436.5</v>
      </c>
    </row>
    <row r="927" spans="1:6" x14ac:dyDescent="0.15">
      <c r="A927" s="5" t="s">
        <v>35</v>
      </c>
      <c r="B927" s="5" t="s">
        <v>3053</v>
      </c>
      <c r="C927" s="9">
        <v>42809</v>
      </c>
      <c r="D927" s="5" t="s">
        <v>16</v>
      </c>
      <c r="E927" s="5" t="s">
        <v>1846</v>
      </c>
      <c r="F927" s="6">
        <v>3900</v>
      </c>
    </row>
    <row r="928" spans="1:6" x14ac:dyDescent="0.15">
      <c r="A928" s="5" t="s">
        <v>43</v>
      </c>
      <c r="B928" s="5" t="s">
        <v>4767</v>
      </c>
      <c r="C928" s="9">
        <v>42810</v>
      </c>
      <c r="D928" s="5" t="s">
        <v>16</v>
      </c>
      <c r="E928" s="5" t="s">
        <v>4768</v>
      </c>
      <c r="F928" s="6">
        <v>485</v>
      </c>
    </row>
    <row r="929" spans="1:6" x14ac:dyDescent="0.15">
      <c r="A929" s="5" t="s">
        <v>43</v>
      </c>
      <c r="B929" s="5" t="s">
        <v>4769</v>
      </c>
      <c r="C929" s="9">
        <v>42811</v>
      </c>
      <c r="D929" s="5" t="s">
        <v>16</v>
      </c>
      <c r="E929" s="5" t="s">
        <v>4770</v>
      </c>
      <c r="F929" s="6">
        <v>194</v>
      </c>
    </row>
    <row r="930" spans="1:6" x14ac:dyDescent="0.15">
      <c r="A930" s="5" t="s">
        <v>37</v>
      </c>
      <c r="B930" s="5" t="s">
        <v>6622</v>
      </c>
      <c r="C930" s="9">
        <v>42811</v>
      </c>
      <c r="D930" s="5" t="s">
        <v>16</v>
      </c>
      <c r="E930" s="5" t="s">
        <v>4770</v>
      </c>
      <c r="F930" s="6">
        <v>292.5</v>
      </c>
    </row>
    <row r="931" spans="1:6" x14ac:dyDescent="0.15">
      <c r="A931" s="5" t="s">
        <v>35</v>
      </c>
      <c r="B931" s="5" t="s">
        <v>3054</v>
      </c>
      <c r="C931" s="9">
        <v>42815</v>
      </c>
      <c r="D931" s="5" t="s">
        <v>16</v>
      </c>
      <c r="E931" s="5" t="s">
        <v>3055</v>
      </c>
      <c r="F931" s="6">
        <v>292.5</v>
      </c>
    </row>
    <row r="932" spans="1:6" x14ac:dyDescent="0.15">
      <c r="A932" s="5" t="s">
        <v>35</v>
      </c>
      <c r="B932" s="5" t="s">
        <v>3056</v>
      </c>
      <c r="C932" s="9">
        <v>42815</v>
      </c>
      <c r="D932" s="5" t="s">
        <v>16</v>
      </c>
      <c r="E932" s="5" t="s">
        <v>3057</v>
      </c>
      <c r="F932" s="6">
        <v>1462.5</v>
      </c>
    </row>
    <row r="933" spans="1:6" x14ac:dyDescent="0.15">
      <c r="A933" s="5" t="s">
        <v>35</v>
      </c>
      <c r="B933" s="5" t="s">
        <v>3058</v>
      </c>
      <c r="C933" s="9">
        <v>42817</v>
      </c>
      <c r="D933" s="5" t="s">
        <v>16</v>
      </c>
      <c r="E933" s="5" t="s">
        <v>3059</v>
      </c>
      <c r="F933" s="6">
        <v>5752.5</v>
      </c>
    </row>
    <row r="934" spans="1:6" x14ac:dyDescent="0.15">
      <c r="A934" s="5" t="s">
        <v>37</v>
      </c>
      <c r="B934" s="5" t="s">
        <v>6624</v>
      </c>
      <c r="C934" s="9">
        <v>42818</v>
      </c>
      <c r="D934" s="5" t="s">
        <v>16</v>
      </c>
      <c r="E934" s="5" t="s">
        <v>6625</v>
      </c>
      <c r="F934" s="6">
        <v>195</v>
      </c>
    </row>
    <row r="935" spans="1:6" x14ac:dyDescent="0.15">
      <c r="A935" s="5" t="s">
        <v>43</v>
      </c>
      <c r="B935" s="5" t="s">
        <v>4772</v>
      </c>
      <c r="C935" s="9">
        <v>42821</v>
      </c>
      <c r="D935" s="5" t="s">
        <v>16</v>
      </c>
      <c r="E935" s="5" t="s">
        <v>4773</v>
      </c>
      <c r="F935" s="6">
        <v>4462</v>
      </c>
    </row>
    <row r="936" spans="1:6" x14ac:dyDescent="0.15">
      <c r="A936" s="5" t="s">
        <v>37</v>
      </c>
      <c r="B936" s="5" t="s">
        <v>6626</v>
      </c>
      <c r="C936" s="9">
        <v>42821</v>
      </c>
      <c r="D936" s="5" t="s">
        <v>16</v>
      </c>
      <c r="E936" s="5" t="s">
        <v>6627</v>
      </c>
      <c r="F936" s="6">
        <v>5557.5</v>
      </c>
    </row>
    <row r="937" spans="1:6" x14ac:dyDescent="0.15">
      <c r="A937" s="5" t="s">
        <v>35</v>
      </c>
      <c r="B937" s="5" t="s">
        <v>3060</v>
      </c>
      <c r="C937" s="9">
        <v>42821</v>
      </c>
      <c r="D937" s="5" t="s">
        <v>16</v>
      </c>
      <c r="E937" s="5" t="s">
        <v>3061</v>
      </c>
      <c r="F937" s="6">
        <v>195</v>
      </c>
    </row>
    <row r="938" spans="1:6" x14ac:dyDescent="0.15">
      <c r="A938" s="5" t="s">
        <v>35</v>
      </c>
      <c r="B938" s="5" t="s">
        <v>3062</v>
      </c>
      <c r="C938" s="9">
        <v>42821</v>
      </c>
      <c r="D938" s="5" t="s">
        <v>16</v>
      </c>
      <c r="E938" s="5" t="s">
        <v>3061</v>
      </c>
      <c r="F938" s="6">
        <v>194</v>
      </c>
    </row>
    <row r="939" spans="1:6" x14ac:dyDescent="0.15">
      <c r="A939" s="5" t="s">
        <v>35</v>
      </c>
      <c r="B939" s="5" t="s">
        <v>3063</v>
      </c>
      <c r="C939" s="9">
        <v>42821</v>
      </c>
      <c r="D939" s="5" t="s">
        <v>16</v>
      </c>
      <c r="E939" s="5" t="s">
        <v>3064</v>
      </c>
      <c r="F939" s="6">
        <v>4192.5</v>
      </c>
    </row>
    <row r="940" spans="1:6" x14ac:dyDescent="0.15">
      <c r="A940" s="5" t="s">
        <v>37</v>
      </c>
      <c r="B940" s="5" t="s">
        <v>6628</v>
      </c>
      <c r="C940" s="9">
        <v>42821</v>
      </c>
      <c r="D940" s="5" t="s">
        <v>16</v>
      </c>
      <c r="E940" s="5" t="s">
        <v>6629</v>
      </c>
      <c r="F940" s="6">
        <v>6337.5</v>
      </c>
    </row>
    <row r="941" spans="1:6" x14ac:dyDescent="0.15">
      <c r="A941" s="5" t="s">
        <v>35</v>
      </c>
      <c r="B941" s="5" t="s">
        <v>3065</v>
      </c>
      <c r="C941" s="9">
        <v>42821</v>
      </c>
      <c r="D941" s="5" t="s">
        <v>16</v>
      </c>
      <c r="E941" s="5" t="s">
        <v>3066</v>
      </c>
      <c r="F941" s="6">
        <v>975</v>
      </c>
    </row>
    <row r="942" spans="1:6" x14ac:dyDescent="0.15">
      <c r="A942" s="5" t="s">
        <v>35</v>
      </c>
      <c r="B942" s="5" t="s">
        <v>3067</v>
      </c>
      <c r="C942" s="9">
        <v>42821</v>
      </c>
      <c r="D942" s="5" t="s">
        <v>16</v>
      </c>
      <c r="E942" s="5" t="s">
        <v>3068</v>
      </c>
      <c r="F942" s="6">
        <v>-975</v>
      </c>
    </row>
    <row r="943" spans="1:6" x14ac:dyDescent="0.15">
      <c r="A943" s="5" t="s">
        <v>35</v>
      </c>
      <c r="B943" s="5" t="s">
        <v>3069</v>
      </c>
      <c r="C943" s="9">
        <v>42821</v>
      </c>
      <c r="D943" s="5" t="s">
        <v>16</v>
      </c>
      <c r="E943" s="5" t="s">
        <v>3068</v>
      </c>
      <c r="F943" s="6">
        <v>975</v>
      </c>
    </row>
    <row r="944" spans="1:6" x14ac:dyDescent="0.15">
      <c r="A944" s="5" t="s">
        <v>37</v>
      </c>
      <c r="B944" s="5" t="s">
        <v>6630</v>
      </c>
      <c r="C944" s="9">
        <v>42823</v>
      </c>
      <c r="D944" s="5" t="s">
        <v>16</v>
      </c>
      <c r="E944" s="5" t="s">
        <v>6631</v>
      </c>
      <c r="F944" s="6">
        <v>975</v>
      </c>
    </row>
    <row r="945" spans="1:6" x14ac:dyDescent="0.15">
      <c r="A945" s="5" t="s">
        <v>35</v>
      </c>
      <c r="B945" s="5" t="s">
        <v>3070</v>
      </c>
      <c r="C945" s="9">
        <v>42823</v>
      </c>
      <c r="D945" s="5" t="s">
        <v>16</v>
      </c>
      <c r="E945" s="5" t="s">
        <v>3071</v>
      </c>
      <c r="F945" s="6">
        <v>97.5</v>
      </c>
    </row>
    <row r="946" spans="1:6" x14ac:dyDescent="0.15">
      <c r="A946" s="5" t="s">
        <v>37</v>
      </c>
      <c r="B946" s="5" t="s">
        <v>6632</v>
      </c>
      <c r="C946" s="9">
        <v>42824</v>
      </c>
      <c r="D946" s="5" t="s">
        <v>16</v>
      </c>
      <c r="E946" s="5" t="s">
        <v>6633</v>
      </c>
      <c r="F946" s="6">
        <v>3022.5</v>
      </c>
    </row>
    <row r="947" spans="1:6" x14ac:dyDescent="0.15">
      <c r="A947" s="5" t="s">
        <v>43</v>
      </c>
      <c r="B947" s="5" t="s">
        <v>4776</v>
      </c>
      <c r="C947" s="9">
        <v>42829</v>
      </c>
      <c r="D947" s="5" t="s">
        <v>16</v>
      </c>
      <c r="E947" s="5" t="s">
        <v>1848</v>
      </c>
      <c r="F947" s="6">
        <v>9700</v>
      </c>
    </row>
    <row r="948" spans="1:6" x14ac:dyDescent="0.15">
      <c r="A948" s="5" t="s">
        <v>37</v>
      </c>
      <c r="B948" s="5" t="s">
        <v>6636</v>
      </c>
      <c r="C948" s="9">
        <v>42829</v>
      </c>
      <c r="D948" s="5" t="s">
        <v>16</v>
      </c>
      <c r="E948" s="5" t="s">
        <v>1848</v>
      </c>
      <c r="F948" s="6">
        <v>1950</v>
      </c>
    </row>
    <row r="949" spans="1:6" x14ac:dyDescent="0.15">
      <c r="A949" s="5" t="s">
        <v>41</v>
      </c>
      <c r="B949" s="5" t="s">
        <v>1847</v>
      </c>
      <c r="C949" s="9">
        <v>42829</v>
      </c>
      <c r="D949" s="5" t="s">
        <v>16</v>
      </c>
      <c r="E949" s="5" t="s">
        <v>1848</v>
      </c>
      <c r="F949" s="6">
        <v>48.5</v>
      </c>
    </row>
    <row r="950" spans="1:6" x14ac:dyDescent="0.15">
      <c r="A950" s="5" t="s">
        <v>43</v>
      </c>
      <c r="B950" s="5" t="s">
        <v>4777</v>
      </c>
      <c r="C950" s="9">
        <v>42829</v>
      </c>
      <c r="D950" s="5" t="s">
        <v>16</v>
      </c>
      <c r="E950" s="5" t="s">
        <v>4778</v>
      </c>
      <c r="F950" s="6">
        <v>3880</v>
      </c>
    </row>
    <row r="951" spans="1:6" x14ac:dyDescent="0.15">
      <c r="A951" s="5" t="s">
        <v>37</v>
      </c>
      <c r="B951" s="5" t="s">
        <v>6637</v>
      </c>
      <c r="C951" s="9">
        <v>42829</v>
      </c>
      <c r="D951" s="5" t="s">
        <v>16</v>
      </c>
      <c r="E951" s="5" t="s">
        <v>4778</v>
      </c>
      <c r="F951" s="6">
        <v>3900</v>
      </c>
    </row>
    <row r="952" spans="1:6" x14ac:dyDescent="0.15">
      <c r="A952" s="5" t="s">
        <v>43</v>
      </c>
      <c r="B952" s="5" t="s">
        <v>4774</v>
      </c>
      <c r="C952" s="9">
        <v>42824</v>
      </c>
      <c r="D952" s="5" t="s">
        <v>16</v>
      </c>
      <c r="E952" s="5" t="s">
        <v>4775</v>
      </c>
      <c r="F952" s="6">
        <v>145.5</v>
      </c>
    </row>
    <row r="953" spans="1:6" x14ac:dyDescent="0.15">
      <c r="A953" s="5" t="s">
        <v>43</v>
      </c>
      <c r="B953" s="5" t="s">
        <v>4771</v>
      </c>
      <c r="C953" s="9">
        <v>42815</v>
      </c>
      <c r="D953" s="5" t="s">
        <v>16</v>
      </c>
      <c r="E953" s="5" t="s">
        <v>2189</v>
      </c>
      <c r="F953" s="6">
        <v>3880</v>
      </c>
    </row>
    <row r="954" spans="1:6" x14ac:dyDescent="0.15">
      <c r="A954" s="5" t="s">
        <v>37</v>
      </c>
      <c r="B954" s="5" t="s">
        <v>6623</v>
      </c>
      <c r="C954" s="9">
        <v>42815</v>
      </c>
      <c r="D954" s="5" t="s">
        <v>16</v>
      </c>
      <c r="E954" s="5" t="s">
        <v>2189</v>
      </c>
      <c r="F954" s="6">
        <v>9750</v>
      </c>
    </row>
    <row r="955" spans="1:6" x14ac:dyDescent="0.15">
      <c r="A955" s="5" t="s">
        <v>44</v>
      </c>
      <c r="B955" s="5" t="s">
        <v>4335</v>
      </c>
      <c r="C955" s="9">
        <v>42815</v>
      </c>
      <c r="D955" s="5" t="s">
        <v>16</v>
      </c>
      <c r="E955" s="5" t="s">
        <v>2189</v>
      </c>
      <c r="F955" s="6">
        <v>7800</v>
      </c>
    </row>
    <row r="956" spans="1:6" x14ac:dyDescent="0.15">
      <c r="A956" s="5" t="s">
        <v>46</v>
      </c>
      <c r="B956" s="5" t="s">
        <v>2188</v>
      </c>
      <c r="C956" s="9">
        <v>42815</v>
      </c>
      <c r="D956" s="5" t="s">
        <v>16</v>
      </c>
      <c r="E956" s="5" t="s">
        <v>2189</v>
      </c>
      <c r="F956" s="6">
        <v>3880</v>
      </c>
    </row>
    <row r="957" spans="1:6" x14ac:dyDescent="0.15">
      <c r="A957" s="5" t="s">
        <v>37</v>
      </c>
      <c r="B957" s="5" t="s">
        <v>6634</v>
      </c>
      <c r="C957" s="9">
        <v>42828</v>
      </c>
      <c r="D957" s="5" t="s">
        <v>16</v>
      </c>
      <c r="E957" s="5" t="s">
        <v>6635</v>
      </c>
      <c r="F957" s="6">
        <v>26325</v>
      </c>
    </row>
    <row r="958" spans="1:6" x14ac:dyDescent="0.15">
      <c r="A958" s="5" t="s">
        <v>41</v>
      </c>
      <c r="B958" s="5" t="s">
        <v>1849</v>
      </c>
      <c r="C958" s="9">
        <v>42843</v>
      </c>
      <c r="D958" s="5" t="s">
        <v>16</v>
      </c>
      <c r="E958" s="5" t="s">
        <v>1850</v>
      </c>
      <c r="F958" s="6">
        <v>1067</v>
      </c>
    </row>
    <row r="959" spans="1:6" x14ac:dyDescent="0.15">
      <c r="A959" s="5" t="s">
        <v>35</v>
      </c>
      <c r="B959" s="5" t="s">
        <v>3080</v>
      </c>
      <c r="C959" s="9">
        <v>42843</v>
      </c>
      <c r="D959" s="5" t="s">
        <v>16</v>
      </c>
      <c r="E959" s="5" t="s">
        <v>1850</v>
      </c>
      <c r="F959" s="6">
        <v>9750</v>
      </c>
    </row>
    <row r="960" spans="1:6" x14ac:dyDescent="0.15">
      <c r="A960" s="5" t="s">
        <v>42</v>
      </c>
      <c r="B960" s="5" t="s">
        <v>5786</v>
      </c>
      <c r="C960" s="9">
        <v>42843</v>
      </c>
      <c r="D960" s="5" t="s">
        <v>16</v>
      </c>
      <c r="E960" s="5" t="s">
        <v>1850</v>
      </c>
      <c r="F960" s="6">
        <v>3000</v>
      </c>
    </row>
    <row r="961" spans="1:6" x14ac:dyDescent="0.15">
      <c r="A961" s="5" t="s">
        <v>43</v>
      </c>
      <c r="B961" s="5" t="s">
        <v>4779</v>
      </c>
      <c r="C961" s="9">
        <v>42829</v>
      </c>
      <c r="D961" s="5" t="s">
        <v>16</v>
      </c>
      <c r="E961" s="5" t="s">
        <v>4780</v>
      </c>
      <c r="F961" s="6">
        <v>97</v>
      </c>
    </row>
    <row r="962" spans="1:6" x14ac:dyDescent="0.15">
      <c r="A962" s="5" t="s">
        <v>37</v>
      </c>
      <c r="B962" s="5" t="s">
        <v>6638</v>
      </c>
      <c r="C962" s="9">
        <v>42829</v>
      </c>
      <c r="D962" s="5" t="s">
        <v>16</v>
      </c>
      <c r="E962" s="5" t="s">
        <v>6639</v>
      </c>
      <c r="F962" s="6">
        <v>487.5</v>
      </c>
    </row>
    <row r="963" spans="1:6" x14ac:dyDescent="0.15">
      <c r="A963" s="5" t="s">
        <v>53</v>
      </c>
      <c r="B963" s="5" t="s">
        <v>8424</v>
      </c>
      <c r="C963" s="9">
        <v>42829</v>
      </c>
      <c r="D963" s="5" t="s">
        <v>16</v>
      </c>
      <c r="E963" s="5" t="s">
        <v>8425</v>
      </c>
      <c r="F963" s="6">
        <v>195</v>
      </c>
    </row>
    <row r="964" spans="1:6" x14ac:dyDescent="0.15">
      <c r="A964" s="5" t="s">
        <v>35</v>
      </c>
      <c r="B964" s="5" t="s">
        <v>3074</v>
      </c>
      <c r="C964" s="9">
        <v>42830</v>
      </c>
      <c r="D964" s="5" t="s">
        <v>16</v>
      </c>
      <c r="E964" s="5" t="s">
        <v>3075</v>
      </c>
      <c r="F964" s="6">
        <v>2925</v>
      </c>
    </row>
    <row r="965" spans="1:6" x14ac:dyDescent="0.15">
      <c r="A965" s="5" t="s">
        <v>37</v>
      </c>
      <c r="B965" s="5" t="s">
        <v>6640</v>
      </c>
      <c r="C965" s="9">
        <v>42830</v>
      </c>
      <c r="D965" s="5" t="s">
        <v>16</v>
      </c>
      <c r="E965" s="5" t="s">
        <v>6641</v>
      </c>
      <c r="F965" s="6">
        <v>975</v>
      </c>
    </row>
    <row r="966" spans="1:6" x14ac:dyDescent="0.15">
      <c r="A966" s="5" t="s">
        <v>53</v>
      </c>
      <c r="B966" s="5" t="s">
        <v>8426</v>
      </c>
      <c r="C966" s="9">
        <v>42831</v>
      </c>
      <c r="D966" s="5" t="s">
        <v>16</v>
      </c>
      <c r="E966" s="5" t="s">
        <v>8427</v>
      </c>
      <c r="F966" s="6">
        <v>97.5</v>
      </c>
    </row>
    <row r="967" spans="1:6" x14ac:dyDescent="0.15">
      <c r="A967" s="5" t="s">
        <v>37</v>
      </c>
      <c r="B967" s="5" t="s">
        <v>6642</v>
      </c>
      <c r="C967" s="9">
        <v>42831</v>
      </c>
      <c r="D967" s="5" t="s">
        <v>16</v>
      </c>
      <c r="E967" s="5" t="s">
        <v>6643</v>
      </c>
      <c r="F967" s="6">
        <v>195</v>
      </c>
    </row>
    <row r="968" spans="1:6" x14ac:dyDescent="0.15">
      <c r="A968" s="5" t="s">
        <v>43</v>
      </c>
      <c r="B968" s="5" t="s">
        <v>4781</v>
      </c>
      <c r="C968" s="9">
        <v>42835</v>
      </c>
      <c r="D968" s="5" t="s">
        <v>16</v>
      </c>
      <c r="E968" s="5" t="s">
        <v>4782</v>
      </c>
      <c r="F968" s="6">
        <v>5820</v>
      </c>
    </row>
    <row r="969" spans="1:6" x14ac:dyDescent="0.15">
      <c r="A969" s="5" t="s">
        <v>37</v>
      </c>
      <c r="B969" s="5" t="s">
        <v>6644</v>
      </c>
      <c r="C969" s="9">
        <v>42835</v>
      </c>
      <c r="D969" s="5" t="s">
        <v>16</v>
      </c>
      <c r="E969" s="5" t="s">
        <v>5785</v>
      </c>
      <c r="F969" s="6">
        <v>6435</v>
      </c>
    </row>
    <row r="970" spans="1:6" x14ac:dyDescent="0.15">
      <c r="A970" s="5" t="s">
        <v>42</v>
      </c>
      <c r="B970" s="5" t="s">
        <v>5784</v>
      </c>
      <c r="C970" s="9">
        <v>42835</v>
      </c>
      <c r="D970" s="5" t="s">
        <v>16</v>
      </c>
      <c r="E970" s="5" t="s">
        <v>5785</v>
      </c>
      <c r="F970" s="6">
        <v>1575</v>
      </c>
    </row>
    <row r="971" spans="1:6" x14ac:dyDescent="0.15">
      <c r="A971" s="5" t="s">
        <v>35</v>
      </c>
      <c r="B971" s="5" t="s">
        <v>3072</v>
      </c>
      <c r="C971" s="9">
        <v>42829</v>
      </c>
      <c r="D971" s="5" t="s">
        <v>16</v>
      </c>
      <c r="E971" s="5" t="s">
        <v>3073</v>
      </c>
      <c r="F971" s="6">
        <v>97.5</v>
      </c>
    </row>
    <row r="972" spans="1:6" x14ac:dyDescent="0.15">
      <c r="A972" s="5" t="s">
        <v>41</v>
      </c>
      <c r="B972" s="5" t="s">
        <v>1851</v>
      </c>
      <c r="C972" s="9">
        <v>42846</v>
      </c>
      <c r="D972" s="5" t="s">
        <v>16</v>
      </c>
      <c r="E972" s="5" t="s">
        <v>1852</v>
      </c>
      <c r="F972" s="6">
        <v>2134</v>
      </c>
    </row>
    <row r="973" spans="1:6" x14ac:dyDescent="0.15">
      <c r="A973" s="5" t="s">
        <v>43</v>
      </c>
      <c r="B973" s="5" t="s">
        <v>4788</v>
      </c>
      <c r="C973" s="9">
        <v>42846</v>
      </c>
      <c r="D973" s="5" t="s">
        <v>16</v>
      </c>
      <c r="E973" s="5" t="s">
        <v>1852</v>
      </c>
      <c r="F973" s="6">
        <v>16005</v>
      </c>
    </row>
    <row r="974" spans="1:6" x14ac:dyDescent="0.15">
      <c r="A974" s="5" t="s">
        <v>58</v>
      </c>
      <c r="B974" s="5" t="s">
        <v>6174</v>
      </c>
      <c r="C974" s="9">
        <v>42870</v>
      </c>
      <c r="D974" s="5" t="s">
        <v>16</v>
      </c>
      <c r="E974" s="5" t="s">
        <v>6175</v>
      </c>
      <c r="F974" s="6">
        <v>14625</v>
      </c>
    </row>
    <row r="975" spans="1:6" x14ac:dyDescent="0.15">
      <c r="A975" s="5" t="s">
        <v>43</v>
      </c>
      <c r="B975" s="5" t="s">
        <v>4783</v>
      </c>
      <c r="C975" s="9">
        <v>42837</v>
      </c>
      <c r="D975" s="5" t="s">
        <v>16</v>
      </c>
      <c r="E975" s="5" t="s">
        <v>4784</v>
      </c>
      <c r="F975" s="6">
        <v>1406.5</v>
      </c>
    </row>
    <row r="976" spans="1:6" x14ac:dyDescent="0.15">
      <c r="A976" s="5" t="s">
        <v>35</v>
      </c>
      <c r="B976" s="5" t="s">
        <v>3076</v>
      </c>
      <c r="C976" s="9">
        <v>42832</v>
      </c>
      <c r="D976" s="5" t="s">
        <v>16</v>
      </c>
      <c r="E976" s="5" t="s">
        <v>3077</v>
      </c>
      <c r="F976" s="6">
        <v>195</v>
      </c>
    </row>
    <row r="977" spans="1:6" x14ac:dyDescent="0.15">
      <c r="A977" s="5" t="s">
        <v>37</v>
      </c>
      <c r="B977" s="5" t="s">
        <v>6645</v>
      </c>
      <c r="C977" s="9">
        <v>42837</v>
      </c>
      <c r="D977" s="5" t="s">
        <v>16</v>
      </c>
      <c r="E977" s="5" t="s">
        <v>6646</v>
      </c>
      <c r="F977" s="6">
        <v>13845</v>
      </c>
    </row>
    <row r="978" spans="1:6" x14ac:dyDescent="0.15">
      <c r="A978" s="5" t="s">
        <v>53</v>
      </c>
      <c r="B978" s="5" t="s">
        <v>8428</v>
      </c>
      <c r="C978" s="9">
        <v>42838</v>
      </c>
      <c r="D978" s="5" t="s">
        <v>16</v>
      </c>
      <c r="E978" s="5" t="s">
        <v>6116</v>
      </c>
      <c r="F978" s="6">
        <v>23400</v>
      </c>
    </row>
    <row r="979" spans="1:6" x14ac:dyDescent="0.15">
      <c r="A979" s="5" t="s">
        <v>64</v>
      </c>
      <c r="B979" s="5" t="s">
        <v>6115</v>
      </c>
      <c r="C979" s="9">
        <v>42838</v>
      </c>
      <c r="D979" s="5" t="s">
        <v>16</v>
      </c>
      <c r="E979" s="5" t="s">
        <v>6116</v>
      </c>
      <c r="F979" s="6">
        <v>5400</v>
      </c>
    </row>
    <row r="980" spans="1:6" x14ac:dyDescent="0.15">
      <c r="A980" s="5" t="s">
        <v>35</v>
      </c>
      <c r="B980" s="5" t="s">
        <v>3083</v>
      </c>
      <c r="C980" s="9">
        <v>42845</v>
      </c>
      <c r="D980" s="5" t="s">
        <v>16</v>
      </c>
      <c r="E980" s="5" t="s">
        <v>3084</v>
      </c>
      <c r="F980" s="6">
        <v>1950</v>
      </c>
    </row>
    <row r="981" spans="1:6" x14ac:dyDescent="0.15">
      <c r="A981" s="5" t="s">
        <v>43</v>
      </c>
      <c r="B981" s="5" t="s">
        <v>4787</v>
      </c>
      <c r="C981" s="9">
        <v>42845</v>
      </c>
      <c r="D981" s="5" t="s">
        <v>16</v>
      </c>
      <c r="E981" s="5" t="s">
        <v>3084</v>
      </c>
      <c r="F981" s="6">
        <v>3880</v>
      </c>
    </row>
    <row r="982" spans="1:6" x14ac:dyDescent="0.15">
      <c r="A982" s="5" t="s">
        <v>37</v>
      </c>
      <c r="B982" s="5" t="s">
        <v>6648</v>
      </c>
      <c r="C982" s="9">
        <v>42845</v>
      </c>
      <c r="D982" s="5" t="s">
        <v>16</v>
      </c>
      <c r="E982" s="5" t="s">
        <v>3084</v>
      </c>
      <c r="F982" s="6">
        <v>5850</v>
      </c>
    </row>
    <row r="983" spans="1:6" x14ac:dyDescent="0.15">
      <c r="A983" s="5" t="s">
        <v>37</v>
      </c>
      <c r="B983" s="5" t="s">
        <v>6647</v>
      </c>
      <c r="C983" s="9">
        <v>42843</v>
      </c>
      <c r="D983" s="5" t="s">
        <v>16</v>
      </c>
      <c r="E983" s="5" t="s">
        <v>4786</v>
      </c>
      <c r="F983" s="6">
        <v>6045</v>
      </c>
    </row>
    <row r="984" spans="1:6" x14ac:dyDescent="0.15">
      <c r="A984" s="5" t="s">
        <v>43</v>
      </c>
      <c r="B984" s="5" t="s">
        <v>4785</v>
      </c>
      <c r="C984" s="9">
        <v>42843</v>
      </c>
      <c r="D984" s="5" t="s">
        <v>16</v>
      </c>
      <c r="E984" s="5" t="s">
        <v>4786</v>
      </c>
      <c r="F984" s="6">
        <v>2667.5</v>
      </c>
    </row>
    <row r="985" spans="1:6" x14ac:dyDescent="0.15">
      <c r="A985" s="5" t="s">
        <v>44</v>
      </c>
      <c r="B985" s="5" t="s">
        <v>4336</v>
      </c>
      <c r="C985" s="9">
        <v>42846</v>
      </c>
      <c r="D985" s="5" t="s">
        <v>16</v>
      </c>
      <c r="E985" s="5" t="s">
        <v>2191</v>
      </c>
      <c r="F985" s="6">
        <v>7800</v>
      </c>
    </row>
    <row r="986" spans="1:6" x14ac:dyDescent="0.15">
      <c r="A986" s="5" t="s">
        <v>46</v>
      </c>
      <c r="B986" s="5" t="s">
        <v>2190</v>
      </c>
      <c r="C986" s="9">
        <v>42846</v>
      </c>
      <c r="D986" s="5" t="s">
        <v>16</v>
      </c>
      <c r="E986" s="5" t="s">
        <v>2191</v>
      </c>
      <c r="F986" s="6">
        <v>3880</v>
      </c>
    </row>
    <row r="987" spans="1:6" x14ac:dyDescent="0.15">
      <c r="A987" s="5" t="s">
        <v>37</v>
      </c>
      <c r="B987" s="5" t="s">
        <v>6649</v>
      </c>
      <c r="C987" s="9">
        <v>42846</v>
      </c>
      <c r="D987" s="5" t="s">
        <v>16</v>
      </c>
      <c r="E987" s="5" t="s">
        <v>2191</v>
      </c>
      <c r="F987" s="6">
        <v>3900</v>
      </c>
    </row>
    <row r="988" spans="1:6" x14ac:dyDescent="0.15">
      <c r="A988" s="5" t="s">
        <v>35</v>
      </c>
      <c r="B988" s="5" t="s">
        <v>3081</v>
      </c>
      <c r="C988" s="9">
        <v>42843</v>
      </c>
      <c r="D988" s="5" t="s">
        <v>16</v>
      </c>
      <c r="E988" s="5" t="s">
        <v>3082</v>
      </c>
      <c r="F988" s="6">
        <v>195</v>
      </c>
    </row>
    <row r="989" spans="1:6" x14ac:dyDescent="0.15">
      <c r="A989" s="5" t="s">
        <v>35</v>
      </c>
      <c r="B989" s="5" t="s">
        <v>3078</v>
      </c>
      <c r="C989" s="9">
        <v>42838</v>
      </c>
      <c r="D989" s="5" t="s">
        <v>16</v>
      </c>
      <c r="E989" s="5" t="s">
        <v>3079</v>
      </c>
      <c r="F989" s="6">
        <v>2730</v>
      </c>
    </row>
    <row r="990" spans="1:6" x14ac:dyDescent="0.15">
      <c r="A990" s="5" t="s">
        <v>35</v>
      </c>
      <c r="B990" s="5" t="s">
        <v>3085</v>
      </c>
      <c r="C990" s="9">
        <v>42846</v>
      </c>
      <c r="D990" s="5" t="s">
        <v>16</v>
      </c>
      <c r="E990" s="5" t="s">
        <v>3086</v>
      </c>
      <c r="F990" s="6">
        <v>9750</v>
      </c>
    </row>
    <row r="991" spans="1:6" x14ac:dyDescent="0.15">
      <c r="A991" s="5" t="s">
        <v>43</v>
      </c>
      <c r="B991" s="5" t="s">
        <v>4789</v>
      </c>
      <c r="C991" s="9">
        <v>42846</v>
      </c>
      <c r="D991" s="5" t="s">
        <v>16</v>
      </c>
      <c r="E991" s="5" t="s">
        <v>1854</v>
      </c>
      <c r="F991" s="6">
        <v>5820</v>
      </c>
    </row>
    <row r="992" spans="1:6" x14ac:dyDescent="0.15">
      <c r="A992" s="5" t="s">
        <v>37</v>
      </c>
      <c r="B992" s="5" t="s">
        <v>6650</v>
      </c>
      <c r="C992" s="9">
        <v>42846</v>
      </c>
      <c r="D992" s="5" t="s">
        <v>16</v>
      </c>
      <c r="E992" s="5" t="s">
        <v>1854</v>
      </c>
      <c r="F992" s="6">
        <v>3900</v>
      </c>
    </row>
    <row r="993" spans="1:6" x14ac:dyDescent="0.15">
      <c r="A993" s="5" t="s">
        <v>41</v>
      </c>
      <c r="B993" s="5" t="s">
        <v>1853</v>
      </c>
      <c r="C993" s="9">
        <v>42846</v>
      </c>
      <c r="D993" s="5" t="s">
        <v>16</v>
      </c>
      <c r="E993" s="5" t="s">
        <v>1854</v>
      </c>
      <c r="F993" s="6">
        <v>1940</v>
      </c>
    </row>
    <row r="994" spans="1:6" x14ac:dyDescent="0.15">
      <c r="A994" s="5" t="s">
        <v>35</v>
      </c>
      <c r="B994" s="5" t="s">
        <v>3087</v>
      </c>
      <c r="C994" s="9">
        <v>42846</v>
      </c>
      <c r="D994" s="5" t="s">
        <v>16</v>
      </c>
      <c r="E994" s="5" t="s">
        <v>1854</v>
      </c>
      <c r="F994" s="6">
        <v>1950</v>
      </c>
    </row>
    <row r="995" spans="1:6" x14ac:dyDescent="0.15">
      <c r="A995" s="5" t="s">
        <v>35</v>
      </c>
      <c r="B995" s="5" t="s">
        <v>3088</v>
      </c>
      <c r="C995" s="9">
        <v>42846</v>
      </c>
      <c r="D995" s="5" t="s">
        <v>16</v>
      </c>
      <c r="E995" s="5" t="s">
        <v>3089</v>
      </c>
      <c r="F995" s="6">
        <v>-9750</v>
      </c>
    </row>
    <row r="996" spans="1:6" x14ac:dyDescent="0.15">
      <c r="A996" s="5" t="s">
        <v>35</v>
      </c>
      <c r="B996" s="5" t="s">
        <v>3090</v>
      </c>
      <c r="C996" s="9">
        <v>42846</v>
      </c>
      <c r="D996" s="5" t="s">
        <v>16</v>
      </c>
      <c r="E996" s="5" t="s">
        <v>3091</v>
      </c>
      <c r="F996" s="6">
        <v>9750</v>
      </c>
    </row>
    <row r="997" spans="1:6" x14ac:dyDescent="0.15">
      <c r="A997" s="5" t="s">
        <v>43</v>
      </c>
      <c r="B997" s="5" t="s">
        <v>4796</v>
      </c>
      <c r="C997" s="9">
        <v>42851</v>
      </c>
      <c r="D997" s="5" t="s">
        <v>16</v>
      </c>
      <c r="E997" s="5" t="s">
        <v>4797</v>
      </c>
      <c r="F997" s="6">
        <v>242.5</v>
      </c>
    </row>
    <row r="998" spans="1:6" x14ac:dyDescent="0.15">
      <c r="A998" s="5" t="s">
        <v>37</v>
      </c>
      <c r="B998" s="5" t="s">
        <v>6655</v>
      </c>
      <c r="C998" s="9">
        <v>42851</v>
      </c>
      <c r="D998" s="5" t="s">
        <v>16</v>
      </c>
      <c r="E998" s="5" t="s">
        <v>4799</v>
      </c>
      <c r="F998" s="6">
        <v>2047.5</v>
      </c>
    </row>
    <row r="999" spans="1:6" x14ac:dyDescent="0.15">
      <c r="A999" s="5" t="s">
        <v>43</v>
      </c>
      <c r="B999" s="5" t="s">
        <v>4798</v>
      </c>
      <c r="C999" s="9">
        <v>42851</v>
      </c>
      <c r="D999" s="5" t="s">
        <v>16</v>
      </c>
      <c r="E999" s="5" t="s">
        <v>4799</v>
      </c>
      <c r="F999" s="6">
        <v>194</v>
      </c>
    </row>
    <row r="1000" spans="1:6" x14ac:dyDescent="0.15">
      <c r="A1000" s="5" t="s">
        <v>37</v>
      </c>
      <c r="B1000" s="5" t="s">
        <v>6651</v>
      </c>
      <c r="C1000" s="9">
        <v>42849</v>
      </c>
      <c r="D1000" s="5" t="s">
        <v>16</v>
      </c>
      <c r="E1000" s="5" t="s">
        <v>3097</v>
      </c>
      <c r="F1000" s="6">
        <v>15600</v>
      </c>
    </row>
    <row r="1001" spans="1:6" x14ac:dyDescent="0.15">
      <c r="A1001" s="5" t="s">
        <v>35</v>
      </c>
      <c r="B1001" s="5" t="s">
        <v>3096</v>
      </c>
      <c r="C1001" s="9">
        <v>42849</v>
      </c>
      <c r="D1001" s="5" t="s">
        <v>16</v>
      </c>
      <c r="E1001" s="5" t="s">
        <v>3097</v>
      </c>
      <c r="F1001" s="6">
        <v>7800</v>
      </c>
    </row>
    <row r="1002" spans="1:6" x14ac:dyDescent="0.15">
      <c r="A1002" s="5" t="s">
        <v>37</v>
      </c>
      <c r="B1002" s="5" t="s">
        <v>6652</v>
      </c>
      <c r="C1002" s="9">
        <v>42850</v>
      </c>
      <c r="D1002" s="5" t="s">
        <v>16</v>
      </c>
      <c r="E1002" s="5" t="s">
        <v>5734</v>
      </c>
      <c r="F1002" s="6">
        <v>5557.5</v>
      </c>
    </row>
    <row r="1003" spans="1:6" x14ac:dyDescent="0.15">
      <c r="A1003" s="5" t="s">
        <v>42</v>
      </c>
      <c r="B1003" s="5" t="s">
        <v>5787</v>
      </c>
      <c r="C1003" s="9">
        <v>42850</v>
      </c>
      <c r="D1003" s="5" t="s">
        <v>16</v>
      </c>
      <c r="E1003" s="5" t="s">
        <v>5734</v>
      </c>
      <c r="F1003" s="6">
        <v>2475</v>
      </c>
    </row>
    <row r="1004" spans="1:6" x14ac:dyDescent="0.15">
      <c r="A1004" s="5" t="s">
        <v>5730</v>
      </c>
      <c r="B1004" s="5" t="s">
        <v>5733</v>
      </c>
      <c r="C1004" s="9">
        <v>42850</v>
      </c>
      <c r="D1004" s="5" t="s">
        <v>16</v>
      </c>
      <c r="E1004" s="5" t="s">
        <v>5734</v>
      </c>
      <c r="F1004" s="6">
        <v>800</v>
      </c>
    </row>
    <row r="1005" spans="1:6" x14ac:dyDescent="0.15">
      <c r="A1005" s="5" t="s">
        <v>35</v>
      </c>
      <c r="B1005" s="5" t="s">
        <v>3092</v>
      </c>
      <c r="C1005" s="9">
        <v>42846</v>
      </c>
      <c r="D1005" s="5" t="s">
        <v>16</v>
      </c>
      <c r="E1005" s="5" t="s">
        <v>3093</v>
      </c>
      <c r="F1005" s="6">
        <v>2355</v>
      </c>
    </row>
    <row r="1006" spans="1:6" x14ac:dyDescent="0.15">
      <c r="A1006" s="5" t="s">
        <v>35</v>
      </c>
      <c r="B1006" s="5" t="s">
        <v>3092</v>
      </c>
      <c r="C1006" s="9">
        <v>42846</v>
      </c>
      <c r="D1006" s="5" t="s">
        <v>16</v>
      </c>
      <c r="E1006" s="5" t="s">
        <v>3093</v>
      </c>
      <c r="F1006" s="6">
        <v>180</v>
      </c>
    </row>
    <row r="1007" spans="1:6" x14ac:dyDescent="0.15">
      <c r="A1007" s="5" t="s">
        <v>37</v>
      </c>
      <c r="B1007" s="5" t="s">
        <v>6653</v>
      </c>
      <c r="C1007" s="9">
        <v>42850</v>
      </c>
      <c r="D1007" s="5" t="s">
        <v>16</v>
      </c>
      <c r="E1007" s="5" t="s">
        <v>4791</v>
      </c>
      <c r="F1007" s="6">
        <v>97.5</v>
      </c>
    </row>
    <row r="1008" spans="1:6" x14ac:dyDescent="0.15">
      <c r="A1008" s="5" t="s">
        <v>43</v>
      </c>
      <c r="B1008" s="5" t="s">
        <v>4790</v>
      </c>
      <c r="C1008" s="9">
        <v>42850</v>
      </c>
      <c r="D1008" s="5" t="s">
        <v>16</v>
      </c>
      <c r="E1008" s="5" t="s">
        <v>4791</v>
      </c>
      <c r="F1008" s="6">
        <v>194</v>
      </c>
    </row>
    <row r="1009" spans="1:6" x14ac:dyDescent="0.15">
      <c r="A1009" s="5" t="s">
        <v>37</v>
      </c>
      <c r="B1009" s="5" t="s">
        <v>6654</v>
      </c>
      <c r="C1009" s="9">
        <v>42850</v>
      </c>
      <c r="D1009" s="5" t="s">
        <v>16</v>
      </c>
      <c r="E1009" s="5" t="s">
        <v>4793</v>
      </c>
      <c r="F1009" s="6">
        <v>97.5</v>
      </c>
    </row>
    <row r="1010" spans="1:6" x14ac:dyDescent="0.15">
      <c r="A1010" s="5" t="s">
        <v>43</v>
      </c>
      <c r="B1010" s="5" t="s">
        <v>4792</v>
      </c>
      <c r="C1010" s="9">
        <v>42850</v>
      </c>
      <c r="D1010" s="5" t="s">
        <v>16</v>
      </c>
      <c r="E1010" s="5" t="s">
        <v>4793</v>
      </c>
      <c r="F1010" s="6">
        <v>48.5</v>
      </c>
    </row>
    <row r="1011" spans="1:6" x14ac:dyDescent="0.15">
      <c r="A1011" s="5" t="s">
        <v>5730</v>
      </c>
      <c r="B1011" s="5" t="s">
        <v>5735</v>
      </c>
      <c r="C1011" s="9">
        <v>42850</v>
      </c>
      <c r="D1011" s="5" t="s">
        <v>16</v>
      </c>
      <c r="E1011" s="5" t="s">
        <v>5736</v>
      </c>
      <c r="F1011" s="6">
        <v>1100</v>
      </c>
    </row>
    <row r="1012" spans="1:6" x14ac:dyDescent="0.15">
      <c r="A1012" s="5" t="s">
        <v>43</v>
      </c>
      <c r="B1012" s="5" t="s">
        <v>4794</v>
      </c>
      <c r="C1012" s="9">
        <v>42850</v>
      </c>
      <c r="D1012" s="5" t="s">
        <v>16</v>
      </c>
      <c r="E1012" s="5" t="s">
        <v>4795</v>
      </c>
      <c r="F1012" s="6">
        <v>194</v>
      </c>
    </row>
    <row r="1013" spans="1:6" x14ac:dyDescent="0.15">
      <c r="A1013" s="5" t="s">
        <v>35</v>
      </c>
      <c r="B1013" s="5" t="s">
        <v>3094</v>
      </c>
      <c r="C1013" s="9">
        <v>42846</v>
      </c>
      <c r="D1013" s="5" t="s">
        <v>16</v>
      </c>
      <c r="E1013" s="5" t="s">
        <v>3095</v>
      </c>
      <c r="F1013" s="6">
        <v>97.5</v>
      </c>
    </row>
    <row r="1014" spans="1:6" x14ac:dyDescent="0.15">
      <c r="A1014" s="5" t="s">
        <v>37</v>
      </c>
      <c r="B1014" s="5" t="s">
        <v>6656</v>
      </c>
      <c r="C1014" s="9">
        <v>42851</v>
      </c>
      <c r="D1014" s="5" t="s">
        <v>16</v>
      </c>
      <c r="E1014" s="5" t="s">
        <v>6657</v>
      </c>
      <c r="F1014" s="6">
        <v>195</v>
      </c>
    </row>
    <row r="1015" spans="1:6" x14ac:dyDescent="0.15">
      <c r="A1015" s="5" t="s">
        <v>37</v>
      </c>
      <c r="B1015" s="5" t="s">
        <v>6658</v>
      </c>
      <c r="C1015" s="9">
        <v>42852</v>
      </c>
      <c r="D1015" s="5" t="s">
        <v>16</v>
      </c>
      <c r="E1015" s="5" t="s">
        <v>6659</v>
      </c>
      <c r="F1015" s="6">
        <v>27885</v>
      </c>
    </row>
    <row r="1016" spans="1:6" x14ac:dyDescent="0.15">
      <c r="A1016" s="5" t="s">
        <v>37</v>
      </c>
      <c r="B1016" s="5" t="s">
        <v>6660</v>
      </c>
      <c r="C1016" s="9">
        <v>42853</v>
      </c>
      <c r="D1016" s="5" t="s">
        <v>16</v>
      </c>
      <c r="E1016" s="5" t="s">
        <v>6661</v>
      </c>
      <c r="F1016" s="6">
        <v>27787.5</v>
      </c>
    </row>
    <row r="1017" spans="1:6" x14ac:dyDescent="0.15">
      <c r="A1017" s="5" t="s">
        <v>35</v>
      </c>
      <c r="B1017" s="5" t="s">
        <v>3098</v>
      </c>
      <c r="C1017" s="9">
        <v>42853</v>
      </c>
      <c r="D1017" s="5" t="s">
        <v>16</v>
      </c>
      <c r="E1017" s="5" t="s">
        <v>3099</v>
      </c>
      <c r="F1017" s="6">
        <v>780</v>
      </c>
    </row>
    <row r="1018" spans="1:6" x14ac:dyDescent="0.15">
      <c r="A1018" s="5" t="s">
        <v>43</v>
      </c>
      <c r="B1018" s="5" t="s">
        <v>4800</v>
      </c>
      <c r="C1018" s="9">
        <v>42853</v>
      </c>
      <c r="D1018" s="5" t="s">
        <v>16</v>
      </c>
      <c r="E1018" s="5" t="s">
        <v>4801</v>
      </c>
      <c r="F1018" s="6">
        <v>970</v>
      </c>
    </row>
    <row r="1019" spans="1:6" x14ac:dyDescent="0.15">
      <c r="A1019" s="5" t="s">
        <v>37</v>
      </c>
      <c r="B1019" s="5" t="s">
        <v>6662</v>
      </c>
      <c r="C1019" s="9">
        <v>42853</v>
      </c>
      <c r="D1019" s="5" t="s">
        <v>16</v>
      </c>
      <c r="E1019" s="5" t="s">
        <v>3101</v>
      </c>
      <c r="F1019" s="6">
        <v>25252.5</v>
      </c>
    </row>
    <row r="1020" spans="1:6" x14ac:dyDescent="0.15">
      <c r="A1020" s="5" t="s">
        <v>35</v>
      </c>
      <c r="B1020" s="5" t="s">
        <v>3100</v>
      </c>
      <c r="C1020" s="9">
        <v>42853</v>
      </c>
      <c r="D1020" s="5" t="s">
        <v>16</v>
      </c>
      <c r="E1020" s="5" t="s">
        <v>3101</v>
      </c>
      <c r="F1020" s="6">
        <v>4485</v>
      </c>
    </row>
    <row r="1021" spans="1:6" x14ac:dyDescent="0.15">
      <c r="A1021" s="5" t="s">
        <v>43</v>
      </c>
      <c r="B1021" s="5" t="s">
        <v>4804</v>
      </c>
      <c r="C1021" s="9">
        <v>42860</v>
      </c>
      <c r="D1021" s="5" t="s">
        <v>16</v>
      </c>
      <c r="E1021" s="5" t="s">
        <v>4805</v>
      </c>
      <c r="F1021" s="6">
        <v>5820</v>
      </c>
    </row>
    <row r="1022" spans="1:6" x14ac:dyDescent="0.15">
      <c r="A1022" s="5" t="s">
        <v>37</v>
      </c>
      <c r="B1022" s="5" t="s">
        <v>6664</v>
      </c>
      <c r="C1022" s="9">
        <v>42860</v>
      </c>
      <c r="D1022" s="5" t="s">
        <v>16</v>
      </c>
      <c r="E1022" s="5" t="s">
        <v>4805</v>
      </c>
      <c r="F1022" s="6">
        <v>3900</v>
      </c>
    </row>
    <row r="1023" spans="1:6" x14ac:dyDescent="0.15">
      <c r="A1023" s="5" t="s">
        <v>37</v>
      </c>
      <c r="B1023" s="5" t="s">
        <v>6667</v>
      </c>
      <c r="C1023" s="9">
        <v>42863</v>
      </c>
      <c r="D1023" s="5" t="s">
        <v>16</v>
      </c>
      <c r="E1023" s="5" t="s">
        <v>3107</v>
      </c>
      <c r="F1023" s="6">
        <v>12285</v>
      </c>
    </row>
    <row r="1024" spans="1:6" x14ac:dyDescent="0.15">
      <c r="A1024" s="5" t="s">
        <v>35</v>
      </c>
      <c r="B1024" s="5" t="s">
        <v>3106</v>
      </c>
      <c r="C1024" s="9">
        <v>42863</v>
      </c>
      <c r="D1024" s="5" t="s">
        <v>16</v>
      </c>
      <c r="E1024" s="5" t="s">
        <v>3107</v>
      </c>
      <c r="F1024" s="6">
        <v>8190</v>
      </c>
    </row>
    <row r="1025" spans="1:6" x14ac:dyDescent="0.15">
      <c r="A1025" s="5" t="s">
        <v>51</v>
      </c>
      <c r="B1025" s="5" t="s">
        <v>4206</v>
      </c>
      <c r="C1025" s="9">
        <v>42863</v>
      </c>
      <c r="D1025" s="5" t="s">
        <v>16</v>
      </c>
      <c r="E1025" s="5" t="s">
        <v>3107</v>
      </c>
      <c r="F1025" s="6">
        <v>6142.5</v>
      </c>
    </row>
    <row r="1026" spans="1:6" x14ac:dyDescent="0.15">
      <c r="A1026" s="5" t="s">
        <v>44</v>
      </c>
      <c r="B1026" s="5" t="s">
        <v>4337</v>
      </c>
      <c r="C1026" s="9">
        <v>42860</v>
      </c>
      <c r="D1026" s="5" t="s">
        <v>16</v>
      </c>
      <c r="E1026" s="5" t="s">
        <v>3103</v>
      </c>
      <c r="F1026" s="6">
        <v>15600</v>
      </c>
    </row>
    <row r="1027" spans="1:6" x14ac:dyDescent="0.15">
      <c r="A1027" s="5" t="s">
        <v>35</v>
      </c>
      <c r="B1027" s="5" t="s">
        <v>3102</v>
      </c>
      <c r="C1027" s="9">
        <v>42860</v>
      </c>
      <c r="D1027" s="5" t="s">
        <v>16</v>
      </c>
      <c r="E1027" s="5" t="s">
        <v>3103</v>
      </c>
      <c r="F1027" s="6">
        <v>3900</v>
      </c>
    </row>
    <row r="1028" spans="1:6" x14ac:dyDescent="0.15">
      <c r="A1028" s="5" t="s">
        <v>43</v>
      </c>
      <c r="B1028" s="5" t="s">
        <v>4806</v>
      </c>
      <c r="C1028" s="9">
        <v>42860</v>
      </c>
      <c r="D1028" s="5" t="s">
        <v>16</v>
      </c>
      <c r="E1028" s="5" t="s">
        <v>3103</v>
      </c>
      <c r="F1028" s="6">
        <v>1940</v>
      </c>
    </row>
    <row r="1029" spans="1:6" x14ac:dyDescent="0.15">
      <c r="A1029" s="5" t="s">
        <v>42</v>
      </c>
      <c r="B1029" s="5" t="s">
        <v>5789</v>
      </c>
      <c r="C1029" s="9">
        <v>42860</v>
      </c>
      <c r="D1029" s="5" t="s">
        <v>16</v>
      </c>
      <c r="E1029" s="5" t="s">
        <v>3103</v>
      </c>
      <c r="F1029" s="6">
        <v>1500</v>
      </c>
    </row>
    <row r="1030" spans="1:6" x14ac:dyDescent="0.15">
      <c r="A1030" s="5" t="s">
        <v>42</v>
      </c>
      <c r="B1030" s="5" t="s">
        <v>5790</v>
      </c>
      <c r="C1030" s="9">
        <v>42860</v>
      </c>
      <c r="D1030" s="5" t="s">
        <v>16</v>
      </c>
      <c r="E1030" s="5" t="s">
        <v>5791</v>
      </c>
      <c r="F1030" s="6">
        <v>5025</v>
      </c>
    </row>
    <row r="1031" spans="1:6" x14ac:dyDescent="0.15">
      <c r="A1031" s="5" t="s">
        <v>37</v>
      </c>
      <c r="B1031" s="5" t="s">
        <v>6665</v>
      </c>
      <c r="C1031" s="9">
        <v>42860</v>
      </c>
      <c r="D1031" s="5" t="s">
        <v>16</v>
      </c>
      <c r="E1031" s="5" t="s">
        <v>6666</v>
      </c>
      <c r="F1031" s="6">
        <v>292.5</v>
      </c>
    </row>
    <row r="1032" spans="1:6" x14ac:dyDescent="0.15">
      <c r="A1032" s="5" t="s">
        <v>37</v>
      </c>
      <c r="B1032" s="5" t="s">
        <v>6663</v>
      </c>
      <c r="C1032" s="9">
        <v>42859</v>
      </c>
      <c r="D1032" s="5" t="s">
        <v>16</v>
      </c>
      <c r="E1032" s="5" t="s">
        <v>4803</v>
      </c>
      <c r="F1032" s="6">
        <v>7800</v>
      </c>
    </row>
    <row r="1033" spans="1:6" x14ac:dyDescent="0.15">
      <c r="A1033" s="5" t="s">
        <v>42</v>
      </c>
      <c r="B1033" s="5" t="s">
        <v>5788</v>
      </c>
      <c r="C1033" s="9">
        <v>42859</v>
      </c>
      <c r="D1033" s="5" t="s">
        <v>16</v>
      </c>
      <c r="E1033" s="5" t="s">
        <v>4803</v>
      </c>
      <c r="F1033" s="6">
        <v>1500</v>
      </c>
    </row>
    <row r="1034" spans="1:6" x14ac:dyDescent="0.15">
      <c r="A1034" s="5" t="s">
        <v>43</v>
      </c>
      <c r="B1034" s="5" t="s">
        <v>4802</v>
      </c>
      <c r="C1034" s="9">
        <v>42859</v>
      </c>
      <c r="D1034" s="5" t="s">
        <v>16</v>
      </c>
      <c r="E1034" s="5" t="s">
        <v>4803</v>
      </c>
      <c r="F1034" s="6">
        <v>4365</v>
      </c>
    </row>
    <row r="1035" spans="1:6" x14ac:dyDescent="0.15">
      <c r="A1035" s="5" t="s">
        <v>35</v>
      </c>
      <c r="B1035" s="5" t="s">
        <v>3104</v>
      </c>
      <c r="C1035" s="9">
        <v>42860</v>
      </c>
      <c r="D1035" s="5" t="s">
        <v>16</v>
      </c>
      <c r="E1035" s="5" t="s">
        <v>3105</v>
      </c>
      <c r="F1035" s="6">
        <v>1950</v>
      </c>
    </row>
    <row r="1036" spans="1:6" x14ac:dyDescent="0.15">
      <c r="A1036" s="5" t="s">
        <v>5730</v>
      </c>
      <c r="B1036" s="5" t="s">
        <v>5737</v>
      </c>
      <c r="C1036" s="9">
        <v>42863</v>
      </c>
      <c r="D1036" s="5" t="s">
        <v>16</v>
      </c>
      <c r="E1036" s="5" t="s">
        <v>5738</v>
      </c>
      <c r="F1036" s="6">
        <v>2300</v>
      </c>
    </row>
    <row r="1037" spans="1:6" x14ac:dyDescent="0.15">
      <c r="A1037" s="5" t="s">
        <v>43</v>
      </c>
      <c r="B1037" s="5" t="s">
        <v>4807</v>
      </c>
      <c r="C1037" s="9">
        <v>42863</v>
      </c>
      <c r="D1037" s="5" t="s">
        <v>16</v>
      </c>
      <c r="E1037" s="5" t="s">
        <v>4808</v>
      </c>
      <c r="F1037" s="6">
        <v>970</v>
      </c>
    </row>
    <row r="1038" spans="1:6" x14ac:dyDescent="0.15">
      <c r="A1038" s="5" t="s">
        <v>37</v>
      </c>
      <c r="B1038" s="5" t="s">
        <v>6668</v>
      </c>
      <c r="C1038" s="9">
        <v>42863</v>
      </c>
      <c r="D1038" s="5" t="s">
        <v>16</v>
      </c>
      <c r="E1038" s="5" t="s">
        <v>4808</v>
      </c>
      <c r="F1038" s="6">
        <v>975</v>
      </c>
    </row>
    <row r="1039" spans="1:6" x14ac:dyDescent="0.15">
      <c r="A1039" s="5" t="s">
        <v>37</v>
      </c>
      <c r="B1039" s="5" t="s">
        <v>6669</v>
      </c>
      <c r="C1039" s="9">
        <v>42863</v>
      </c>
      <c r="D1039" s="5" t="s">
        <v>16</v>
      </c>
      <c r="E1039" s="5" t="s">
        <v>6670</v>
      </c>
      <c r="F1039" s="6">
        <v>1950</v>
      </c>
    </row>
    <row r="1040" spans="1:6" x14ac:dyDescent="0.15">
      <c r="A1040" s="5" t="s">
        <v>43</v>
      </c>
      <c r="B1040" s="5" t="s">
        <v>4809</v>
      </c>
      <c r="C1040" s="9">
        <v>42864</v>
      </c>
      <c r="D1040" s="5" t="s">
        <v>16</v>
      </c>
      <c r="E1040" s="5" t="s">
        <v>4810</v>
      </c>
      <c r="F1040" s="6">
        <v>4365</v>
      </c>
    </row>
    <row r="1041" spans="1:6" x14ac:dyDescent="0.15">
      <c r="A1041" s="5" t="s">
        <v>42</v>
      </c>
      <c r="B1041" s="5" t="s">
        <v>5792</v>
      </c>
      <c r="C1041" s="9">
        <v>42864</v>
      </c>
      <c r="D1041" s="5" t="s">
        <v>16</v>
      </c>
      <c r="E1041" s="5" t="s">
        <v>4810</v>
      </c>
      <c r="F1041" s="6">
        <v>3000</v>
      </c>
    </row>
    <row r="1042" spans="1:6" x14ac:dyDescent="0.15">
      <c r="A1042" s="5" t="s">
        <v>37</v>
      </c>
      <c r="B1042" s="5" t="s">
        <v>6671</v>
      </c>
      <c r="C1042" s="9">
        <v>42864</v>
      </c>
      <c r="D1042" s="5" t="s">
        <v>16</v>
      </c>
      <c r="E1042" s="5" t="s">
        <v>4810</v>
      </c>
      <c r="F1042" s="6">
        <v>9750</v>
      </c>
    </row>
    <row r="1043" spans="1:6" x14ac:dyDescent="0.15">
      <c r="A1043" s="5" t="s">
        <v>37</v>
      </c>
      <c r="B1043" s="5" t="s">
        <v>6672</v>
      </c>
      <c r="C1043" s="9">
        <v>42864</v>
      </c>
      <c r="D1043" s="5" t="s">
        <v>16</v>
      </c>
      <c r="E1043" s="5" t="s">
        <v>6673</v>
      </c>
      <c r="F1043" s="6">
        <v>7800</v>
      </c>
    </row>
    <row r="1044" spans="1:6" x14ac:dyDescent="0.15">
      <c r="A1044" s="5" t="s">
        <v>35</v>
      </c>
      <c r="B1044" s="5" t="s">
        <v>3108</v>
      </c>
      <c r="C1044" s="9">
        <v>42864</v>
      </c>
      <c r="D1044" s="5" t="s">
        <v>16</v>
      </c>
      <c r="E1044" s="5" t="s">
        <v>1856</v>
      </c>
      <c r="F1044" s="6">
        <v>3412.5</v>
      </c>
    </row>
    <row r="1045" spans="1:6" x14ac:dyDescent="0.15">
      <c r="A1045" s="5" t="s">
        <v>40</v>
      </c>
      <c r="B1045" s="5" t="s">
        <v>2374</v>
      </c>
      <c r="C1045" s="9">
        <v>42864</v>
      </c>
      <c r="D1045" s="5" t="s">
        <v>16</v>
      </c>
      <c r="E1045" s="5" t="s">
        <v>1856</v>
      </c>
      <c r="F1045" s="6">
        <v>1575</v>
      </c>
    </row>
    <row r="1046" spans="1:6" x14ac:dyDescent="0.15">
      <c r="A1046" s="5" t="s">
        <v>41</v>
      </c>
      <c r="B1046" s="5" t="s">
        <v>1855</v>
      </c>
      <c r="C1046" s="9">
        <v>42864</v>
      </c>
      <c r="D1046" s="5" t="s">
        <v>16</v>
      </c>
      <c r="E1046" s="5" t="s">
        <v>1856</v>
      </c>
      <c r="F1046" s="6">
        <v>388</v>
      </c>
    </row>
    <row r="1047" spans="1:6" x14ac:dyDescent="0.15">
      <c r="A1047" s="5" t="s">
        <v>35</v>
      </c>
      <c r="B1047" s="5" t="s">
        <v>3116</v>
      </c>
      <c r="C1047" s="9">
        <v>42877</v>
      </c>
      <c r="D1047" s="5" t="s">
        <v>16</v>
      </c>
      <c r="E1047" s="5" t="s">
        <v>3117</v>
      </c>
      <c r="F1047" s="6">
        <v>25350</v>
      </c>
    </row>
    <row r="1048" spans="1:6" x14ac:dyDescent="0.15">
      <c r="A1048" s="5" t="s">
        <v>43</v>
      </c>
      <c r="B1048" s="5" t="s">
        <v>4811</v>
      </c>
      <c r="C1048" s="9">
        <v>42865</v>
      </c>
      <c r="D1048" s="5" t="s">
        <v>16</v>
      </c>
      <c r="E1048" s="5" t="s">
        <v>4812</v>
      </c>
      <c r="F1048" s="6">
        <v>5820</v>
      </c>
    </row>
    <row r="1049" spans="1:6" x14ac:dyDescent="0.15">
      <c r="A1049" s="5" t="s">
        <v>37</v>
      </c>
      <c r="B1049" s="5" t="s">
        <v>6674</v>
      </c>
      <c r="C1049" s="9">
        <v>42866</v>
      </c>
      <c r="D1049" s="5" t="s">
        <v>16</v>
      </c>
      <c r="E1049" s="5" t="s">
        <v>4814</v>
      </c>
      <c r="F1049" s="6">
        <v>13650</v>
      </c>
    </row>
    <row r="1050" spans="1:6" x14ac:dyDescent="0.15">
      <c r="A1050" s="5" t="s">
        <v>43</v>
      </c>
      <c r="B1050" s="5" t="s">
        <v>4813</v>
      </c>
      <c r="C1050" s="9">
        <v>42866</v>
      </c>
      <c r="D1050" s="5" t="s">
        <v>16</v>
      </c>
      <c r="E1050" s="5" t="s">
        <v>4814</v>
      </c>
      <c r="F1050" s="6">
        <v>970</v>
      </c>
    </row>
    <row r="1051" spans="1:6" x14ac:dyDescent="0.15">
      <c r="A1051" s="5" t="s">
        <v>42</v>
      </c>
      <c r="B1051" s="5" t="s">
        <v>5793</v>
      </c>
      <c r="C1051" s="9">
        <v>42866</v>
      </c>
      <c r="D1051" s="5" t="s">
        <v>16</v>
      </c>
      <c r="E1051" s="5" t="s">
        <v>5794</v>
      </c>
      <c r="F1051" s="6">
        <v>525</v>
      </c>
    </row>
    <row r="1052" spans="1:6" x14ac:dyDescent="0.15">
      <c r="A1052" s="5" t="s">
        <v>37</v>
      </c>
      <c r="B1052" s="5" t="s">
        <v>6675</v>
      </c>
      <c r="C1052" s="9">
        <v>42866</v>
      </c>
      <c r="D1052" s="5" t="s">
        <v>16</v>
      </c>
      <c r="E1052" s="5" t="s">
        <v>5794</v>
      </c>
      <c r="F1052" s="6">
        <v>682.5</v>
      </c>
    </row>
    <row r="1053" spans="1:6" x14ac:dyDescent="0.15">
      <c r="A1053" s="5" t="s">
        <v>37</v>
      </c>
      <c r="B1053" s="5" t="s">
        <v>6676</v>
      </c>
      <c r="C1053" s="9">
        <v>42866</v>
      </c>
      <c r="D1053" s="5" t="s">
        <v>16</v>
      </c>
      <c r="E1053" s="5" t="s">
        <v>6677</v>
      </c>
      <c r="F1053" s="6">
        <v>6532.5</v>
      </c>
    </row>
    <row r="1054" spans="1:6" x14ac:dyDescent="0.15">
      <c r="A1054" s="5" t="s">
        <v>37</v>
      </c>
      <c r="B1054" s="5" t="s">
        <v>6678</v>
      </c>
      <c r="C1054" s="9">
        <v>42866</v>
      </c>
      <c r="D1054" s="5" t="s">
        <v>16</v>
      </c>
      <c r="E1054" s="5" t="s">
        <v>6679</v>
      </c>
      <c r="F1054" s="6">
        <v>5850</v>
      </c>
    </row>
    <row r="1055" spans="1:6" x14ac:dyDescent="0.15">
      <c r="A1055" s="5" t="s">
        <v>58</v>
      </c>
      <c r="B1055" s="5" t="s">
        <v>6176</v>
      </c>
      <c r="C1055" s="9">
        <v>42870</v>
      </c>
      <c r="D1055" s="5" t="s">
        <v>16</v>
      </c>
      <c r="E1055" s="5" t="s">
        <v>6177</v>
      </c>
      <c r="F1055" s="6">
        <v>675</v>
      </c>
    </row>
    <row r="1056" spans="1:6" x14ac:dyDescent="0.15">
      <c r="A1056" s="5" t="s">
        <v>43</v>
      </c>
      <c r="B1056" s="5" t="s">
        <v>4815</v>
      </c>
      <c r="C1056" s="9">
        <v>42870</v>
      </c>
      <c r="D1056" s="5" t="s">
        <v>16</v>
      </c>
      <c r="E1056" s="5" t="s">
        <v>4816</v>
      </c>
      <c r="F1056" s="6">
        <v>21340</v>
      </c>
    </row>
    <row r="1057" spans="1:6" x14ac:dyDescent="0.15">
      <c r="A1057" s="5" t="s">
        <v>37</v>
      </c>
      <c r="B1057" s="5" t="s">
        <v>6680</v>
      </c>
      <c r="C1057" s="9">
        <v>42870</v>
      </c>
      <c r="D1057" s="5" t="s">
        <v>16</v>
      </c>
      <c r="E1057" s="5" t="s">
        <v>4816</v>
      </c>
      <c r="F1057" s="6">
        <v>3900</v>
      </c>
    </row>
    <row r="1058" spans="1:6" x14ac:dyDescent="0.15">
      <c r="A1058" s="5" t="s">
        <v>37</v>
      </c>
      <c r="B1058" s="5" t="s">
        <v>6681</v>
      </c>
      <c r="C1058" s="9">
        <v>42870</v>
      </c>
      <c r="D1058" s="5" t="s">
        <v>16</v>
      </c>
      <c r="E1058" s="5" t="s">
        <v>6682</v>
      </c>
      <c r="F1058" s="6">
        <v>1950</v>
      </c>
    </row>
    <row r="1059" spans="1:6" x14ac:dyDescent="0.15">
      <c r="A1059" s="5" t="s">
        <v>35</v>
      </c>
      <c r="B1059" s="5" t="s">
        <v>3109</v>
      </c>
      <c r="C1059" s="9">
        <v>42870</v>
      </c>
      <c r="D1059" s="5" t="s">
        <v>16</v>
      </c>
      <c r="E1059" s="5" t="s">
        <v>3110</v>
      </c>
      <c r="F1059" s="6">
        <v>585</v>
      </c>
    </row>
    <row r="1060" spans="1:6" x14ac:dyDescent="0.15">
      <c r="A1060" s="5" t="s">
        <v>43</v>
      </c>
      <c r="B1060" s="5" t="s">
        <v>4819</v>
      </c>
      <c r="C1060" s="9">
        <v>42877</v>
      </c>
      <c r="D1060" s="5" t="s">
        <v>16</v>
      </c>
      <c r="E1060" s="5" t="s">
        <v>4820</v>
      </c>
      <c r="F1060" s="6">
        <v>9700</v>
      </c>
    </row>
    <row r="1061" spans="1:6" x14ac:dyDescent="0.15">
      <c r="A1061" s="5" t="s">
        <v>44</v>
      </c>
      <c r="B1061" s="5" t="s">
        <v>4338</v>
      </c>
      <c r="C1061" s="9">
        <v>42871</v>
      </c>
      <c r="D1061" s="5" t="s">
        <v>16</v>
      </c>
      <c r="E1061" s="5" t="s">
        <v>4339</v>
      </c>
      <c r="F1061" s="6">
        <v>25350</v>
      </c>
    </row>
    <row r="1062" spans="1:6" x14ac:dyDescent="0.15">
      <c r="A1062" s="5" t="s">
        <v>40</v>
      </c>
      <c r="B1062" s="5" t="s">
        <v>2377</v>
      </c>
      <c r="C1062" s="9">
        <v>42879</v>
      </c>
      <c r="D1062" s="5" t="s">
        <v>16</v>
      </c>
      <c r="E1062" s="5" t="s">
        <v>2378</v>
      </c>
      <c r="F1062" s="6">
        <v>7500</v>
      </c>
    </row>
    <row r="1063" spans="1:6" x14ac:dyDescent="0.15">
      <c r="A1063" s="5" t="s">
        <v>35</v>
      </c>
      <c r="B1063" s="5" t="s">
        <v>3111</v>
      </c>
      <c r="C1063" s="9">
        <v>42871</v>
      </c>
      <c r="D1063" s="5" t="s">
        <v>16</v>
      </c>
      <c r="E1063" s="5" t="s">
        <v>3112</v>
      </c>
      <c r="F1063" s="6">
        <v>5265</v>
      </c>
    </row>
    <row r="1064" spans="1:6" x14ac:dyDescent="0.15">
      <c r="A1064" s="5" t="s">
        <v>40</v>
      </c>
      <c r="B1064" s="5" t="s">
        <v>2375</v>
      </c>
      <c r="C1064" s="9">
        <v>42874</v>
      </c>
      <c r="D1064" s="5" t="s">
        <v>16</v>
      </c>
      <c r="E1064" s="5" t="s">
        <v>2376</v>
      </c>
      <c r="F1064" s="6">
        <v>600</v>
      </c>
    </row>
    <row r="1065" spans="1:6" x14ac:dyDescent="0.15">
      <c r="A1065" s="5" t="s">
        <v>35</v>
      </c>
      <c r="B1065" s="5" t="s">
        <v>3115</v>
      </c>
      <c r="C1065" s="9">
        <v>42874</v>
      </c>
      <c r="D1065" s="5" t="s">
        <v>16</v>
      </c>
      <c r="E1065" s="5" t="s">
        <v>2376</v>
      </c>
      <c r="F1065" s="6">
        <v>2340</v>
      </c>
    </row>
    <row r="1066" spans="1:6" x14ac:dyDescent="0.15">
      <c r="A1066" s="5" t="s">
        <v>42</v>
      </c>
      <c r="B1066" s="5" t="s">
        <v>5795</v>
      </c>
      <c r="C1066" s="9">
        <v>42878</v>
      </c>
      <c r="D1066" s="5" t="s">
        <v>16</v>
      </c>
      <c r="E1066" s="5" t="s">
        <v>5796</v>
      </c>
      <c r="F1066" s="6">
        <v>1500</v>
      </c>
    </row>
    <row r="1067" spans="1:6" x14ac:dyDescent="0.15">
      <c r="A1067" s="5" t="s">
        <v>44</v>
      </c>
      <c r="B1067" s="5" t="s">
        <v>4340</v>
      </c>
      <c r="C1067" s="9">
        <v>42877</v>
      </c>
      <c r="D1067" s="5" t="s">
        <v>16</v>
      </c>
      <c r="E1067" s="5" t="s">
        <v>4341</v>
      </c>
      <c r="F1067" s="6">
        <v>25350</v>
      </c>
    </row>
    <row r="1068" spans="1:6" x14ac:dyDescent="0.15">
      <c r="A1068" s="5" t="s">
        <v>43</v>
      </c>
      <c r="B1068" s="5" t="s">
        <v>4817</v>
      </c>
      <c r="C1068" s="9">
        <v>42873</v>
      </c>
      <c r="D1068" s="5" t="s">
        <v>16</v>
      </c>
      <c r="E1068" s="5" t="s">
        <v>4818</v>
      </c>
      <c r="F1068" s="6">
        <v>5529</v>
      </c>
    </row>
    <row r="1069" spans="1:6" x14ac:dyDescent="0.15">
      <c r="A1069" s="5" t="s">
        <v>37</v>
      </c>
      <c r="B1069" s="5" t="s">
        <v>6685</v>
      </c>
      <c r="C1069" s="9">
        <v>42873</v>
      </c>
      <c r="D1069" s="5" t="s">
        <v>16</v>
      </c>
      <c r="E1069" s="5" t="s">
        <v>4818</v>
      </c>
      <c r="F1069" s="6">
        <v>5850</v>
      </c>
    </row>
    <row r="1070" spans="1:6" x14ac:dyDescent="0.15">
      <c r="A1070" s="5" t="s">
        <v>37</v>
      </c>
      <c r="B1070" s="5" t="s">
        <v>6690</v>
      </c>
      <c r="C1070" s="9">
        <v>42884</v>
      </c>
      <c r="D1070" s="5" t="s">
        <v>16</v>
      </c>
      <c r="E1070" s="5" t="s">
        <v>6691</v>
      </c>
      <c r="F1070" s="6">
        <v>25350</v>
      </c>
    </row>
    <row r="1071" spans="1:6" x14ac:dyDescent="0.15">
      <c r="A1071" s="5" t="s">
        <v>40</v>
      </c>
      <c r="B1071" s="5" t="s">
        <v>2381</v>
      </c>
      <c r="C1071" s="9">
        <v>42888</v>
      </c>
      <c r="D1071" s="5" t="s">
        <v>16</v>
      </c>
      <c r="E1071" s="5" t="s">
        <v>2382</v>
      </c>
      <c r="F1071" s="6">
        <v>7500</v>
      </c>
    </row>
    <row r="1072" spans="1:6" x14ac:dyDescent="0.15">
      <c r="A1072" s="5" t="s">
        <v>35</v>
      </c>
      <c r="B1072" s="5" t="s">
        <v>3125</v>
      </c>
      <c r="C1072" s="9">
        <v>42888</v>
      </c>
      <c r="D1072" s="5" t="s">
        <v>16</v>
      </c>
      <c r="E1072" s="5" t="s">
        <v>2382</v>
      </c>
      <c r="F1072" s="6">
        <v>15600</v>
      </c>
    </row>
    <row r="1073" spans="1:6" x14ac:dyDescent="0.15">
      <c r="A1073" s="5" t="s">
        <v>37</v>
      </c>
      <c r="B1073" s="5" t="s">
        <v>6692</v>
      </c>
      <c r="C1073" s="9">
        <v>42884</v>
      </c>
      <c r="D1073" s="5" t="s">
        <v>16</v>
      </c>
      <c r="E1073" s="5" t="s">
        <v>3120</v>
      </c>
      <c r="F1073" s="6">
        <v>9750</v>
      </c>
    </row>
    <row r="1074" spans="1:6" x14ac:dyDescent="0.15">
      <c r="A1074" s="5" t="s">
        <v>43</v>
      </c>
      <c r="B1074" s="5" t="s">
        <v>4825</v>
      </c>
      <c r="C1074" s="9">
        <v>42884</v>
      </c>
      <c r="D1074" s="5" t="s">
        <v>16</v>
      </c>
      <c r="E1074" s="5" t="s">
        <v>3120</v>
      </c>
      <c r="F1074" s="6">
        <v>3880</v>
      </c>
    </row>
    <row r="1075" spans="1:6" x14ac:dyDescent="0.15">
      <c r="A1075" s="5" t="s">
        <v>35</v>
      </c>
      <c r="B1075" s="5" t="s">
        <v>3119</v>
      </c>
      <c r="C1075" s="9">
        <v>42884</v>
      </c>
      <c r="D1075" s="5" t="s">
        <v>16</v>
      </c>
      <c r="E1075" s="5" t="s">
        <v>3120</v>
      </c>
      <c r="F1075" s="6">
        <v>1950</v>
      </c>
    </row>
    <row r="1076" spans="1:6" x14ac:dyDescent="0.15">
      <c r="A1076" s="5" t="s">
        <v>44</v>
      </c>
      <c r="B1076" s="5" t="s">
        <v>4342</v>
      </c>
      <c r="C1076" s="9">
        <v>42880</v>
      </c>
      <c r="D1076" s="5" t="s">
        <v>16</v>
      </c>
      <c r="E1076" s="5" t="s">
        <v>1858</v>
      </c>
      <c r="F1076" s="6">
        <v>9750</v>
      </c>
    </row>
    <row r="1077" spans="1:6" x14ac:dyDescent="0.15">
      <c r="A1077" s="5" t="s">
        <v>41</v>
      </c>
      <c r="B1077" s="5" t="s">
        <v>1857</v>
      </c>
      <c r="C1077" s="9">
        <v>42880</v>
      </c>
      <c r="D1077" s="5" t="s">
        <v>16</v>
      </c>
      <c r="E1077" s="5" t="s">
        <v>1858</v>
      </c>
      <c r="F1077" s="6">
        <v>3880</v>
      </c>
    </row>
    <row r="1078" spans="1:6" x14ac:dyDescent="0.15">
      <c r="A1078" s="5" t="s">
        <v>51</v>
      </c>
      <c r="B1078" s="5" t="s">
        <v>4207</v>
      </c>
      <c r="C1078" s="9">
        <v>42879</v>
      </c>
      <c r="D1078" s="5" t="s">
        <v>16</v>
      </c>
      <c r="E1078" s="5" t="s">
        <v>4208</v>
      </c>
      <c r="F1078" s="6">
        <v>15015</v>
      </c>
    </row>
    <row r="1079" spans="1:6" x14ac:dyDescent="0.15">
      <c r="A1079" s="5" t="s">
        <v>51</v>
      </c>
      <c r="B1079" s="5" t="s">
        <v>4209</v>
      </c>
      <c r="C1079" s="9">
        <v>42879</v>
      </c>
      <c r="D1079" s="5" t="s">
        <v>16</v>
      </c>
      <c r="E1079" s="5" t="s">
        <v>4208</v>
      </c>
      <c r="F1079" s="6">
        <v>975</v>
      </c>
    </row>
    <row r="1080" spans="1:6" x14ac:dyDescent="0.15">
      <c r="A1080" s="5" t="s">
        <v>35</v>
      </c>
      <c r="B1080" s="5" t="s">
        <v>3118</v>
      </c>
      <c r="C1080" s="9">
        <v>42879</v>
      </c>
      <c r="D1080" s="5" t="s">
        <v>16</v>
      </c>
      <c r="E1080" s="5" t="s">
        <v>2380</v>
      </c>
      <c r="F1080" s="6">
        <v>1072.5</v>
      </c>
    </row>
    <row r="1081" spans="1:6" x14ac:dyDescent="0.15">
      <c r="A1081" s="5" t="s">
        <v>40</v>
      </c>
      <c r="B1081" s="5" t="s">
        <v>2379</v>
      </c>
      <c r="C1081" s="9">
        <v>42879</v>
      </c>
      <c r="D1081" s="5" t="s">
        <v>16</v>
      </c>
      <c r="E1081" s="5" t="s">
        <v>2380</v>
      </c>
      <c r="F1081" s="6">
        <v>300</v>
      </c>
    </row>
    <row r="1082" spans="1:6" x14ac:dyDescent="0.15">
      <c r="A1082" s="5" t="s">
        <v>43</v>
      </c>
      <c r="B1082" s="5" t="s">
        <v>4821</v>
      </c>
      <c r="C1082" s="9">
        <v>42879</v>
      </c>
      <c r="D1082" s="5" t="s">
        <v>16</v>
      </c>
      <c r="E1082" s="5" t="s">
        <v>4822</v>
      </c>
      <c r="F1082" s="6">
        <v>97</v>
      </c>
    </row>
    <row r="1083" spans="1:6" x14ac:dyDescent="0.15">
      <c r="A1083" s="5" t="s">
        <v>37</v>
      </c>
      <c r="B1083" s="5" t="s">
        <v>6686</v>
      </c>
      <c r="C1083" s="9">
        <v>42879</v>
      </c>
      <c r="D1083" s="5" t="s">
        <v>16</v>
      </c>
      <c r="E1083" s="5" t="s">
        <v>4822</v>
      </c>
      <c r="F1083" s="6">
        <v>780</v>
      </c>
    </row>
    <row r="1084" spans="1:6" x14ac:dyDescent="0.15">
      <c r="A1084" s="5" t="s">
        <v>37</v>
      </c>
      <c r="B1084" s="5" t="s">
        <v>6687</v>
      </c>
      <c r="C1084" s="9">
        <v>42879</v>
      </c>
      <c r="D1084" s="5" t="s">
        <v>16</v>
      </c>
      <c r="E1084" s="5" t="s">
        <v>5798</v>
      </c>
      <c r="F1084" s="6">
        <v>11700</v>
      </c>
    </row>
    <row r="1085" spans="1:6" x14ac:dyDescent="0.15">
      <c r="A1085" s="5" t="s">
        <v>42</v>
      </c>
      <c r="B1085" s="5" t="s">
        <v>5797</v>
      </c>
      <c r="C1085" s="9">
        <v>42879</v>
      </c>
      <c r="D1085" s="5" t="s">
        <v>16</v>
      </c>
      <c r="E1085" s="5" t="s">
        <v>5798</v>
      </c>
      <c r="F1085" s="6">
        <v>3000</v>
      </c>
    </row>
    <row r="1086" spans="1:6" x14ac:dyDescent="0.15">
      <c r="A1086" s="5" t="s">
        <v>43</v>
      </c>
      <c r="B1086" s="5" t="s">
        <v>4823</v>
      </c>
      <c r="C1086" s="9">
        <v>42880</v>
      </c>
      <c r="D1086" s="5" t="s">
        <v>16</v>
      </c>
      <c r="E1086" s="5" t="s">
        <v>4824</v>
      </c>
      <c r="F1086" s="6">
        <v>48.5</v>
      </c>
    </row>
    <row r="1087" spans="1:6" x14ac:dyDescent="0.15">
      <c r="A1087" s="5" t="s">
        <v>37</v>
      </c>
      <c r="B1087" s="5" t="s">
        <v>6683</v>
      </c>
      <c r="C1087" s="9">
        <v>42871</v>
      </c>
      <c r="D1087" s="5" t="s">
        <v>16</v>
      </c>
      <c r="E1087" s="5" t="s">
        <v>6684</v>
      </c>
      <c r="F1087" s="6">
        <v>5070</v>
      </c>
    </row>
    <row r="1088" spans="1:6" x14ac:dyDescent="0.15">
      <c r="A1088" s="5" t="s">
        <v>35</v>
      </c>
      <c r="B1088" s="5" t="s">
        <v>3113</v>
      </c>
      <c r="C1088" s="9">
        <v>42871</v>
      </c>
      <c r="D1088" s="5" t="s">
        <v>16</v>
      </c>
      <c r="E1088" s="5" t="s">
        <v>3114</v>
      </c>
      <c r="F1088" s="6">
        <v>5070</v>
      </c>
    </row>
    <row r="1089" spans="1:6" x14ac:dyDescent="0.15">
      <c r="A1089" s="5" t="s">
        <v>37</v>
      </c>
      <c r="B1089" s="5" t="s">
        <v>6688</v>
      </c>
      <c r="C1089" s="9">
        <v>42880</v>
      </c>
      <c r="D1089" s="5" t="s">
        <v>16</v>
      </c>
      <c r="E1089" s="5" t="s">
        <v>6689</v>
      </c>
      <c r="F1089" s="6">
        <v>3997.5</v>
      </c>
    </row>
    <row r="1090" spans="1:6" x14ac:dyDescent="0.15">
      <c r="A1090" s="5" t="s">
        <v>43</v>
      </c>
      <c r="B1090" s="5" t="s">
        <v>4832</v>
      </c>
      <c r="C1090" s="9">
        <v>42891</v>
      </c>
      <c r="D1090" s="5" t="s">
        <v>16</v>
      </c>
      <c r="E1090" s="5" t="s">
        <v>3129</v>
      </c>
      <c r="F1090" s="6">
        <v>5820</v>
      </c>
    </row>
    <row r="1091" spans="1:6" x14ac:dyDescent="0.15">
      <c r="A1091" s="5" t="s">
        <v>37</v>
      </c>
      <c r="B1091" s="5" t="s">
        <v>6698</v>
      </c>
      <c r="C1091" s="9">
        <v>42891</v>
      </c>
      <c r="D1091" s="5" t="s">
        <v>16</v>
      </c>
      <c r="E1091" s="5" t="s">
        <v>3129</v>
      </c>
      <c r="F1091" s="6">
        <v>11700</v>
      </c>
    </row>
    <row r="1092" spans="1:6" x14ac:dyDescent="0.15">
      <c r="A1092" s="5" t="s">
        <v>35</v>
      </c>
      <c r="B1092" s="5" t="s">
        <v>3128</v>
      </c>
      <c r="C1092" s="9">
        <v>42891</v>
      </c>
      <c r="D1092" s="5" t="s">
        <v>16</v>
      </c>
      <c r="E1092" s="5" t="s">
        <v>3129</v>
      </c>
      <c r="F1092" s="6">
        <v>5850</v>
      </c>
    </row>
    <row r="1093" spans="1:6" x14ac:dyDescent="0.15">
      <c r="A1093" s="5" t="s">
        <v>43</v>
      </c>
      <c r="B1093" s="5" t="s">
        <v>4826</v>
      </c>
      <c r="C1093" s="9">
        <v>42884</v>
      </c>
      <c r="D1093" s="5" t="s">
        <v>16</v>
      </c>
      <c r="E1093" s="5" t="s">
        <v>4827</v>
      </c>
      <c r="F1093" s="6">
        <v>776</v>
      </c>
    </row>
    <row r="1094" spans="1:6" x14ac:dyDescent="0.15">
      <c r="A1094" s="5" t="s">
        <v>37</v>
      </c>
      <c r="B1094" s="5" t="s">
        <v>6693</v>
      </c>
      <c r="C1094" s="9">
        <v>42885</v>
      </c>
      <c r="D1094" s="5" t="s">
        <v>16</v>
      </c>
      <c r="E1094" s="5" t="s">
        <v>3122</v>
      </c>
      <c r="F1094" s="6">
        <v>585</v>
      </c>
    </row>
    <row r="1095" spans="1:6" x14ac:dyDescent="0.15">
      <c r="A1095" s="5" t="s">
        <v>35</v>
      </c>
      <c r="B1095" s="5" t="s">
        <v>3121</v>
      </c>
      <c r="C1095" s="9">
        <v>42885</v>
      </c>
      <c r="D1095" s="5" t="s">
        <v>16</v>
      </c>
      <c r="E1095" s="5" t="s">
        <v>3122</v>
      </c>
      <c r="F1095" s="6">
        <v>97.5</v>
      </c>
    </row>
    <row r="1096" spans="1:6" x14ac:dyDescent="0.15">
      <c r="A1096" s="5" t="s">
        <v>37</v>
      </c>
      <c r="B1096" s="5" t="s">
        <v>6694</v>
      </c>
      <c r="C1096" s="9">
        <v>42886</v>
      </c>
      <c r="D1096" s="5" t="s">
        <v>16</v>
      </c>
      <c r="E1096" s="5" t="s">
        <v>6695</v>
      </c>
      <c r="F1096" s="6">
        <v>4095</v>
      </c>
    </row>
    <row r="1097" spans="1:6" x14ac:dyDescent="0.15">
      <c r="A1097" s="5" t="s">
        <v>37</v>
      </c>
      <c r="B1097" s="5" t="s">
        <v>6696</v>
      </c>
      <c r="C1097" s="9">
        <v>42887</v>
      </c>
      <c r="D1097" s="5" t="s">
        <v>16</v>
      </c>
      <c r="E1097" s="5" t="s">
        <v>6697</v>
      </c>
      <c r="F1097" s="6">
        <v>11992.5</v>
      </c>
    </row>
    <row r="1098" spans="1:6" x14ac:dyDescent="0.15">
      <c r="A1098" s="5" t="s">
        <v>41</v>
      </c>
      <c r="B1098" s="5" t="s">
        <v>1861</v>
      </c>
      <c r="C1098" s="9">
        <v>42891</v>
      </c>
      <c r="D1098" s="5" t="s">
        <v>16</v>
      </c>
      <c r="E1098" s="5" t="s">
        <v>1862</v>
      </c>
      <c r="F1098" s="6">
        <v>1600.5</v>
      </c>
    </row>
    <row r="1099" spans="1:6" x14ac:dyDescent="0.15">
      <c r="A1099" s="5" t="s">
        <v>51</v>
      </c>
      <c r="B1099" s="5" t="s">
        <v>4210</v>
      </c>
      <c r="C1099" s="9">
        <v>42898</v>
      </c>
      <c r="D1099" s="5" t="s">
        <v>16</v>
      </c>
      <c r="E1099" s="5" t="s">
        <v>4211</v>
      </c>
      <c r="F1099" s="6">
        <v>25350</v>
      </c>
    </row>
    <row r="1100" spans="1:6" x14ac:dyDescent="0.15">
      <c r="A1100" s="5" t="s">
        <v>35</v>
      </c>
      <c r="B1100" s="5" t="s">
        <v>3172</v>
      </c>
      <c r="C1100" s="9">
        <v>42928</v>
      </c>
      <c r="D1100" s="5" t="s">
        <v>16</v>
      </c>
      <c r="E1100" s="5" t="s">
        <v>1883</v>
      </c>
      <c r="F1100" s="6">
        <v>19500</v>
      </c>
    </row>
    <row r="1101" spans="1:6" x14ac:dyDescent="0.15">
      <c r="A1101" s="5" t="s">
        <v>41</v>
      </c>
      <c r="B1101" s="5" t="s">
        <v>1882</v>
      </c>
      <c r="C1101" s="9">
        <v>42928</v>
      </c>
      <c r="D1101" s="5" t="s">
        <v>16</v>
      </c>
      <c r="E1101" s="5" t="s">
        <v>1883</v>
      </c>
      <c r="F1101" s="6">
        <v>5820</v>
      </c>
    </row>
    <row r="1102" spans="1:6" x14ac:dyDescent="0.15">
      <c r="A1102" s="5" t="s">
        <v>43</v>
      </c>
      <c r="B1102" s="5" t="s">
        <v>4828</v>
      </c>
      <c r="C1102" s="9">
        <v>42887</v>
      </c>
      <c r="D1102" s="5" t="s">
        <v>16</v>
      </c>
      <c r="E1102" s="5" t="s">
        <v>4829</v>
      </c>
      <c r="F1102" s="6">
        <v>97</v>
      </c>
    </row>
    <row r="1103" spans="1:6" x14ac:dyDescent="0.15">
      <c r="A1103" s="5" t="s">
        <v>43</v>
      </c>
      <c r="B1103" s="5" t="s">
        <v>4830</v>
      </c>
      <c r="C1103" s="9">
        <v>42887</v>
      </c>
      <c r="D1103" s="5" t="s">
        <v>16</v>
      </c>
      <c r="E1103" s="5" t="s">
        <v>4831</v>
      </c>
      <c r="F1103" s="6">
        <v>1018.5</v>
      </c>
    </row>
    <row r="1104" spans="1:6" x14ac:dyDescent="0.15">
      <c r="A1104" s="5" t="s">
        <v>35</v>
      </c>
      <c r="B1104" s="5" t="s">
        <v>3123</v>
      </c>
      <c r="C1104" s="9">
        <v>42887</v>
      </c>
      <c r="D1104" s="5" t="s">
        <v>16</v>
      </c>
      <c r="E1104" s="5" t="s">
        <v>3124</v>
      </c>
      <c r="F1104" s="6">
        <v>975</v>
      </c>
    </row>
    <row r="1105" spans="1:6" x14ac:dyDescent="0.15">
      <c r="A1105" s="5" t="s">
        <v>41</v>
      </c>
      <c r="B1105" s="5" t="s">
        <v>1859</v>
      </c>
      <c r="C1105" s="9">
        <v>42888</v>
      </c>
      <c r="D1105" s="5" t="s">
        <v>16</v>
      </c>
      <c r="E1105" s="5" t="s">
        <v>1860</v>
      </c>
      <c r="F1105" s="6">
        <v>4462</v>
      </c>
    </row>
    <row r="1106" spans="1:6" x14ac:dyDescent="0.15">
      <c r="A1106" s="5" t="s">
        <v>53</v>
      </c>
      <c r="B1106" s="5" t="s">
        <v>8429</v>
      </c>
      <c r="C1106" s="9">
        <v>42888</v>
      </c>
      <c r="D1106" s="5" t="s">
        <v>16</v>
      </c>
      <c r="E1106" s="5" t="s">
        <v>8430</v>
      </c>
      <c r="F1106" s="6">
        <v>2047.5</v>
      </c>
    </row>
    <row r="1107" spans="1:6" x14ac:dyDescent="0.15">
      <c r="A1107" s="5" t="s">
        <v>43</v>
      </c>
      <c r="B1107" s="5" t="s">
        <v>4833</v>
      </c>
      <c r="C1107" s="9">
        <v>42891</v>
      </c>
      <c r="D1107" s="5" t="s">
        <v>16</v>
      </c>
      <c r="E1107" s="5" t="s">
        <v>1862</v>
      </c>
      <c r="F1107" s="6">
        <v>10670</v>
      </c>
    </row>
    <row r="1108" spans="1:6" x14ac:dyDescent="0.15">
      <c r="A1108" s="5" t="s">
        <v>35</v>
      </c>
      <c r="B1108" s="5" t="s">
        <v>3130</v>
      </c>
      <c r="C1108" s="9">
        <v>42891</v>
      </c>
      <c r="D1108" s="5" t="s">
        <v>16</v>
      </c>
      <c r="E1108" s="5" t="s">
        <v>1862</v>
      </c>
      <c r="F1108" s="6">
        <v>9750</v>
      </c>
    </row>
    <row r="1109" spans="1:6" x14ac:dyDescent="0.15">
      <c r="A1109" s="5" t="s">
        <v>37</v>
      </c>
      <c r="B1109" s="5" t="s">
        <v>6699</v>
      </c>
      <c r="C1109" s="9">
        <v>42891</v>
      </c>
      <c r="D1109" s="5" t="s">
        <v>16</v>
      </c>
      <c r="E1109" s="5" t="s">
        <v>6700</v>
      </c>
      <c r="F1109" s="6">
        <v>24570</v>
      </c>
    </row>
    <row r="1110" spans="1:6" x14ac:dyDescent="0.15">
      <c r="A1110" s="5" t="s">
        <v>53</v>
      </c>
      <c r="B1110" s="5" t="s">
        <v>8431</v>
      </c>
      <c r="C1110" s="9">
        <v>42891</v>
      </c>
      <c r="D1110" s="5" t="s">
        <v>16</v>
      </c>
      <c r="E1110" s="5" t="s">
        <v>6700</v>
      </c>
      <c r="F1110" s="6">
        <v>2047.5</v>
      </c>
    </row>
    <row r="1111" spans="1:6" x14ac:dyDescent="0.15">
      <c r="A1111" s="5" t="s">
        <v>43</v>
      </c>
      <c r="B1111" s="5" t="s">
        <v>4834</v>
      </c>
      <c r="C1111" s="9">
        <v>42891</v>
      </c>
      <c r="D1111" s="5" t="s">
        <v>16</v>
      </c>
      <c r="E1111" s="5" t="s">
        <v>4835</v>
      </c>
      <c r="F1111" s="6">
        <v>1067</v>
      </c>
    </row>
    <row r="1112" spans="1:6" x14ac:dyDescent="0.15">
      <c r="A1112" s="5" t="s">
        <v>49</v>
      </c>
      <c r="B1112" s="5" t="s">
        <v>8649</v>
      </c>
      <c r="C1112" s="9">
        <v>42891</v>
      </c>
      <c r="D1112" s="5" t="s">
        <v>16</v>
      </c>
      <c r="E1112" s="5" t="s">
        <v>4835</v>
      </c>
      <c r="F1112" s="6">
        <v>10</v>
      </c>
    </row>
    <row r="1113" spans="1:6" x14ac:dyDescent="0.15">
      <c r="A1113" s="5" t="s">
        <v>35</v>
      </c>
      <c r="B1113" s="5" t="s">
        <v>3131</v>
      </c>
      <c r="C1113" s="9">
        <v>42891</v>
      </c>
      <c r="D1113" s="5" t="s">
        <v>16</v>
      </c>
      <c r="E1113" s="5" t="s">
        <v>3132</v>
      </c>
      <c r="F1113" s="6">
        <v>1950</v>
      </c>
    </row>
    <row r="1114" spans="1:6" x14ac:dyDescent="0.15">
      <c r="A1114" s="5" t="s">
        <v>8530</v>
      </c>
      <c r="B1114" s="5" t="s">
        <v>8531</v>
      </c>
      <c r="C1114" s="9">
        <v>42894</v>
      </c>
      <c r="D1114" s="5" t="s">
        <v>16</v>
      </c>
      <c r="E1114" s="5" t="s">
        <v>8532</v>
      </c>
      <c r="F1114" s="6">
        <v>19500</v>
      </c>
    </row>
    <row r="1115" spans="1:6" x14ac:dyDescent="0.15">
      <c r="A1115" s="5" t="s">
        <v>43</v>
      </c>
      <c r="B1115" s="5" t="s">
        <v>4836</v>
      </c>
      <c r="C1115" s="9">
        <v>42893</v>
      </c>
      <c r="D1115" s="5" t="s">
        <v>16</v>
      </c>
      <c r="E1115" s="5" t="s">
        <v>4837</v>
      </c>
      <c r="F1115" s="6">
        <v>242.5</v>
      </c>
    </row>
    <row r="1116" spans="1:6" x14ac:dyDescent="0.15">
      <c r="A1116" s="5" t="s">
        <v>37</v>
      </c>
      <c r="B1116" s="5" t="s">
        <v>6701</v>
      </c>
      <c r="C1116" s="9">
        <v>42893</v>
      </c>
      <c r="D1116" s="5" t="s">
        <v>16</v>
      </c>
      <c r="E1116" s="5" t="s">
        <v>4837</v>
      </c>
      <c r="F1116" s="6">
        <v>975</v>
      </c>
    </row>
    <row r="1117" spans="1:6" x14ac:dyDescent="0.15">
      <c r="A1117" s="5" t="s">
        <v>40</v>
      </c>
      <c r="B1117" s="5" t="s">
        <v>2383</v>
      </c>
      <c r="C1117" s="9">
        <v>42893</v>
      </c>
      <c r="D1117" s="5" t="s">
        <v>16</v>
      </c>
      <c r="E1117" s="5" t="s">
        <v>2384</v>
      </c>
      <c r="F1117" s="6">
        <v>6575</v>
      </c>
    </row>
    <row r="1118" spans="1:6" x14ac:dyDescent="0.15">
      <c r="A1118" s="5" t="s">
        <v>35</v>
      </c>
      <c r="B1118" s="5" t="s">
        <v>3133</v>
      </c>
      <c r="C1118" s="9">
        <v>42893</v>
      </c>
      <c r="D1118" s="5" t="s">
        <v>16</v>
      </c>
      <c r="E1118" s="5" t="s">
        <v>2384</v>
      </c>
      <c r="F1118" s="6">
        <v>2437.5</v>
      </c>
    </row>
    <row r="1119" spans="1:6" x14ac:dyDescent="0.15">
      <c r="A1119" s="5" t="s">
        <v>37</v>
      </c>
      <c r="B1119" s="5" t="s">
        <v>6702</v>
      </c>
      <c r="C1119" s="9">
        <v>42894</v>
      </c>
      <c r="D1119" s="5" t="s">
        <v>16</v>
      </c>
      <c r="E1119" s="5" t="s">
        <v>6703</v>
      </c>
      <c r="F1119" s="6">
        <v>1755</v>
      </c>
    </row>
    <row r="1120" spans="1:6" x14ac:dyDescent="0.15">
      <c r="A1120" s="5" t="s">
        <v>42</v>
      </c>
      <c r="B1120" s="5" t="s">
        <v>5799</v>
      </c>
      <c r="C1120" s="9">
        <v>42895</v>
      </c>
      <c r="D1120" s="5" t="s">
        <v>16</v>
      </c>
      <c r="E1120" s="5" t="s">
        <v>5800</v>
      </c>
      <c r="F1120" s="6">
        <v>1500</v>
      </c>
    </row>
    <row r="1121" spans="1:6" x14ac:dyDescent="0.15">
      <c r="A1121" s="5" t="s">
        <v>37</v>
      </c>
      <c r="B1121" s="5" t="s">
        <v>6706</v>
      </c>
      <c r="C1121" s="9">
        <v>42895</v>
      </c>
      <c r="D1121" s="5" t="s">
        <v>16</v>
      </c>
      <c r="E1121" s="5" t="s">
        <v>5800</v>
      </c>
      <c r="F1121" s="6">
        <v>5850</v>
      </c>
    </row>
    <row r="1122" spans="1:6" x14ac:dyDescent="0.15">
      <c r="A1122" s="5" t="s">
        <v>43</v>
      </c>
      <c r="B1122" s="5" t="s">
        <v>4838</v>
      </c>
      <c r="C1122" s="9">
        <v>42895</v>
      </c>
      <c r="D1122" s="5" t="s">
        <v>16</v>
      </c>
      <c r="E1122" s="5" t="s">
        <v>4839</v>
      </c>
      <c r="F1122" s="6">
        <v>50</v>
      </c>
    </row>
    <row r="1123" spans="1:6" x14ac:dyDescent="0.15">
      <c r="A1123" s="5" t="s">
        <v>43</v>
      </c>
      <c r="B1123" s="5" t="s">
        <v>4838</v>
      </c>
      <c r="C1123" s="9">
        <v>42895</v>
      </c>
      <c r="D1123" s="5" t="s">
        <v>16</v>
      </c>
      <c r="E1123" s="5" t="s">
        <v>4839</v>
      </c>
      <c r="F1123" s="6">
        <v>242.5</v>
      </c>
    </row>
    <row r="1124" spans="1:6" x14ac:dyDescent="0.15">
      <c r="A1124" s="5" t="s">
        <v>37</v>
      </c>
      <c r="B1124" s="5" t="s">
        <v>6707</v>
      </c>
      <c r="C1124" s="9">
        <v>42895</v>
      </c>
      <c r="D1124" s="5" t="s">
        <v>16</v>
      </c>
      <c r="E1124" s="5" t="s">
        <v>4839</v>
      </c>
      <c r="F1124" s="6">
        <v>2925</v>
      </c>
    </row>
    <row r="1125" spans="1:6" x14ac:dyDescent="0.15">
      <c r="A1125" s="5" t="s">
        <v>53</v>
      </c>
      <c r="B1125" s="5" t="s">
        <v>8432</v>
      </c>
      <c r="C1125" s="9">
        <v>42930</v>
      </c>
      <c r="D1125" s="5" t="s">
        <v>16</v>
      </c>
      <c r="E1125" s="5" t="s">
        <v>1885</v>
      </c>
      <c r="F1125" s="6">
        <v>19500</v>
      </c>
    </row>
    <row r="1126" spans="1:6" x14ac:dyDescent="0.15">
      <c r="A1126" s="5" t="s">
        <v>41</v>
      </c>
      <c r="B1126" s="5" t="s">
        <v>1884</v>
      </c>
      <c r="C1126" s="9">
        <v>42930</v>
      </c>
      <c r="D1126" s="5" t="s">
        <v>16</v>
      </c>
      <c r="E1126" s="5" t="s">
        <v>1885</v>
      </c>
      <c r="F1126" s="6">
        <v>5820</v>
      </c>
    </row>
    <row r="1127" spans="1:6" x14ac:dyDescent="0.15">
      <c r="A1127" s="5" t="s">
        <v>43</v>
      </c>
      <c r="B1127" s="5" t="s">
        <v>4840</v>
      </c>
      <c r="C1127" s="9">
        <v>42895</v>
      </c>
      <c r="D1127" s="5" t="s">
        <v>16</v>
      </c>
      <c r="E1127" s="5" t="s">
        <v>4841</v>
      </c>
      <c r="F1127" s="6">
        <v>7954</v>
      </c>
    </row>
    <row r="1128" spans="1:6" x14ac:dyDescent="0.15">
      <c r="A1128" s="5" t="s">
        <v>37</v>
      </c>
      <c r="B1128" s="5" t="s">
        <v>6704</v>
      </c>
      <c r="C1128" s="9">
        <v>42894</v>
      </c>
      <c r="D1128" s="5" t="s">
        <v>16</v>
      </c>
      <c r="E1128" s="5" t="s">
        <v>6705</v>
      </c>
      <c r="F1128" s="6">
        <v>3997.5</v>
      </c>
    </row>
    <row r="1129" spans="1:6" x14ac:dyDescent="0.15">
      <c r="A1129" s="5" t="s">
        <v>43</v>
      </c>
      <c r="B1129" s="5" t="s">
        <v>4842</v>
      </c>
      <c r="C1129" s="9">
        <v>42898</v>
      </c>
      <c r="D1129" s="5" t="s">
        <v>16</v>
      </c>
      <c r="E1129" s="5" t="s">
        <v>4843</v>
      </c>
      <c r="F1129" s="6">
        <v>1261</v>
      </c>
    </row>
    <row r="1130" spans="1:6" x14ac:dyDescent="0.15">
      <c r="A1130" s="5" t="s">
        <v>37</v>
      </c>
      <c r="B1130" s="5" t="s">
        <v>6708</v>
      </c>
      <c r="C1130" s="9">
        <v>42898</v>
      </c>
      <c r="D1130" s="5" t="s">
        <v>16</v>
      </c>
      <c r="E1130" s="5" t="s">
        <v>6709</v>
      </c>
      <c r="F1130" s="6">
        <v>3705</v>
      </c>
    </row>
    <row r="1131" spans="1:6" x14ac:dyDescent="0.15">
      <c r="A1131" s="5" t="s">
        <v>37</v>
      </c>
      <c r="B1131" s="5" t="s">
        <v>6710</v>
      </c>
      <c r="C1131" s="9">
        <v>42898</v>
      </c>
      <c r="D1131" s="5" t="s">
        <v>16</v>
      </c>
      <c r="E1131" s="5" t="s">
        <v>6711</v>
      </c>
      <c r="F1131" s="6">
        <v>682.5</v>
      </c>
    </row>
    <row r="1132" spans="1:6" x14ac:dyDescent="0.15">
      <c r="A1132" s="5" t="s">
        <v>37</v>
      </c>
      <c r="B1132" s="5" t="s">
        <v>6712</v>
      </c>
      <c r="C1132" s="9">
        <v>42898</v>
      </c>
      <c r="D1132" s="5" t="s">
        <v>16</v>
      </c>
      <c r="E1132" s="5" t="s">
        <v>6713</v>
      </c>
      <c r="F1132" s="6">
        <v>13162.5</v>
      </c>
    </row>
    <row r="1133" spans="1:6" x14ac:dyDescent="0.15">
      <c r="A1133" s="5" t="s">
        <v>49</v>
      </c>
      <c r="B1133" s="5" t="s">
        <v>8650</v>
      </c>
      <c r="C1133" s="9">
        <v>42898</v>
      </c>
      <c r="D1133" s="5" t="s">
        <v>16</v>
      </c>
      <c r="E1133" s="5" t="s">
        <v>6713</v>
      </c>
      <c r="F1133" s="6">
        <v>200</v>
      </c>
    </row>
    <row r="1134" spans="1:6" x14ac:dyDescent="0.15">
      <c r="A1134" s="5" t="s">
        <v>35</v>
      </c>
      <c r="B1134" s="5" t="s">
        <v>3134</v>
      </c>
      <c r="C1134" s="9">
        <v>42898</v>
      </c>
      <c r="D1134" s="5" t="s">
        <v>16</v>
      </c>
      <c r="E1134" s="5" t="s">
        <v>3135</v>
      </c>
      <c r="F1134" s="6">
        <v>8775</v>
      </c>
    </row>
    <row r="1135" spans="1:6" x14ac:dyDescent="0.15">
      <c r="A1135" s="5" t="s">
        <v>44</v>
      </c>
      <c r="B1135" s="5" t="s">
        <v>4343</v>
      </c>
      <c r="C1135" s="9">
        <v>42905</v>
      </c>
      <c r="D1135" s="5" t="s">
        <v>16</v>
      </c>
      <c r="E1135" s="5" t="s">
        <v>2193</v>
      </c>
      <c r="F1135" s="6">
        <v>9750</v>
      </c>
    </row>
    <row r="1136" spans="1:6" x14ac:dyDescent="0.15">
      <c r="A1136" s="5" t="s">
        <v>46</v>
      </c>
      <c r="B1136" s="5" t="s">
        <v>2192</v>
      </c>
      <c r="C1136" s="9">
        <v>42905</v>
      </c>
      <c r="D1136" s="5" t="s">
        <v>16</v>
      </c>
      <c r="E1136" s="5" t="s">
        <v>2193</v>
      </c>
      <c r="F1136" s="6">
        <v>1940</v>
      </c>
    </row>
    <row r="1137" spans="1:6" x14ac:dyDescent="0.15">
      <c r="A1137" s="5" t="s">
        <v>37</v>
      </c>
      <c r="B1137" s="5" t="s">
        <v>6716</v>
      </c>
      <c r="C1137" s="9">
        <v>42905</v>
      </c>
      <c r="D1137" s="5" t="s">
        <v>16</v>
      </c>
      <c r="E1137" s="5" t="s">
        <v>2193</v>
      </c>
      <c r="F1137" s="6">
        <v>7800</v>
      </c>
    </row>
    <row r="1138" spans="1:6" x14ac:dyDescent="0.15">
      <c r="A1138" s="5" t="s">
        <v>43</v>
      </c>
      <c r="B1138" s="5" t="s">
        <v>4846</v>
      </c>
      <c r="C1138" s="9">
        <v>42905</v>
      </c>
      <c r="D1138" s="5" t="s">
        <v>16</v>
      </c>
      <c r="E1138" s="5" t="s">
        <v>2193</v>
      </c>
      <c r="F1138" s="6">
        <v>5820</v>
      </c>
    </row>
    <row r="1139" spans="1:6" x14ac:dyDescent="0.15">
      <c r="A1139" s="5" t="s">
        <v>35</v>
      </c>
      <c r="B1139" s="5" t="s">
        <v>3136</v>
      </c>
      <c r="C1139" s="9">
        <v>42899</v>
      </c>
      <c r="D1139" s="5" t="s">
        <v>16</v>
      </c>
      <c r="E1139" s="5" t="s">
        <v>1864</v>
      </c>
      <c r="F1139" s="6">
        <v>3900</v>
      </c>
    </row>
    <row r="1140" spans="1:6" x14ac:dyDescent="0.15">
      <c r="A1140" s="5" t="s">
        <v>41</v>
      </c>
      <c r="B1140" s="5" t="s">
        <v>1863</v>
      </c>
      <c r="C1140" s="9">
        <v>42899</v>
      </c>
      <c r="D1140" s="5" t="s">
        <v>16</v>
      </c>
      <c r="E1140" s="5" t="s">
        <v>1864</v>
      </c>
      <c r="F1140" s="6">
        <v>1940</v>
      </c>
    </row>
    <row r="1141" spans="1:6" x14ac:dyDescent="0.15">
      <c r="A1141" s="5" t="s">
        <v>43</v>
      </c>
      <c r="B1141" s="5" t="s">
        <v>4844</v>
      </c>
      <c r="C1141" s="9">
        <v>42899</v>
      </c>
      <c r="D1141" s="5" t="s">
        <v>16</v>
      </c>
      <c r="E1141" s="5" t="s">
        <v>4845</v>
      </c>
      <c r="F1141" s="6">
        <v>7000</v>
      </c>
    </row>
    <row r="1142" spans="1:6" x14ac:dyDescent="0.15">
      <c r="A1142" s="5" t="s">
        <v>35</v>
      </c>
      <c r="B1142" s="5" t="s">
        <v>3137</v>
      </c>
      <c r="C1142" s="9">
        <v>42900</v>
      </c>
      <c r="D1142" s="5" t="s">
        <v>16</v>
      </c>
      <c r="E1142" s="5" t="s">
        <v>1866</v>
      </c>
      <c r="F1142" s="6">
        <v>-3900</v>
      </c>
    </row>
    <row r="1143" spans="1:6" x14ac:dyDescent="0.15">
      <c r="A1143" s="5" t="s">
        <v>35</v>
      </c>
      <c r="B1143" s="5" t="s">
        <v>3138</v>
      </c>
      <c r="C1143" s="9">
        <v>42900</v>
      </c>
      <c r="D1143" s="5" t="s">
        <v>16</v>
      </c>
      <c r="E1143" s="5" t="s">
        <v>1866</v>
      </c>
      <c r="F1143" s="6">
        <v>3900</v>
      </c>
    </row>
    <row r="1144" spans="1:6" x14ac:dyDescent="0.15">
      <c r="A1144" s="5" t="s">
        <v>41</v>
      </c>
      <c r="B1144" s="5" t="s">
        <v>1865</v>
      </c>
      <c r="C1144" s="9">
        <v>42900</v>
      </c>
      <c r="D1144" s="5" t="s">
        <v>16</v>
      </c>
      <c r="E1144" s="5" t="s">
        <v>1866</v>
      </c>
      <c r="F1144" s="6">
        <v>-970</v>
      </c>
    </row>
    <row r="1145" spans="1:6" x14ac:dyDescent="0.15">
      <c r="A1145" s="5" t="s">
        <v>41</v>
      </c>
      <c r="B1145" s="5" t="s">
        <v>1865</v>
      </c>
      <c r="C1145" s="9">
        <v>42900</v>
      </c>
      <c r="D1145" s="5" t="s">
        <v>16</v>
      </c>
      <c r="E1145" s="5" t="s">
        <v>1866</v>
      </c>
      <c r="F1145" s="6">
        <v>-970</v>
      </c>
    </row>
    <row r="1146" spans="1:6" x14ac:dyDescent="0.15">
      <c r="A1146" s="5" t="s">
        <v>41</v>
      </c>
      <c r="B1146" s="5" t="s">
        <v>1867</v>
      </c>
      <c r="C1146" s="9">
        <v>42900</v>
      </c>
      <c r="D1146" s="5" t="s">
        <v>16</v>
      </c>
      <c r="E1146" s="5" t="s">
        <v>1866</v>
      </c>
      <c r="F1146" s="6">
        <v>970</v>
      </c>
    </row>
    <row r="1147" spans="1:6" x14ac:dyDescent="0.15">
      <c r="A1147" s="5" t="s">
        <v>35</v>
      </c>
      <c r="B1147" s="5" t="s">
        <v>3139</v>
      </c>
      <c r="C1147" s="9">
        <v>42900</v>
      </c>
      <c r="D1147" s="5" t="s">
        <v>16</v>
      </c>
      <c r="E1147" s="5" t="s">
        <v>1869</v>
      </c>
      <c r="F1147" s="6">
        <v>-3900</v>
      </c>
    </row>
    <row r="1148" spans="1:6" x14ac:dyDescent="0.15">
      <c r="A1148" s="5" t="s">
        <v>41</v>
      </c>
      <c r="B1148" s="5" t="s">
        <v>1868</v>
      </c>
      <c r="C1148" s="9">
        <v>42900</v>
      </c>
      <c r="D1148" s="5" t="s">
        <v>16</v>
      </c>
      <c r="E1148" s="5" t="s">
        <v>1869</v>
      </c>
      <c r="F1148" s="6">
        <v>-970</v>
      </c>
    </row>
    <row r="1149" spans="1:6" x14ac:dyDescent="0.15">
      <c r="A1149" s="5" t="s">
        <v>158</v>
      </c>
      <c r="B1149" s="5" t="s">
        <v>8553</v>
      </c>
      <c r="C1149" s="9">
        <v>42920</v>
      </c>
      <c r="D1149" s="5" t="s">
        <v>16</v>
      </c>
      <c r="E1149" s="5" t="s">
        <v>8554</v>
      </c>
      <c r="F1149" s="6">
        <v>15210</v>
      </c>
    </row>
    <row r="1150" spans="1:6" x14ac:dyDescent="0.15">
      <c r="A1150" s="5" t="s">
        <v>43</v>
      </c>
      <c r="B1150" s="5" t="s">
        <v>4847</v>
      </c>
      <c r="C1150" s="9">
        <v>42905</v>
      </c>
      <c r="D1150" s="5" t="s">
        <v>16</v>
      </c>
      <c r="E1150" s="5" t="s">
        <v>4848</v>
      </c>
      <c r="F1150" s="6">
        <v>-50</v>
      </c>
    </row>
    <row r="1151" spans="1:6" x14ac:dyDescent="0.15">
      <c r="A1151" s="5" t="s">
        <v>42</v>
      </c>
      <c r="B1151" s="5" t="s">
        <v>5801</v>
      </c>
      <c r="C1151" s="9">
        <v>42906</v>
      </c>
      <c r="D1151" s="5" t="s">
        <v>16</v>
      </c>
      <c r="E1151" s="5" t="s">
        <v>4850</v>
      </c>
      <c r="F1151" s="6">
        <v>6000</v>
      </c>
    </row>
    <row r="1152" spans="1:6" x14ac:dyDescent="0.15">
      <c r="A1152" s="5" t="s">
        <v>43</v>
      </c>
      <c r="B1152" s="5" t="s">
        <v>4849</v>
      </c>
      <c r="C1152" s="9">
        <v>42906</v>
      </c>
      <c r="D1152" s="5" t="s">
        <v>16</v>
      </c>
      <c r="E1152" s="5" t="s">
        <v>4850</v>
      </c>
      <c r="F1152" s="6">
        <v>1067</v>
      </c>
    </row>
    <row r="1153" spans="1:6" x14ac:dyDescent="0.15">
      <c r="A1153" s="5" t="s">
        <v>35</v>
      </c>
      <c r="B1153" s="5" t="s">
        <v>3140</v>
      </c>
      <c r="C1153" s="9">
        <v>42907</v>
      </c>
      <c r="D1153" s="5" t="s">
        <v>16</v>
      </c>
      <c r="E1153" s="5" t="s">
        <v>1871</v>
      </c>
      <c r="F1153" s="6">
        <v>3900</v>
      </c>
    </row>
    <row r="1154" spans="1:6" x14ac:dyDescent="0.15">
      <c r="A1154" s="5" t="s">
        <v>41</v>
      </c>
      <c r="B1154" s="5" t="s">
        <v>1870</v>
      </c>
      <c r="C1154" s="9">
        <v>42907</v>
      </c>
      <c r="D1154" s="5" t="s">
        <v>16</v>
      </c>
      <c r="E1154" s="5" t="s">
        <v>1871</v>
      </c>
      <c r="F1154" s="6">
        <v>970</v>
      </c>
    </row>
    <row r="1155" spans="1:6" x14ac:dyDescent="0.15">
      <c r="A1155" s="5" t="s">
        <v>35</v>
      </c>
      <c r="B1155" s="5" t="s">
        <v>3141</v>
      </c>
      <c r="C1155" s="9">
        <v>42907</v>
      </c>
      <c r="D1155" s="5" t="s">
        <v>16</v>
      </c>
      <c r="E1155" s="5" t="s">
        <v>1873</v>
      </c>
      <c r="F1155" s="6">
        <v>-3900</v>
      </c>
    </row>
    <row r="1156" spans="1:6" x14ac:dyDescent="0.15">
      <c r="A1156" s="5" t="s">
        <v>41</v>
      </c>
      <c r="B1156" s="5" t="s">
        <v>1872</v>
      </c>
      <c r="C1156" s="9">
        <v>42907</v>
      </c>
      <c r="D1156" s="5" t="s">
        <v>16</v>
      </c>
      <c r="E1156" s="5" t="s">
        <v>1873</v>
      </c>
      <c r="F1156" s="6">
        <v>-970</v>
      </c>
    </row>
    <row r="1157" spans="1:6" x14ac:dyDescent="0.15">
      <c r="A1157" s="5" t="s">
        <v>43</v>
      </c>
      <c r="B1157" s="5" t="s">
        <v>4853</v>
      </c>
      <c r="C1157" s="9">
        <v>42907</v>
      </c>
      <c r="D1157" s="5" t="s">
        <v>16</v>
      </c>
      <c r="E1157" s="5" t="s">
        <v>4854</v>
      </c>
      <c r="F1157" s="6">
        <v>291</v>
      </c>
    </row>
    <row r="1158" spans="1:6" x14ac:dyDescent="0.15">
      <c r="A1158" s="5" t="s">
        <v>37</v>
      </c>
      <c r="B1158" s="5" t="s">
        <v>6722</v>
      </c>
      <c r="C1158" s="9">
        <v>42907</v>
      </c>
      <c r="D1158" s="5" t="s">
        <v>16</v>
      </c>
      <c r="E1158" s="5" t="s">
        <v>4854</v>
      </c>
      <c r="F1158" s="6">
        <v>1657.5</v>
      </c>
    </row>
    <row r="1159" spans="1:6" x14ac:dyDescent="0.15">
      <c r="A1159" s="5" t="s">
        <v>35</v>
      </c>
      <c r="B1159" s="5" t="s">
        <v>3142</v>
      </c>
      <c r="C1159" s="9">
        <v>42907</v>
      </c>
      <c r="D1159" s="5" t="s">
        <v>16</v>
      </c>
      <c r="E1159" s="5" t="s">
        <v>3143</v>
      </c>
      <c r="F1159" s="6">
        <v>5070</v>
      </c>
    </row>
    <row r="1160" spans="1:6" x14ac:dyDescent="0.15">
      <c r="A1160" s="5" t="s">
        <v>42</v>
      </c>
      <c r="B1160" s="5" t="s">
        <v>5802</v>
      </c>
      <c r="C1160" s="9">
        <v>42906</v>
      </c>
      <c r="D1160" s="5" t="s">
        <v>16</v>
      </c>
      <c r="E1160" s="5" t="s">
        <v>5803</v>
      </c>
      <c r="F1160" s="6">
        <v>600</v>
      </c>
    </row>
    <row r="1161" spans="1:6" x14ac:dyDescent="0.15">
      <c r="A1161" s="5" t="s">
        <v>37</v>
      </c>
      <c r="B1161" s="5" t="s">
        <v>6714</v>
      </c>
      <c r="C1161" s="9">
        <v>42899</v>
      </c>
      <c r="D1161" s="5" t="s">
        <v>16</v>
      </c>
      <c r="E1161" s="5" t="s">
        <v>6715</v>
      </c>
      <c r="F1161" s="6">
        <v>22035</v>
      </c>
    </row>
    <row r="1162" spans="1:6" x14ac:dyDescent="0.15">
      <c r="A1162" s="5" t="s">
        <v>37</v>
      </c>
      <c r="B1162" s="5" t="s">
        <v>6717</v>
      </c>
      <c r="C1162" s="9">
        <v>42905</v>
      </c>
      <c r="D1162" s="5" t="s">
        <v>16</v>
      </c>
      <c r="E1162" s="5" t="s">
        <v>6718</v>
      </c>
      <c r="F1162" s="6">
        <v>2827.5</v>
      </c>
    </row>
    <row r="1163" spans="1:6" x14ac:dyDescent="0.15">
      <c r="A1163" s="5" t="s">
        <v>37</v>
      </c>
      <c r="B1163" s="5" t="s">
        <v>6719</v>
      </c>
      <c r="C1163" s="9">
        <v>42906</v>
      </c>
      <c r="D1163" s="5" t="s">
        <v>16</v>
      </c>
      <c r="E1163" s="5" t="s">
        <v>6720</v>
      </c>
      <c r="F1163" s="6">
        <v>2145</v>
      </c>
    </row>
    <row r="1164" spans="1:6" x14ac:dyDescent="0.15">
      <c r="A1164" s="5" t="s">
        <v>37</v>
      </c>
      <c r="B1164" s="5" t="s">
        <v>6725</v>
      </c>
      <c r="C1164" s="9">
        <v>42908</v>
      </c>
      <c r="D1164" s="5" t="s">
        <v>16</v>
      </c>
      <c r="E1164" s="5" t="s">
        <v>6726</v>
      </c>
      <c r="F1164" s="6">
        <v>4875</v>
      </c>
    </row>
    <row r="1165" spans="1:6" x14ac:dyDescent="0.15">
      <c r="A1165" s="5" t="s">
        <v>40</v>
      </c>
      <c r="B1165" s="5" t="s">
        <v>2385</v>
      </c>
      <c r="C1165" s="9">
        <v>42907</v>
      </c>
      <c r="D1165" s="5" t="s">
        <v>16</v>
      </c>
      <c r="E1165" s="5" t="s">
        <v>1875</v>
      </c>
      <c r="F1165" s="6">
        <v>225</v>
      </c>
    </row>
    <row r="1166" spans="1:6" x14ac:dyDescent="0.15">
      <c r="A1166" s="5" t="s">
        <v>41</v>
      </c>
      <c r="B1166" s="5" t="s">
        <v>1874</v>
      </c>
      <c r="C1166" s="9">
        <v>42907</v>
      </c>
      <c r="D1166" s="5" t="s">
        <v>16</v>
      </c>
      <c r="E1166" s="5" t="s">
        <v>1875</v>
      </c>
      <c r="F1166" s="6">
        <v>242.5</v>
      </c>
    </row>
    <row r="1167" spans="1:6" x14ac:dyDescent="0.15">
      <c r="A1167" s="5" t="s">
        <v>43</v>
      </c>
      <c r="B1167" s="5" t="s">
        <v>4855</v>
      </c>
      <c r="C1167" s="9">
        <v>42907</v>
      </c>
      <c r="D1167" s="5" t="s">
        <v>16</v>
      </c>
      <c r="E1167" s="5" t="s">
        <v>4856</v>
      </c>
      <c r="F1167" s="6">
        <v>1164</v>
      </c>
    </row>
    <row r="1168" spans="1:6" x14ac:dyDescent="0.15">
      <c r="A1168" s="5" t="s">
        <v>35</v>
      </c>
      <c r="B1168" s="5" t="s">
        <v>3144</v>
      </c>
      <c r="C1168" s="9">
        <v>42907</v>
      </c>
      <c r="D1168" s="5" t="s">
        <v>16</v>
      </c>
      <c r="E1168" s="5" t="s">
        <v>3145</v>
      </c>
      <c r="F1168" s="6">
        <v>1462.5</v>
      </c>
    </row>
    <row r="1169" spans="1:6" x14ac:dyDescent="0.15">
      <c r="A1169" s="5" t="s">
        <v>37</v>
      </c>
      <c r="B1169" s="5" t="s">
        <v>6723</v>
      </c>
      <c r="C1169" s="9">
        <v>42907</v>
      </c>
      <c r="D1169" s="5" t="s">
        <v>16</v>
      </c>
      <c r="E1169" s="5" t="s">
        <v>6724</v>
      </c>
      <c r="F1169" s="6">
        <v>5070</v>
      </c>
    </row>
    <row r="1170" spans="1:6" x14ac:dyDescent="0.15">
      <c r="A1170" s="5" t="s">
        <v>37</v>
      </c>
      <c r="B1170" s="5" t="s">
        <v>6721</v>
      </c>
      <c r="C1170" s="9">
        <v>42906</v>
      </c>
      <c r="D1170" s="5" t="s">
        <v>16</v>
      </c>
      <c r="E1170" s="5" t="s">
        <v>4852</v>
      </c>
      <c r="F1170" s="6">
        <v>585</v>
      </c>
    </row>
    <row r="1171" spans="1:6" x14ac:dyDescent="0.15">
      <c r="A1171" s="5" t="s">
        <v>42</v>
      </c>
      <c r="B1171" s="5" t="s">
        <v>5804</v>
      </c>
      <c r="C1171" s="9">
        <v>42906</v>
      </c>
      <c r="D1171" s="5" t="s">
        <v>16</v>
      </c>
      <c r="E1171" s="5" t="s">
        <v>4852</v>
      </c>
      <c r="F1171" s="6">
        <v>300</v>
      </c>
    </row>
    <row r="1172" spans="1:6" x14ac:dyDescent="0.15">
      <c r="A1172" s="5" t="s">
        <v>43</v>
      </c>
      <c r="B1172" s="5" t="s">
        <v>4851</v>
      </c>
      <c r="C1172" s="9">
        <v>42906</v>
      </c>
      <c r="D1172" s="5" t="s">
        <v>16</v>
      </c>
      <c r="E1172" s="5" t="s">
        <v>4852</v>
      </c>
      <c r="F1172" s="6">
        <v>48.5</v>
      </c>
    </row>
    <row r="1173" spans="1:6" x14ac:dyDescent="0.15">
      <c r="A1173" s="5" t="s">
        <v>35</v>
      </c>
      <c r="B1173" s="5" t="s">
        <v>3146</v>
      </c>
      <c r="C1173" s="9">
        <v>42909</v>
      </c>
      <c r="D1173" s="5" t="s">
        <v>16</v>
      </c>
      <c r="E1173" s="5" t="s">
        <v>3147</v>
      </c>
      <c r="F1173" s="6">
        <v>15990</v>
      </c>
    </row>
    <row r="1174" spans="1:6" x14ac:dyDescent="0.15">
      <c r="A1174" s="5" t="s">
        <v>35</v>
      </c>
      <c r="B1174" s="5" t="s">
        <v>3190</v>
      </c>
      <c r="C1174" s="9">
        <v>42940</v>
      </c>
      <c r="D1174" s="5" t="s">
        <v>16</v>
      </c>
      <c r="E1174" s="5" t="s">
        <v>3191</v>
      </c>
      <c r="F1174" s="6">
        <v>25350</v>
      </c>
    </row>
    <row r="1175" spans="1:6" x14ac:dyDescent="0.15">
      <c r="A1175" s="5" t="s">
        <v>35</v>
      </c>
      <c r="B1175" s="5" t="s">
        <v>3200</v>
      </c>
      <c r="C1175" s="9">
        <v>42948</v>
      </c>
      <c r="D1175" s="5" t="s">
        <v>16</v>
      </c>
      <c r="E1175" s="5" t="s">
        <v>3201</v>
      </c>
      <c r="F1175" s="6">
        <v>13650</v>
      </c>
    </row>
    <row r="1176" spans="1:6" x14ac:dyDescent="0.15">
      <c r="A1176" s="5" t="s">
        <v>35</v>
      </c>
      <c r="B1176" s="5" t="s">
        <v>3200</v>
      </c>
      <c r="C1176" s="9">
        <v>42948</v>
      </c>
      <c r="D1176" s="5" t="s">
        <v>16</v>
      </c>
      <c r="E1176" s="5" t="s">
        <v>3201</v>
      </c>
      <c r="F1176" s="6">
        <v>11700</v>
      </c>
    </row>
    <row r="1177" spans="1:6" x14ac:dyDescent="0.15">
      <c r="A1177" s="5" t="s">
        <v>148</v>
      </c>
      <c r="B1177" s="5" t="s">
        <v>5634</v>
      </c>
      <c r="C1177" s="9">
        <v>43039</v>
      </c>
      <c r="D1177" s="5" t="s">
        <v>16</v>
      </c>
      <c r="E1177" s="5" t="s">
        <v>5635</v>
      </c>
      <c r="F1177" s="6">
        <v>18915</v>
      </c>
    </row>
    <row r="1178" spans="1:6" x14ac:dyDescent="0.15">
      <c r="A1178" s="5" t="s">
        <v>41</v>
      </c>
      <c r="B1178" s="5" t="s">
        <v>1876</v>
      </c>
      <c r="C1178" s="9">
        <v>42915</v>
      </c>
      <c r="D1178" s="5" t="s">
        <v>16</v>
      </c>
      <c r="E1178" s="5" t="s">
        <v>1877</v>
      </c>
      <c r="F1178" s="6">
        <v>970</v>
      </c>
    </row>
    <row r="1179" spans="1:6" x14ac:dyDescent="0.15">
      <c r="A1179" s="5" t="s">
        <v>43</v>
      </c>
      <c r="B1179" s="5" t="s">
        <v>4861</v>
      </c>
      <c r="C1179" s="9">
        <v>42913</v>
      </c>
      <c r="D1179" s="5" t="s">
        <v>16</v>
      </c>
      <c r="E1179" s="5" t="s">
        <v>4862</v>
      </c>
      <c r="F1179" s="6">
        <v>3201</v>
      </c>
    </row>
    <row r="1180" spans="1:6" x14ac:dyDescent="0.15">
      <c r="A1180" s="5" t="s">
        <v>37</v>
      </c>
      <c r="B1180" s="5" t="s">
        <v>6727</v>
      </c>
      <c r="C1180" s="9">
        <v>42912</v>
      </c>
      <c r="D1180" s="5" t="s">
        <v>16</v>
      </c>
      <c r="E1180" s="5" t="s">
        <v>6728</v>
      </c>
      <c r="F1180" s="6">
        <v>11992.5</v>
      </c>
    </row>
    <row r="1181" spans="1:6" x14ac:dyDescent="0.15">
      <c r="A1181" s="5" t="s">
        <v>35</v>
      </c>
      <c r="B1181" s="5" t="s">
        <v>3149</v>
      </c>
      <c r="C1181" s="9">
        <v>42913</v>
      </c>
      <c r="D1181" s="5" t="s">
        <v>16</v>
      </c>
      <c r="E1181" s="5" t="s">
        <v>3150</v>
      </c>
      <c r="F1181" s="6">
        <v>5850</v>
      </c>
    </row>
    <row r="1182" spans="1:6" x14ac:dyDescent="0.15">
      <c r="A1182" s="5" t="s">
        <v>35</v>
      </c>
      <c r="B1182" s="5" t="s">
        <v>3148</v>
      </c>
      <c r="C1182" s="9">
        <v>42912</v>
      </c>
      <c r="D1182" s="5" t="s">
        <v>16</v>
      </c>
      <c r="E1182" s="5" t="s">
        <v>2387</v>
      </c>
      <c r="F1182" s="6">
        <v>1072.5</v>
      </c>
    </row>
    <row r="1183" spans="1:6" x14ac:dyDescent="0.15">
      <c r="A1183" s="5" t="s">
        <v>40</v>
      </c>
      <c r="B1183" s="5" t="s">
        <v>2386</v>
      </c>
      <c r="C1183" s="9">
        <v>42912</v>
      </c>
      <c r="D1183" s="5" t="s">
        <v>16</v>
      </c>
      <c r="E1183" s="5" t="s">
        <v>2387</v>
      </c>
      <c r="F1183" s="6">
        <v>300</v>
      </c>
    </row>
    <row r="1184" spans="1:6" x14ac:dyDescent="0.15">
      <c r="A1184" s="5" t="s">
        <v>37</v>
      </c>
      <c r="B1184" s="5" t="s">
        <v>6731</v>
      </c>
      <c r="C1184" s="9">
        <v>42913</v>
      </c>
      <c r="D1184" s="5" t="s">
        <v>16</v>
      </c>
      <c r="E1184" s="5" t="s">
        <v>6732</v>
      </c>
      <c r="F1184" s="6">
        <v>8775</v>
      </c>
    </row>
    <row r="1185" spans="1:6" x14ac:dyDescent="0.15">
      <c r="A1185" s="5" t="s">
        <v>37</v>
      </c>
      <c r="B1185" s="5" t="s">
        <v>6729</v>
      </c>
      <c r="C1185" s="9">
        <v>42912</v>
      </c>
      <c r="D1185" s="5" t="s">
        <v>16</v>
      </c>
      <c r="E1185" s="5" t="s">
        <v>4858</v>
      </c>
      <c r="F1185" s="6">
        <v>97.5</v>
      </c>
    </row>
    <row r="1186" spans="1:6" x14ac:dyDescent="0.15">
      <c r="A1186" s="5" t="s">
        <v>43</v>
      </c>
      <c r="B1186" s="5" t="s">
        <v>4857</v>
      </c>
      <c r="C1186" s="9">
        <v>42912</v>
      </c>
      <c r="D1186" s="5" t="s">
        <v>16</v>
      </c>
      <c r="E1186" s="5" t="s">
        <v>4858</v>
      </c>
      <c r="F1186" s="6">
        <v>194</v>
      </c>
    </row>
    <row r="1187" spans="1:6" x14ac:dyDescent="0.15">
      <c r="A1187" s="5" t="s">
        <v>37</v>
      </c>
      <c r="B1187" s="5" t="s">
        <v>6730</v>
      </c>
      <c r="C1187" s="9">
        <v>42912</v>
      </c>
      <c r="D1187" s="5" t="s">
        <v>16</v>
      </c>
      <c r="E1187" s="5" t="s">
        <v>4860</v>
      </c>
      <c r="F1187" s="6">
        <v>1755</v>
      </c>
    </row>
    <row r="1188" spans="1:6" x14ac:dyDescent="0.15">
      <c r="A1188" s="5" t="s">
        <v>42</v>
      </c>
      <c r="B1188" s="5" t="s">
        <v>5805</v>
      </c>
      <c r="C1188" s="9">
        <v>42912</v>
      </c>
      <c r="D1188" s="5" t="s">
        <v>16</v>
      </c>
      <c r="E1188" s="5" t="s">
        <v>4860</v>
      </c>
      <c r="F1188" s="6">
        <v>750</v>
      </c>
    </row>
    <row r="1189" spans="1:6" x14ac:dyDescent="0.15">
      <c r="A1189" s="5" t="s">
        <v>43</v>
      </c>
      <c r="B1189" s="5" t="s">
        <v>4859</v>
      </c>
      <c r="C1189" s="9">
        <v>42912</v>
      </c>
      <c r="D1189" s="5" t="s">
        <v>16</v>
      </c>
      <c r="E1189" s="5" t="s">
        <v>4860</v>
      </c>
      <c r="F1189" s="6">
        <v>97</v>
      </c>
    </row>
    <row r="1190" spans="1:6" x14ac:dyDescent="0.15">
      <c r="A1190" s="5" t="s">
        <v>35</v>
      </c>
      <c r="B1190" s="5" t="s">
        <v>3151</v>
      </c>
      <c r="C1190" s="9">
        <v>42913</v>
      </c>
      <c r="D1190" s="5" t="s">
        <v>16</v>
      </c>
      <c r="E1190" s="5" t="s">
        <v>3152</v>
      </c>
      <c r="F1190" s="6">
        <v>-5850</v>
      </c>
    </row>
    <row r="1191" spans="1:6" x14ac:dyDescent="0.15">
      <c r="A1191" s="5" t="s">
        <v>35</v>
      </c>
      <c r="B1191" s="5" t="s">
        <v>3153</v>
      </c>
      <c r="C1191" s="9">
        <v>42913</v>
      </c>
      <c r="D1191" s="5" t="s">
        <v>16</v>
      </c>
      <c r="E1191" s="5" t="s">
        <v>3154</v>
      </c>
      <c r="F1191" s="6">
        <v>3900</v>
      </c>
    </row>
    <row r="1192" spans="1:6" x14ac:dyDescent="0.15">
      <c r="A1192" s="5" t="s">
        <v>35</v>
      </c>
      <c r="B1192" s="5" t="s">
        <v>3126</v>
      </c>
      <c r="C1192" s="9">
        <v>42888</v>
      </c>
      <c r="D1192" s="5" t="s">
        <v>16</v>
      </c>
      <c r="E1192" s="5" t="s">
        <v>3127</v>
      </c>
      <c r="F1192" s="6">
        <v>487.5</v>
      </c>
    </row>
    <row r="1193" spans="1:6" x14ac:dyDescent="0.15">
      <c r="A1193" s="5" t="s">
        <v>55</v>
      </c>
      <c r="B1193" s="5" t="s">
        <v>4486</v>
      </c>
      <c r="C1193" s="9">
        <v>42888</v>
      </c>
      <c r="D1193" s="5" t="s">
        <v>16</v>
      </c>
      <c r="E1193" s="5" t="s">
        <v>3127</v>
      </c>
      <c r="F1193" s="6">
        <v>12.5</v>
      </c>
    </row>
    <row r="1194" spans="1:6" x14ac:dyDescent="0.15">
      <c r="A1194" s="5" t="s">
        <v>1734</v>
      </c>
      <c r="B1194" s="5" t="s">
        <v>1737</v>
      </c>
      <c r="C1194" s="9">
        <v>42912</v>
      </c>
      <c r="D1194" s="5" t="s">
        <v>16</v>
      </c>
      <c r="E1194" s="5" t="s">
        <v>1738</v>
      </c>
      <c r="F1194" s="6">
        <v>1</v>
      </c>
    </row>
    <row r="1195" spans="1:6" x14ac:dyDescent="0.15">
      <c r="A1195" s="5" t="s">
        <v>43</v>
      </c>
      <c r="B1195" s="5" t="s">
        <v>4863</v>
      </c>
      <c r="C1195" s="9">
        <v>42915</v>
      </c>
      <c r="D1195" s="5" t="s">
        <v>16</v>
      </c>
      <c r="E1195" s="5" t="s">
        <v>4864</v>
      </c>
      <c r="F1195" s="6">
        <v>8000</v>
      </c>
    </row>
    <row r="1196" spans="1:6" x14ac:dyDescent="0.15">
      <c r="A1196" s="5" t="s">
        <v>44</v>
      </c>
      <c r="B1196" s="5" t="s">
        <v>4344</v>
      </c>
      <c r="C1196" s="9">
        <v>42916</v>
      </c>
      <c r="D1196" s="5" t="s">
        <v>16</v>
      </c>
      <c r="E1196" s="5" t="s">
        <v>4345</v>
      </c>
      <c r="F1196" s="6">
        <v>9750</v>
      </c>
    </row>
    <row r="1197" spans="1:6" x14ac:dyDescent="0.15">
      <c r="A1197" s="5" t="s">
        <v>37</v>
      </c>
      <c r="B1197" s="5" t="s">
        <v>6735</v>
      </c>
      <c r="C1197" s="9">
        <v>42916</v>
      </c>
      <c r="D1197" s="5" t="s">
        <v>16</v>
      </c>
      <c r="E1197" s="5" t="s">
        <v>6736</v>
      </c>
      <c r="F1197" s="6">
        <v>9750</v>
      </c>
    </row>
    <row r="1198" spans="1:6" x14ac:dyDescent="0.15">
      <c r="A1198" s="5" t="s">
        <v>37</v>
      </c>
      <c r="B1198" s="5" t="s">
        <v>6738</v>
      </c>
      <c r="C1198" s="9">
        <v>42917</v>
      </c>
      <c r="D1198" s="5" t="s">
        <v>16</v>
      </c>
      <c r="E1198" s="5" t="s">
        <v>6739</v>
      </c>
      <c r="F1198" s="6">
        <v>25350</v>
      </c>
    </row>
    <row r="1199" spans="1:6" x14ac:dyDescent="0.15">
      <c r="A1199" s="5" t="s">
        <v>43</v>
      </c>
      <c r="B1199" s="5" t="s">
        <v>4870</v>
      </c>
      <c r="C1199" s="9">
        <v>42924</v>
      </c>
      <c r="D1199" s="5" t="s">
        <v>16</v>
      </c>
      <c r="E1199" s="5" t="s">
        <v>4871</v>
      </c>
      <c r="F1199" s="6">
        <v>9700</v>
      </c>
    </row>
    <row r="1200" spans="1:6" x14ac:dyDescent="0.15">
      <c r="A1200" s="5" t="s">
        <v>43</v>
      </c>
      <c r="B1200" s="5" t="s">
        <v>4872</v>
      </c>
      <c r="C1200" s="9">
        <v>42927</v>
      </c>
      <c r="D1200" s="5" t="s">
        <v>16</v>
      </c>
      <c r="E1200" s="5" t="s">
        <v>4873</v>
      </c>
      <c r="F1200" s="6">
        <v>3880</v>
      </c>
    </row>
    <row r="1201" spans="1:6" x14ac:dyDescent="0.15">
      <c r="A1201" s="5" t="s">
        <v>37</v>
      </c>
      <c r="B1201" s="5" t="s">
        <v>6755</v>
      </c>
      <c r="C1201" s="9">
        <v>42927</v>
      </c>
      <c r="D1201" s="5" t="s">
        <v>16</v>
      </c>
      <c r="E1201" s="5" t="s">
        <v>4873</v>
      </c>
      <c r="F1201" s="6">
        <v>9750</v>
      </c>
    </row>
    <row r="1202" spans="1:6" x14ac:dyDescent="0.15">
      <c r="A1202" s="5" t="s">
        <v>35</v>
      </c>
      <c r="B1202" s="5" t="s">
        <v>3155</v>
      </c>
      <c r="C1202" s="9">
        <v>42915</v>
      </c>
      <c r="D1202" s="5" t="s">
        <v>16</v>
      </c>
      <c r="E1202" s="5" t="s">
        <v>3156</v>
      </c>
      <c r="F1202" s="6">
        <v>195</v>
      </c>
    </row>
    <row r="1203" spans="1:6" x14ac:dyDescent="0.15">
      <c r="A1203" s="5" t="s">
        <v>35</v>
      </c>
      <c r="B1203" s="5" t="s">
        <v>3157</v>
      </c>
      <c r="C1203" s="9">
        <v>42915</v>
      </c>
      <c r="D1203" s="5" t="s">
        <v>16</v>
      </c>
      <c r="E1203" s="5" t="s">
        <v>3158</v>
      </c>
      <c r="F1203" s="6">
        <v>7020</v>
      </c>
    </row>
    <row r="1204" spans="1:6" x14ac:dyDescent="0.15">
      <c r="A1204" s="5" t="s">
        <v>37</v>
      </c>
      <c r="B1204" s="5" t="s">
        <v>6733</v>
      </c>
      <c r="C1204" s="9">
        <v>42915</v>
      </c>
      <c r="D1204" s="5" t="s">
        <v>16</v>
      </c>
      <c r="E1204" s="5" t="s">
        <v>6734</v>
      </c>
      <c r="F1204" s="6">
        <v>682.5</v>
      </c>
    </row>
    <row r="1205" spans="1:6" x14ac:dyDescent="0.15">
      <c r="A1205" s="5" t="s">
        <v>35</v>
      </c>
      <c r="B1205" s="5" t="s">
        <v>3159</v>
      </c>
      <c r="C1205" s="9">
        <v>42916</v>
      </c>
      <c r="D1205" s="5" t="s">
        <v>16</v>
      </c>
      <c r="E1205" s="5" t="s">
        <v>3160</v>
      </c>
      <c r="F1205" s="6">
        <v>390</v>
      </c>
    </row>
    <row r="1206" spans="1:6" x14ac:dyDescent="0.15">
      <c r="A1206" s="5" t="s">
        <v>43</v>
      </c>
      <c r="B1206" s="5" t="s">
        <v>4865</v>
      </c>
      <c r="C1206" s="9">
        <v>42916</v>
      </c>
      <c r="D1206" s="5" t="s">
        <v>16</v>
      </c>
      <c r="E1206" s="5" t="s">
        <v>4866</v>
      </c>
      <c r="F1206" s="6">
        <v>533.5</v>
      </c>
    </row>
    <row r="1207" spans="1:6" x14ac:dyDescent="0.15">
      <c r="A1207" s="5" t="s">
        <v>43</v>
      </c>
      <c r="B1207" s="5" t="s">
        <v>4892</v>
      </c>
      <c r="C1207" s="9">
        <v>42954</v>
      </c>
      <c r="D1207" s="5" t="s">
        <v>16</v>
      </c>
      <c r="E1207" s="5" t="s">
        <v>4893</v>
      </c>
      <c r="F1207" s="6">
        <v>3880</v>
      </c>
    </row>
    <row r="1208" spans="1:6" x14ac:dyDescent="0.15">
      <c r="A1208" s="5" t="s">
        <v>37</v>
      </c>
      <c r="B1208" s="5" t="s">
        <v>6809</v>
      </c>
      <c r="C1208" s="9">
        <v>42954</v>
      </c>
      <c r="D1208" s="5" t="s">
        <v>16</v>
      </c>
      <c r="E1208" s="5" t="s">
        <v>4893</v>
      </c>
      <c r="F1208" s="6">
        <v>13650</v>
      </c>
    </row>
    <row r="1209" spans="1:6" x14ac:dyDescent="0.15">
      <c r="A1209" s="5" t="s">
        <v>37</v>
      </c>
      <c r="B1209" s="5" t="s">
        <v>6737</v>
      </c>
      <c r="C1209" s="9">
        <v>42916</v>
      </c>
      <c r="D1209" s="5" t="s">
        <v>16</v>
      </c>
      <c r="E1209" s="5" t="s">
        <v>3162</v>
      </c>
      <c r="F1209" s="6">
        <v>7995</v>
      </c>
    </row>
    <row r="1210" spans="1:6" x14ac:dyDescent="0.15">
      <c r="A1210" s="5" t="s">
        <v>35</v>
      </c>
      <c r="B1210" s="5" t="s">
        <v>3161</v>
      </c>
      <c r="C1210" s="9">
        <v>42916</v>
      </c>
      <c r="D1210" s="5" t="s">
        <v>16</v>
      </c>
      <c r="E1210" s="5" t="s">
        <v>3162</v>
      </c>
      <c r="F1210" s="6">
        <v>2047.5</v>
      </c>
    </row>
    <row r="1211" spans="1:6" x14ac:dyDescent="0.15">
      <c r="A1211" s="5" t="s">
        <v>41</v>
      </c>
      <c r="B1211" s="5" t="s">
        <v>1890</v>
      </c>
      <c r="C1211" s="9">
        <v>42949</v>
      </c>
      <c r="D1211" s="5" t="s">
        <v>16</v>
      </c>
      <c r="E1211" s="5" t="s">
        <v>1891</v>
      </c>
      <c r="F1211" s="6">
        <v>5335</v>
      </c>
    </row>
    <row r="1212" spans="1:6" x14ac:dyDescent="0.15">
      <c r="A1212" s="5" t="s">
        <v>35</v>
      </c>
      <c r="B1212" s="5" t="s">
        <v>3163</v>
      </c>
      <c r="C1212" s="9">
        <v>42916</v>
      </c>
      <c r="D1212" s="5" t="s">
        <v>16</v>
      </c>
      <c r="E1212" s="5" t="s">
        <v>1879</v>
      </c>
      <c r="F1212" s="6">
        <v>3900</v>
      </c>
    </row>
    <row r="1213" spans="1:6" x14ac:dyDescent="0.15">
      <c r="A1213" s="5" t="s">
        <v>41</v>
      </c>
      <c r="B1213" s="5" t="s">
        <v>1878</v>
      </c>
      <c r="C1213" s="9">
        <v>42916</v>
      </c>
      <c r="D1213" s="5" t="s">
        <v>16</v>
      </c>
      <c r="E1213" s="5" t="s">
        <v>1879</v>
      </c>
      <c r="F1213" s="6">
        <v>970</v>
      </c>
    </row>
    <row r="1214" spans="1:6" x14ac:dyDescent="0.15">
      <c r="A1214" s="5" t="s">
        <v>44</v>
      </c>
      <c r="B1214" s="5" t="s">
        <v>4346</v>
      </c>
      <c r="C1214" s="9">
        <v>42922</v>
      </c>
      <c r="D1214" s="5" t="s">
        <v>16</v>
      </c>
      <c r="E1214" s="5" t="s">
        <v>4347</v>
      </c>
      <c r="F1214" s="6">
        <v>19500</v>
      </c>
    </row>
    <row r="1215" spans="1:6" x14ac:dyDescent="0.15">
      <c r="A1215" s="5" t="s">
        <v>44</v>
      </c>
      <c r="B1215" s="5" t="s">
        <v>4348</v>
      </c>
      <c r="C1215" s="9">
        <v>42927</v>
      </c>
      <c r="D1215" s="5" t="s">
        <v>16</v>
      </c>
      <c r="E1215" s="5" t="s">
        <v>4349</v>
      </c>
      <c r="F1215" s="6">
        <v>17550</v>
      </c>
    </row>
    <row r="1216" spans="1:6" x14ac:dyDescent="0.15">
      <c r="A1216" s="5" t="s">
        <v>158</v>
      </c>
      <c r="B1216" s="5" t="s">
        <v>8555</v>
      </c>
      <c r="C1216" s="9">
        <v>42933</v>
      </c>
      <c r="D1216" s="5" t="s">
        <v>16</v>
      </c>
      <c r="E1216" s="5" t="s">
        <v>8556</v>
      </c>
      <c r="F1216" s="6">
        <v>15210</v>
      </c>
    </row>
    <row r="1217" spans="1:6" x14ac:dyDescent="0.15">
      <c r="A1217" s="5" t="s">
        <v>37</v>
      </c>
      <c r="B1217" s="5" t="s">
        <v>6835</v>
      </c>
      <c r="C1217" s="9">
        <v>42968</v>
      </c>
      <c r="D1217" s="5" t="s">
        <v>16</v>
      </c>
      <c r="E1217" s="5" t="s">
        <v>3203</v>
      </c>
      <c r="F1217" s="6">
        <v>7800</v>
      </c>
    </row>
    <row r="1218" spans="1:6" x14ac:dyDescent="0.15">
      <c r="A1218" s="5" t="s">
        <v>37</v>
      </c>
      <c r="B1218" s="5" t="s">
        <v>6835</v>
      </c>
      <c r="C1218" s="9">
        <v>42968</v>
      </c>
      <c r="D1218" s="5" t="s">
        <v>16</v>
      </c>
      <c r="E1218" s="5" t="s">
        <v>3203</v>
      </c>
      <c r="F1218" s="6">
        <v>21450</v>
      </c>
    </row>
    <row r="1219" spans="1:6" x14ac:dyDescent="0.15">
      <c r="A1219" s="5" t="s">
        <v>35</v>
      </c>
      <c r="B1219" s="5" t="s">
        <v>3202</v>
      </c>
      <c r="C1219" s="9">
        <v>42948</v>
      </c>
      <c r="D1219" s="5" t="s">
        <v>16</v>
      </c>
      <c r="E1219" s="5" t="s">
        <v>3203</v>
      </c>
      <c r="F1219" s="6">
        <v>9750</v>
      </c>
    </row>
    <row r="1220" spans="1:6" x14ac:dyDescent="0.15">
      <c r="A1220" s="5" t="s">
        <v>37</v>
      </c>
      <c r="B1220" s="5" t="s">
        <v>6788</v>
      </c>
      <c r="C1220" s="9">
        <v>42942</v>
      </c>
      <c r="D1220" s="5" t="s">
        <v>16</v>
      </c>
      <c r="E1220" s="5" t="s">
        <v>6789</v>
      </c>
      <c r="F1220" s="6">
        <v>11700</v>
      </c>
    </row>
    <row r="1221" spans="1:6" x14ac:dyDescent="0.15">
      <c r="A1221" s="5" t="s">
        <v>35</v>
      </c>
      <c r="B1221" s="5" t="s">
        <v>3171</v>
      </c>
      <c r="C1221" s="9">
        <v>42923</v>
      </c>
      <c r="D1221" s="5" t="s">
        <v>16</v>
      </c>
      <c r="E1221" s="5" t="s">
        <v>2389</v>
      </c>
      <c r="F1221" s="6">
        <v>3900</v>
      </c>
    </row>
    <row r="1222" spans="1:6" x14ac:dyDescent="0.15">
      <c r="A1222" s="5" t="s">
        <v>40</v>
      </c>
      <c r="B1222" s="5" t="s">
        <v>2388</v>
      </c>
      <c r="C1222" s="9">
        <v>42923</v>
      </c>
      <c r="D1222" s="5" t="s">
        <v>16</v>
      </c>
      <c r="E1222" s="5" t="s">
        <v>2389</v>
      </c>
      <c r="F1222" s="6">
        <v>1500</v>
      </c>
    </row>
    <row r="1223" spans="1:6" x14ac:dyDescent="0.15">
      <c r="A1223" s="5" t="s">
        <v>37</v>
      </c>
      <c r="B1223" s="5" t="s">
        <v>6742</v>
      </c>
      <c r="C1223" s="9">
        <v>42920</v>
      </c>
      <c r="D1223" s="5" t="s">
        <v>16</v>
      </c>
      <c r="E1223" s="5" t="s">
        <v>6743</v>
      </c>
      <c r="F1223" s="6">
        <v>3022.5</v>
      </c>
    </row>
    <row r="1224" spans="1:6" x14ac:dyDescent="0.15">
      <c r="A1224" s="5" t="s">
        <v>37</v>
      </c>
      <c r="B1224" s="5" t="s">
        <v>6752</v>
      </c>
      <c r="C1224" s="9">
        <v>42922</v>
      </c>
      <c r="D1224" s="5" t="s">
        <v>16</v>
      </c>
      <c r="E1224" s="5" t="s">
        <v>3170</v>
      </c>
      <c r="F1224" s="6">
        <v>7800</v>
      </c>
    </row>
    <row r="1225" spans="1:6" x14ac:dyDescent="0.15">
      <c r="A1225" s="5" t="s">
        <v>43</v>
      </c>
      <c r="B1225" s="5" t="s">
        <v>4867</v>
      </c>
      <c r="C1225" s="9">
        <v>42922</v>
      </c>
      <c r="D1225" s="5" t="s">
        <v>16</v>
      </c>
      <c r="E1225" s="5" t="s">
        <v>3170</v>
      </c>
      <c r="F1225" s="6">
        <v>970</v>
      </c>
    </row>
    <row r="1226" spans="1:6" x14ac:dyDescent="0.15">
      <c r="A1226" s="5" t="s">
        <v>35</v>
      </c>
      <c r="B1226" s="5" t="s">
        <v>3169</v>
      </c>
      <c r="C1226" s="9">
        <v>42922</v>
      </c>
      <c r="D1226" s="5" t="s">
        <v>16</v>
      </c>
      <c r="E1226" s="5" t="s">
        <v>3170</v>
      </c>
      <c r="F1226" s="6">
        <v>975</v>
      </c>
    </row>
    <row r="1227" spans="1:6" x14ac:dyDescent="0.15">
      <c r="A1227" s="5" t="s">
        <v>37</v>
      </c>
      <c r="B1227" s="5" t="s">
        <v>6744</v>
      </c>
      <c r="C1227" s="9">
        <v>42920</v>
      </c>
      <c r="D1227" s="5" t="s">
        <v>16</v>
      </c>
      <c r="E1227" s="5" t="s">
        <v>6745</v>
      </c>
      <c r="F1227" s="6">
        <v>1170</v>
      </c>
    </row>
    <row r="1228" spans="1:6" x14ac:dyDescent="0.15">
      <c r="A1228" s="5" t="s">
        <v>35</v>
      </c>
      <c r="B1228" s="5" t="s">
        <v>3164</v>
      </c>
      <c r="C1228" s="9">
        <v>42919</v>
      </c>
      <c r="D1228" s="5" t="s">
        <v>16</v>
      </c>
      <c r="E1228" s="5" t="s">
        <v>3165</v>
      </c>
      <c r="F1228" s="6">
        <v>5070</v>
      </c>
    </row>
    <row r="1229" spans="1:6" x14ac:dyDescent="0.15">
      <c r="A1229" s="5" t="s">
        <v>35</v>
      </c>
      <c r="B1229" s="5" t="s">
        <v>3167</v>
      </c>
      <c r="C1229" s="9">
        <v>42920</v>
      </c>
      <c r="D1229" s="5" t="s">
        <v>16</v>
      </c>
      <c r="E1229" s="5" t="s">
        <v>3168</v>
      </c>
      <c r="F1229" s="6">
        <v>5070</v>
      </c>
    </row>
    <row r="1230" spans="1:6" x14ac:dyDescent="0.15">
      <c r="A1230" s="5" t="s">
        <v>37</v>
      </c>
      <c r="B1230" s="5" t="s">
        <v>6740</v>
      </c>
      <c r="C1230" s="9">
        <v>42919</v>
      </c>
      <c r="D1230" s="5" t="s">
        <v>16</v>
      </c>
      <c r="E1230" s="5" t="s">
        <v>6741</v>
      </c>
      <c r="F1230" s="6">
        <v>390</v>
      </c>
    </row>
    <row r="1231" spans="1:6" x14ac:dyDescent="0.15">
      <c r="A1231" s="5" t="s">
        <v>37</v>
      </c>
      <c r="B1231" s="5" t="s">
        <v>6746</v>
      </c>
      <c r="C1231" s="9">
        <v>42920</v>
      </c>
      <c r="D1231" s="5" t="s">
        <v>16</v>
      </c>
      <c r="E1231" s="5" t="s">
        <v>6747</v>
      </c>
      <c r="F1231" s="6">
        <v>2145</v>
      </c>
    </row>
    <row r="1232" spans="1:6" x14ac:dyDescent="0.15">
      <c r="A1232" s="5" t="s">
        <v>37</v>
      </c>
      <c r="B1232" s="5" t="s">
        <v>6753</v>
      </c>
      <c r="C1232" s="9">
        <v>42926</v>
      </c>
      <c r="D1232" s="5" t="s">
        <v>16</v>
      </c>
      <c r="E1232" s="5" t="s">
        <v>6754</v>
      </c>
      <c r="F1232" s="6">
        <v>3997.5</v>
      </c>
    </row>
    <row r="1233" spans="1:6" x14ac:dyDescent="0.15">
      <c r="A1233" s="5" t="s">
        <v>37</v>
      </c>
      <c r="B1233" s="5" t="s">
        <v>6748</v>
      </c>
      <c r="C1233" s="9">
        <v>42920</v>
      </c>
      <c r="D1233" s="5" t="s">
        <v>16</v>
      </c>
      <c r="E1233" s="5" t="s">
        <v>6749</v>
      </c>
      <c r="F1233" s="6">
        <v>7800</v>
      </c>
    </row>
    <row r="1234" spans="1:6" x14ac:dyDescent="0.15">
      <c r="A1234" s="5" t="s">
        <v>44</v>
      </c>
      <c r="B1234" s="5" t="s">
        <v>4350</v>
      </c>
      <c r="C1234" s="9">
        <v>42930</v>
      </c>
      <c r="D1234" s="5" t="s">
        <v>16</v>
      </c>
      <c r="E1234" s="5" t="s">
        <v>4351</v>
      </c>
      <c r="F1234" s="6">
        <v>10042.5</v>
      </c>
    </row>
    <row r="1235" spans="1:6" x14ac:dyDescent="0.15">
      <c r="A1235" s="5" t="s">
        <v>44</v>
      </c>
      <c r="B1235" s="5" t="s">
        <v>4354</v>
      </c>
      <c r="C1235" s="9">
        <v>42984</v>
      </c>
      <c r="D1235" s="5" t="s">
        <v>16</v>
      </c>
      <c r="E1235" s="5" t="s">
        <v>4355</v>
      </c>
      <c r="F1235" s="6">
        <v>25350</v>
      </c>
    </row>
    <row r="1236" spans="1:6" x14ac:dyDescent="0.15">
      <c r="A1236" s="5" t="s">
        <v>43</v>
      </c>
      <c r="B1236" s="5" t="s">
        <v>4868</v>
      </c>
      <c r="C1236" s="9">
        <v>42922</v>
      </c>
      <c r="D1236" s="5" t="s">
        <v>16</v>
      </c>
      <c r="E1236" s="5" t="s">
        <v>4869</v>
      </c>
      <c r="F1236" s="6">
        <v>48.5</v>
      </c>
    </row>
    <row r="1237" spans="1:6" x14ac:dyDescent="0.15">
      <c r="A1237" s="5" t="s">
        <v>35</v>
      </c>
      <c r="B1237" s="5" t="s">
        <v>3166</v>
      </c>
      <c r="C1237" s="9">
        <v>42919</v>
      </c>
      <c r="D1237" s="5" t="s">
        <v>16</v>
      </c>
      <c r="E1237" s="5" t="s">
        <v>1881</v>
      </c>
      <c r="F1237" s="6">
        <v>292.5</v>
      </c>
    </row>
    <row r="1238" spans="1:6" x14ac:dyDescent="0.15">
      <c r="A1238" s="5" t="s">
        <v>41</v>
      </c>
      <c r="B1238" s="5" t="s">
        <v>1880</v>
      </c>
      <c r="C1238" s="9">
        <v>42919</v>
      </c>
      <c r="D1238" s="5" t="s">
        <v>16</v>
      </c>
      <c r="E1238" s="5" t="s">
        <v>1881</v>
      </c>
      <c r="F1238" s="6">
        <v>97</v>
      </c>
    </row>
    <row r="1239" spans="1:6" x14ac:dyDescent="0.15">
      <c r="A1239" s="5" t="s">
        <v>37</v>
      </c>
      <c r="B1239" s="5" t="s">
        <v>6750</v>
      </c>
      <c r="C1239" s="9">
        <v>42921</v>
      </c>
      <c r="D1239" s="5" t="s">
        <v>16</v>
      </c>
      <c r="E1239" s="5" t="s">
        <v>6751</v>
      </c>
      <c r="F1239" s="6">
        <v>12090</v>
      </c>
    </row>
    <row r="1240" spans="1:6" x14ac:dyDescent="0.15">
      <c r="A1240" s="5" t="s">
        <v>37</v>
      </c>
      <c r="B1240" s="5" t="s">
        <v>6758</v>
      </c>
      <c r="C1240" s="9">
        <v>42928</v>
      </c>
      <c r="D1240" s="5" t="s">
        <v>16</v>
      </c>
      <c r="E1240" s="5" t="s">
        <v>6759</v>
      </c>
      <c r="F1240" s="6">
        <v>2437.5</v>
      </c>
    </row>
    <row r="1241" spans="1:6" x14ac:dyDescent="0.15">
      <c r="A1241" s="5" t="s">
        <v>35</v>
      </c>
      <c r="B1241" s="5" t="s">
        <v>3173</v>
      </c>
      <c r="C1241" s="9">
        <v>42928</v>
      </c>
      <c r="D1241" s="5" t="s">
        <v>16</v>
      </c>
      <c r="E1241" s="5" t="s">
        <v>3174</v>
      </c>
      <c r="F1241" s="6">
        <v>1657.5</v>
      </c>
    </row>
    <row r="1242" spans="1:6" x14ac:dyDescent="0.15">
      <c r="A1242" s="5" t="s">
        <v>37</v>
      </c>
      <c r="B1242" s="5" t="s">
        <v>6756</v>
      </c>
      <c r="C1242" s="9">
        <v>42927</v>
      </c>
      <c r="D1242" s="5" t="s">
        <v>16</v>
      </c>
      <c r="E1242" s="5" t="s">
        <v>6757</v>
      </c>
      <c r="F1242" s="6">
        <v>2047.5</v>
      </c>
    </row>
    <row r="1243" spans="1:6" x14ac:dyDescent="0.15">
      <c r="A1243" s="5" t="s">
        <v>1734</v>
      </c>
      <c r="B1243" s="5" t="s">
        <v>1739</v>
      </c>
      <c r="C1243" s="9">
        <v>42930</v>
      </c>
      <c r="D1243" s="5" t="s">
        <v>16</v>
      </c>
      <c r="E1243" s="5" t="s">
        <v>1740</v>
      </c>
      <c r="F1243" s="6">
        <v>1</v>
      </c>
    </row>
    <row r="1244" spans="1:6" x14ac:dyDescent="0.15">
      <c r="A1244" s="5" t="s">
        <v>49</v>
      </c>
      <c r="B1244" s="5" t="s">
        <v>8651</v>
      </c>
      <c r="C1244" s="9">
        <v>42929</v>
      </c>
      <c r="D1244" s="5" t="s">
        <v>16</v>
      </c>
      <c r="E1244" s="5" t="s">
        <v>8652</v>
      </c>
      <c r="F1244" s="6">
        <v>750</v>
      </c>
    </row>
    <row r="1245" spans="1:6" x14ac:dyDescent="0.15">
      <c r="A1245" s="5" t="s">
        <v>37</v>
      </c>
      <c r="B1245" s="5" t="s">
        <v>6760</v>
      </c>
      <c r="C1245" s="9">
        <v>42929</v>
      </c>
      <c r="D1245" s="5" t="s">
        <v>16</v>
      </c>
      <c r="E1245" s="5" t="s">
        <v>6761</v>
      </c>
      <c r="F1245" s="6">
        <v>7800</v>
      </c>
    </row>
    <row r="1246" spans="1:6" x14ac:dyDescent="0.15">
      <c r="A1246" s="5" t="s">
        <v>42</v>
      </c>
      <c r="B1246" s="5" t="s">
        <v>5806</v>
      </c>
      <c r="C1246" s="9">
        <v>42929</v>
      </c>
      <c r="D1246" s="5" t="s">
        <v>16</v>
      </c>
      <c r="E1246" s="5" t="s">
        <v>5807</v>
      </c>
      <c r="F1246" s="6">
        <v>3825</v>
      </c>
    </row>
    <row r="1247" spans="1:6" x14ac:dyDescent="0.15">
      <c r="A1247" s="5" t="s">
        <v>37</v>
      </c>
      <c r="B1247" s="5" t="s">
        <v>6762</v>
      </c>
      <c r="C1247" s="9">
        <v>42929</v>
      </c>
      <c r="D1247" s="5" t="s">
        <v>16</v>
      </c>
      <c r="E1247" s="5" t="s">
        <v>5807</v>
      </c>
      <c r="F1247" s="6">
        <v>1657.5</v>
      </c>
    </row>
    <row r="1248" spans="1:6" x14ac:dyDescent="0.15">
      <c r="A1248" s="5" t="s">
        <v>35</v>
      </c>
      <c r="B1248" s="5" t="s">
        <v>3175</v>
      </c>
      <c r="C1248" s="9">
        <v>42930</v>
      </c>
      <c r="D1248" s="5" t="s">
        <v>16</v>
      </c>
      <c r="E1248" s="5" t="s">
        <v>3176</v>
      </c>
      <c r="F1248" s="6">
        <v>1170</v>
      </c>
    </row>
    <row r="1249" spans="1:6" x14ac:dyDescent="0.15">
      <c r="A1249" s="5" t="s">
        <v>43</v>
      </c>
      <c r="B1249" s="5" t="s">
        <v>4876</v>
      </c>
      <c r="C1249" s="9">
        <v>42930</v>
      </c>
      <c r="D1249" s="5" t="s">
        <v>16</v>
      </c>
      <c r="E1249" s="5" t="s">
        <v>4877</v>
      </c>
      <c r="F1249" s="6">
        <v>970</v>
      </c>
    </row>
    <row r="1250" spans="1:6" x14ac:dyDescent="0.15">
      <c r="A1250" s="5" t="s">
        <v>42</v>
      </c>
      <c r="B1250" s="5" t="s">
        <v>5808</v>
      </c>
      <c r="C1250" s="9">
        <v>42930</v>
      </c>
      <c r="D1250" s="5" t="s">
        <v>16</v>
      </c>
      <c r="E1250" s="5" t="s">
        <v>5809</v>
      </c>
      <c r="F1250" s="6">
        <v>1350</v>
      </c>
    </row>
    <row r="1251" spans="1:6" x14ac:dyDescent="0.15">
      <c r="A1251" s="5" t="s">
        <v>37</v>
      </c>
      <c r="B1251" s="5" t="s">
        <v>6763</v>
      </c>
      <c r="C1251" s="9">
        <v>42930</v>
      </c>
      <c r="D1251" s="5" t="s">
        <v>16</v>
      </c>
      <c r="E1251" s="5" t="s">
        <v>5809</v>
      </c>
      <c r="F1251" s="6">
        <v>3315</v>
      </c>
    </row>
    <row r="1252" spans="1:6" x14ac:dyDescent="0.15">
      <c r="A1252" s="5" t="s">
        <v>37</v>
      </c>
      <c r="B1252" s="5" t="s">
        <v>6764</v>
      </c>
      <c r="C1252" s="9">
        <v>42931</v>
      </c>
      <c r="D1252" s="5" t="s">
        <v>16</v>
      </c>
      <c r="E1252" s="5" t="s">
        <v>6765</v>
      </c>
      <c r="F1252" s="6">
        <v>6142.5</v>
      </c>
    </row>
    <row r="1253" spans="1:6" x14ac:dyDescent="0.15">
      <c r="A1253" s="5" t="s">
        <v>49</v>
      </c>
      <c r="B1253" s="5" t="s">
        <v>8653</v>
      </c>
      <c r="C1253" s="9">
        <v>42931</v>
      </c>
      <c r="D1253" s="5" t="s">
        <v>16</v>
      </c>
      <c r="E1253" s="5" t="s">
        <v>8654</v>
      </c>
      <c r="F1253" s="6">
        <v>400</v>
      </c>
    </row>
    <row r="1254" spans="1:6" x14ac:dyDescent="0.15">
      <c r="A1254" s="5" t="s">
        <v>35</v>
      </c>
      <c r="B1254" s="5" t="s">
        <v>3184</v>
      </c>
      <c r="C1254" s="9">
        <v>42935</v>
      </c>
      <c r="D1254" s="5" t="s">
        <v>16</v>
      </c>
      <c r="E1254" s="5" t="s">
        <v>3185</v>
      </c>
      <c r="F1254" s="6">
        <v>7800</v>
      </c>
    </row>
    <row r="1255" spans="1:6" x14ac:dyDescent="0.15">
      <c r="A1255" s="5" t="s">
        <v>37</v>
      </c>
      <c r="B1255" s="5" t="s">
        <v>6770</v>
      </c>
      <c r="C1255" s="9">
        <v>42934</v>
      </c>
      <c r="D1255" s="5" t="s">
        <v>16</v>
      </c>
      <c r="E1255" s="5" t="s">
        <v>6771</v>
      </c>
      <c r="F1255" s="6">
        <v>7800</v>
      </c>
    </row>
    <row r="1256" spans="1:6" x14ac:dyDescent="0.15">
      <c r="A1256" s="5" t="s">
        <v>35</v>
      </c>
      <c r="B1256" s="5" t="s">
        <v>3181</v>
      </c>
      <c r="C1256" s="9">
        <v>42934</v>
      </c>
      <c r="D1256" s="5" t="s">
        <v>16</v>
      </c>
      <c r="E1256" s="5" t="s">
        <v>3182</v>
      </c>
      <c r="F1256" s="6">
        <v>4777.5</v>
      </c>
    </row>
    <row r="1257" spans="1:6" x14ac:dyDescent="0.15">
      <c r="A1257" s="5" t="s">
        <v>35</v>
      </c>
      <c r="B1257" s="5" t="s">
        <v>3177</v>
      </c>
      <c r="C1257" s="9">
        <v>42933</v>
      </c>
      <c r="D1257" s="5" t="s">
        <v>16</v>
      </c>
      <c r="E1257" s="5" t="s">
        <v>3178</v>
      </c>
      <c r="F1257" s="6">
        <v>3120</v>
      </c>
    </row>
    <row r="1258" spans="1:6" x14ac:dyDescent="0.15">
      <c r="A1258" s="5" t="s">
        <v>35</v>
      </c>
      <c r="B1258" s="5" t="s">
        <v>3179</v>
      </c>
      <c r="C1258" s="9">
        <v>42933</v>
      </c>
      <c r="D1258" s="5" t="s">
        <v>16</v>
      </c>
      <c r="E1258" s="5" t="s">
        <v>3180</v>
      </c>
      <c r="F1258" s="6">
        <v>3997.5</v>
      </c>
    </row>
    <row r="1259" spans="1:6" x14ac:dyDescent="0.15">
      <c r="A1259" s="5" t="s">
        <v>40</v>
      </c>
      <c r="B1259" s="5" t="s">
        <v>2402</v>
      </c>
      <c r="C1259" s="9">
        <v>42965</v>
      </c>
      <c r="D1259" s="5" t="s">
        <v>16</v>
      </c>
      <c r="E1259" s="5" t="s">
        <v>2403</v>
      </c>
      <c r="F1259" s="6">
        <v>3000</v>
      </c>
    </row>
    <row r="1260" spans="1:6" x14ac:dyDescent="0.15">
      <c r="A1260" s="5" t="s">
        <v>35</v>
      </c>
      <c r="B1260" s="5" t="s">
        <v>3207</v>
      </c>
      <c r="C1260" s="9">
        <v>42949</v>
      </c>
      <c r="D1260" s="5" t="s">
        <v>16</v>
      </c>
      <c r="E1260" s="5" t="s">
        <v>2403</v>
      </c>
      <c r="F1260" s="6">
        <v>14917.5</v>
      </c>
    </row>
    <row r="1261" spans="1:6" x14ac:dyDescent="0.15">
      <c r="A1261" s="5" t="s">
        <v>42</v>
      </c>
      <c r="B1261" s="5" t="s">
        <v>5814</v>
      </c>
      <c r="C1261" s="9">
        <v>42958</v>
      </c>
      <c r="D1261" s="5" t="s">
        <v>16</v>
      </c>
      <c r="E1261" s="5" t="s">
        <v>2403</v>
      </c>
      <c r="F1261" s="6">
        <v>4500</v>
      </c>
    </row>
    <row r="1262" spans="1:6" x14ac:dyDescent="0.15">
      <c r="A1262" s="5" t="s">
        <v>42</v>
      </c>
      <c r="B1262" s="5" t="s">
        <v>5814</v>
      </c>
      <c r="C1262" s="9">
        <v>42965</v>
      </c>
      <c r="D1262" s="5" t="s">
        <v>16</v>
      </c>
      <c r="E1262" s="5" t="s">
        <v>2403</v>
      </c>
      <c r="F1262" s="6">
        <v>5475</v>
      </c>
    </row>
    <row r="1263" spans="1:6" x14ac:dyDescent="0.15">
      <c r="A1263" s="5" t="s">
        <v>37</v>
      </c>
      <c r="B1263" s="5" t="s">
        <v>6823</v>
      </c>
      <c r="C1263" s="9">
        <v>42958</v>
      </c>
      <c r="D1263" s="5" t="s">
        <v>16</v>
      </c>
      <c r="E1263" s="5" t="s">
        <v>2403</v>
      </c>
      <c r="F1263" s="6">
        <v>19500</v>
      </c>
    </row>
    <row r="1264" spans="1:6" x14ac:dyDescent="0.15">
      <c r="A1264" s="5" t="s">
        <v>37</v>
      </c>
      <c r="B1264" s="5" t="s">
        <v>6823</v>
      </c>
      <c r="C1264" s="9">
        <v>42965</v>
      </c>
      <c r="D1264" s="5" t="s">
        <v>16</v>
      </c>
      <c r="E1264" s="5" t="s">
        <v>2403</v>
      </c>
      <c r="F1264" s="6">
        <v>4095</v>
      </c>
    </row>
    <row r="1265" spans="1:6" x14ac:dyDescent="0.15">
      <c r="A1265" s="5" t="s">
        <v>40</v>
      </c>
      <c r="B1265" s="5" t="s">
        <v>2390</v>
      </c>
      <c r="C1265" s="9">
        <v>42934</v>
      </c>
      <c r="D1265" s="5" t="s">
        <v>16</v>
      </c>
      <c r="E1265" s="5" t="s">
        <v>2391</v>
      </c>
      <c r="F1265" s="6">
        <v>75</v>
      </c>
    </row>
    <row r="1266" spans="1:6" x14ac:dyDescent="0.15">
      <c r="A1266" s="5" t="s">
        <v>35</v>
      </c>
      <c r="B1266" s="5" t="s">
        <v>3183</v>
      </c>
      <c r="C1266" s="9">
        <v>42934</v>
      </c>
      <c r="D1266" s="5" t="s">
        <v>16</v>
      </c>
      <c r="E1266" s="5" t="s">
        <v>2391</v>
      </c>
      <c r="F1266" s="6">
        <v>1267.5</v>
      </c>
    </row>
    <row r="1267" spans="1:6" x14ac:dyDescent="0.15">
      <c r="A1267" s="5" t="s">
        <v>43</v>
      </c>
      <c r="B1267" s="5" t="s">
        <v>4878</v>
      </c>
      <c r="C1267" s="9">
        <v>42934</v>
      </c>
      <c r="D1267" s="5" t="s">
        <v>16</v>
      </c>
      <c r="E1267" s="5" t="s">
        <v>4879</v>
      </c>
      <c r="F1267" s="6">
        <v>9991</v>
      </c>
    </row>
    <row r="1268" spans="1:6" x14ac:dyDescent="0.15">
      <c r="A1268" s="5" t="s">
        <v>37</v>
      </c>
      <c r="B1268" s="5" t="s">
        <v>6766</v>
      </c>
      <c r="C1268" s="9">
        <v>42933</v>
      </c>
      <c r="D1268" s="5" t="s">
        <v>16</v>
      </c>
      <c r="E1268" s="5" t="s">
        <v>6767</v>
      </c>
      <c r="F1268" s="6">
        <v>1852.5</v>
      </c>
    </row>
    <row r="1269" spans="1:6" x14ac:dyDescent="0.15">
      <c r="A1269" s="5" t="s">
        <v>37</v>
      </c>
      <c r="B1269" s="5" t="s">
        <v>6772</v>
      </c>
      <c r="C1269" s="9">
        <v>42935</v>
      </c>
      <c r="D1269" s="5" t="s">
        <v>16</v>
      </c>
      <c r="E1269" s="5" t="s">
        <v>6773</v>
      </c>
      <c r="F1269" s="6">
        <v>1267.5</v>
      </c>
    </row>
    <row r="1270" spans="1:6" x14ac:dyDescent="0.15">
      <c r="A1270" s="5" t="s">
        <v>43</v>
      </c>
      <c r="B1270" s="5" t="s">
        <v>4882</v>
      </c>
      <c r="C1270" s="9">
        <v>42942</v>
      </c>
      <c r="D1270" s="5" t="s">
        <v>16</v>
      </c>
      <c r="E1270" s="5" t="s">
        <v>4883</v>
      </c>
      <c r="F1270" s="6">
        <v>9603</v>
      </c>
    </row>
    <row r="1271" spans="1:6" x14ac:dyDescent="0.15">
      <c r="A1271" s="5" t="s">
        <v>37</v>
      </c>
      <c r="B1271" s="5" t="s">
        <v>6776</v>
      </c>
      <c r="C1271" s="9">
        <v>42936</v>
      </c>
      <c r="D1271" s="5" t="s">
        <v>16</v>
      </c>
      <c r="E1271" s="5" t="s">
        <v>6777</v>
      </c>
      <c r="F1271" s="6">
        <v>97.5</v>
      </c>
    </row>
    <row r="1272" spans="1:6" x14ac:dyDescent="0.15">
      <c r="A1272" s="5" t="s">
        <v>43</v>
      </c>
      <c r="B1272" s="5" t="s">
        <v>4890</v>
      </c>
      <c r="C1272" s="9">
        <v>42948</v>
      </c>
      <c r="D1272" s="5" t="s">
        <v>16</v>
      </c>
      <c r="E1272" s="5" t="s">
        <v>4891</v>
      </c>
      <c r="F1272" s="6">
        <v>5820</v>
      </c>
    </row>
    <row r="1273" spans="1:6" x14ac:dyDescent="0.15">
      <c r="A1273" s="5" t="s">
        <v>37</v>
      </c>
      <c r="B1273" s="5" t="s">
        <v>6801</v>
      </c>
      <c r="C1273" s="9">
        <v>42948</v>
      </c>
      <c r="D1273" s="5" t="s">
        <v>16</v>
      </c>
      <c r="E1273" s="5" t="s">
        <v>4891</v>
      </c>
      <c r="F1273" s="6">
        <v>3900</v>
      </c>
    </row>
    <row r="1274" spans="1:6" x14ac:dyDescent="0.15">
      <c r="A1274" s="5" t="s">
        <v>37</v>
      </c>
      <c r="B1274" s="5" t="s">
        <v>6783</v>
      </c>
      <c r="C1274" s="9">
        <v>42940</v>
      </c>
      <c r="D1274" s="5" t="s">
        <v>16</v>
      </c>
      <c r="E1274" s="5" t="s">
        <v>6784</v>
      </c>
      <c r="F1274" s="6">
        <v>-11992.5</v>
      </c>
    </row>
    <row r="1275" spans="1:6" x14ac:dyDescent="0.15">
      <c r="A1275" s="5" t="s">
        <v>37</v>
      </c>
      <c r="B1275" s="5" t="s">
        <v>6783</v>
      </c>
      <c r="C1275" s="9">
        <v>42940</v>
      </c>
      <c r="D1275" s="5" t="s">
        <v>16</v>
      </c>
      <c r="E1275" s="5" t="s">
        <v>6784</v>
      </c>
      <c r="F1275" s="6">
        <v>-97.5</v>
      </c>
    </row>
    <row r="1276" spans="1:6" x14ac:dyDescent="0.15">
      <c r="A1276" s="5" t="s">
        <v>37</v>
      </c>
      <c r="B1276" s="5" t="s">
        <v>6785</v>
      </c>
      <c r="C1276" s="9">
        <v>42940</v>
      </c>
      <c r="D1276" s="5" t="s">
        <v>16</v>
      </c>
      <c r="E1276" s="5" t="s">
        <v>6784</v>
      </c>
      <c r="F1276" s="6">
        <v>11992.5</v>
      </c>
    </row>
    <row r="1277" spans="1:6" x14ac:dyDescent="0.15">
      <c r="A1277" s="5" t="s">
        <v>37</v>
      </c>
      <c r="B1277" s="5" t="s">
        <v>6786</v>
      </c>
      <c r="C1277" s="9">
        <v>42940</v>
      </c>
      <c r="D1277" s="5" t="s">
        <v>16</v>
      </c>
      <c r="E1277" s="5" t="s">
        <v>5811</v>
      </c>
      <c r="F1277" s="6">
        <v>5655</v>
      </c>
    </row>
    <row r="1278" spans="1:6" x14ac:dyDescent="0.15">
      <c r="A1278" s="5" t="s">
        <v>42</v>
      </c>
      <c r="B1278" s="5" t="s">
        <v>5810</v>
      </c>
      <c r="C1278" s="9">
        <v>42940</v>
      </c>
      <c r="D1278" s="5" t="s">
        <v>16</v>
      </c>
      <c r="E1278" s="5" t="s">
        <v>5811</v>
      </c>
      <c r="F1278" s="6">
        <v>4350</v>
      </c>
    </row>
    <row r="1279" spans="1:6" x14ac:dyDescent="0.15">
      <c r="A1279" s="5" t="s">
        <v>41</v>
      </c>
      <c r="B1279" s="5" t="s">
        <v>1886</v>
      </c>
      <c r="C1279" s="9">
        <v>42936</v>
      </c>
      <c r="D1279" s="5" t="s">
        <v>16</v>
      </c>
      <c r="E1279" s="5" t="s">
        <v>1887</v>
      </c>
      <c r="F1279" s="6">
        <v>1455</v>
      </c>
    </row>
    <row r="1280" spans="1:6" x14ac:dyDescent="0.15">
      <c r="A1280" s="5" t="s">
        <v>37</v>
      </c>
      <c r="B1280" s="5" t="s">
        <v>6778</v>
      </c>
      <c r="C1280" s="9">
        <v>42936</v>
      </c>
      <c r="D1280" s="5" t="s">
        <v>16</v>
      </c>
      <c r="E1280" s="5" t="s">
        <v>6779</v>
      </c>
      <c r="F1280" s="6">
        <v>2535</v>
      </c>
    </row>
    <row r="1281" spans="1:6" x14ac:dyDescent="0.15">
      <c r="A1281" s="5" t="s">
        <v>51</v>
      </c>
      <c r="B1281" s="5" t="s">
        <v>4212</v>
      </c>
      <c r="C1281" s="9">
        <v>42935</v>
      </c>
      <c r="D1281" s="5" t="s">
        <v>16</v>
      </c>
      <c r="E1281" s="5" t="s">
        <v>4213</v>
      </c>
      <c r="F1281" s="6">
        <v>195</v>
      </c>
    </row>
    <row r="1282" spans="1:6" x14ac:dyDescent="0.15">
      <c r="A1282" s="5" t="s">
        <v>35</v>
      </c>
      <c r="B1282" s="5" t="s">
        <v>3186</v>
      </c>
      <c r="C1282" s="9">
        <v>42936</v>
      </c>
      <c r="D1282" s="5" t="s">
        <v>16</v>
      </c>
      <c r="E1282" s="5" t="s">
        <v>3187</v>
      </c>
      <c r="F1282" s="6">
        <v>7117.5</v>
      </c>
    </row>
    <row r="1283" spans="1:6" x14ac:dyDescent="0.15">
      <c r="A1283" s="5" t="s">
        <v>37</v>
      </c>
      <c r="B1283" s="5" t="s">
        <v>6781</v>
      </c>
      <c r="C1283" s="9">
        <v>42937</v>
      </c>
      <c r="D1283" s="5" t="s">
        <v>16</v>
      </c>
      <c r="E1283" s="5" t="s">
        <v>6782</v>
      </c>
      <c r="F1283" s="6">
        <v>7800</v>
      </c>
    </row>
    <row r="1284" spans="1:6" x14ac:dyDescent="0.15">
      <c r="A1284" s="5" t="s">
        <v>37</v>
      </c>
      <c r="B1284" s="5" t="s">
        <v>6774</v>
      </c>
      <c r="C1284" s="9">
        <v>42935</v>
      </c>
      <c r="D1284" s="5" t="s">
        <v>16</v>
      </c>
      <c r="E1284" s="5" t="s">
        <v>6775</v>
      </c>
      <c r="F1284" s="6">
        <v>2047.5</v>
      </c>
    </row>
    <row r="1285" spans="1:6" x14ac:dyDescent="0.15">
      <c r="A1285" s="5" t="s">
        <v>37</v>
      </c>
      <c r="B1285" s="5" t="s">
        <v>6768</v>
      </c>
      <c r="C1285" s="9">
        <v>42933</v>
      </c>
      <c r="D1285" s="5" t="s">
        <v>16</v>
      </c>
      <c r="E1285" s="5" t="s">
        <v>6769</v>
      </c>
      <c r="F1285" s="6">
        <v>11407.5</v>
      </c>
    </row>
    <row r="1286" spans="1:6" x14ac:dyDescent="0.15">
      <c r="A1286" s="5" t="s">
        <v>40</v>
      </c>
      <c r="B1286" s="5" t="s">
        <v>2392</v>
      </c>
      <c r="C1286" s="9">
        <v>42941</v>
      </c>
      <c r="D1286" s="5" t="s">
        <v>16</v>
      </c>
      <c r="E1286" s="5" t="s">
        <v>2393</v>
      </c>
      <c r="F1286" s="6">
        <v>75</v>
      </c>
    </row>
    <row r="1287" spans="1:6" x14ac:dyDescent="0.15">
      <c r="A1287" s="5" t="s">
        <v>43</v>
      </c>
      <c r="B1287" s="5" t="s">
        <v>4874</v>
      </c>
      <c r="C1287" s="9">
        <v>42928</v>
      </c>
      <c r="D1287" s="5" t="s">
        <v>16</v>
      </c>
      <c r="E1287" s="5" t="s">
        <v>4875</v>
      </c>
      <c r="F1287" s="6">
        <v>15000</v>
      </c>
    </row>
    <row r="1288" spans="1:6" x14ac:dyDescent="0.15">
      <c r="A1288" s="5" t="s">
        <v>43</v>
      </c>
      <c r="B1288" s="5" t="s">
        <v>4894</v>
      </c>
      <c r="C1288" s="9">
        <v>42954</v>
      </c>
      <c r="D1288" s="5" t="s">
        <v>16</v>
      </c>
      <c r="E1288" s="5" t="s">
        <v>1893</v>
      </c>
      <c r="F1288" s="6">
        <v>3880</v>
      </c>
    </row>
    <row r="1289" spans="1:6" x14ac:dyDescent="0.15">
      <c r="A1289" s="5" t="s">
        <v>43</v>
      </c>
      <c r="B1289" s="5" t="s">
        <v>4894</v>
      </c>
      <c r="C1289" s="9">
        <v>42968</v>
      </c>
      <c r="D1289" s="5" t="s">
        <v>16</v>
      </c>
      <c r="E1289" s="5" t="s">
        <v>1893</v>
      </c>
      <c r="F1289" s="6">
        <v>3880</v>
      </c>
    </row>
    <row r="1290" spans="1:6" x14ac:dyDescent="0.15">
      <c r="A1290" s="5" t="s">
        <v>41</v>
      </c>
      <c r="B1290" s="5" t="s">
        <v>1892</v>
      </c>
      <c r="C1290" s="9">
        <v>42954</v>
      </c>
      <c r="D1290" s="5" t="s">
        <v>16</v>
      </c>
      <c r="E1290" s="5" t="s">
        <v>1893</v>
      </c>
      <c r="F1290" s="6">
        <v>3880</v>
      </c>
    </row>
    <row r="1291" spans="1:6" x14ac:dyDescent="0.15">
      <c r="A1291" s="5" t="s">
        <v>43</v>
      </c>
      <c r="B1291" s="5" t="s">
        <v>4880</v>
      </c>
      <c r="C1291" s="9">
        <v>42941</v>
      </c>
      <c r="D1291" s="5" t="s">
        <v>16</v>
      </c>
      <c r="E1291" s="5" t="s">
        <v>4881</v>
      </c>
      <c r="F1291" s="6">
        <v>970</v>
      </c>
    </row>
    <row r="1292" spans="1:6" x14ac:dyDescent="0.15">
      <c r="A1292" s="5" t="s">
        <v>37</v>
      </c>
      <c r="B1292" s="5" t="s">
        <v>6787</v>
      </c>
      <c r="C1292" s="9">
        <v>42941</v>
      </c>
      <c r="D1292" s="5" t="s">
        <v>16</v>
      </c>
      <c r="E1292" s="5" t="s">
        <v>4881</v>
      </c>
      <c r="F1292" s="6">
        <v>4875</v>
      </c>
    </row>
    <row r="1293" spans="1:6" x14ac:dyDescent="0.15">
      <c r="A1293" s="5" t="s">
        <v>37</v>
      </c>
      <c r="B1293" s="5" t="s">
        <v>6780</v>
      </c>
      <c r="C1293" s="9">
        <v>42936</v>
      </c>
      <c r="D1293" s="5" t="s">
        <v>16</v>
      </c>
      <c r="E1293" s="5" t="s">
        <v>3189</v>
      </c>
      <c r="F1293" s="6">
        <v>15600</v>
      </c>
    </row>
    <row r="1294" spans="1:6" x14ac:dyDescent="0.15">
      <c r="A1294" s="5" t="s">
        <v>35</v>
      </c>
      <c r="B1294" s="5" t="s">
        <v>3188</v>
      </c>
      <c r="C1294" s="9">
        <v>42936</v>
      </c>
      <c r="D1294" s="5" t="s">
        <v>16</v>
      </c>
      <c r="E1294" s="5" t="s">
        <v>3189</v>
      </c>
      <c r="F1294" s="6">
        <v>975</v>
      </c>
    </row>
    <row r="1295" spans="1:6" x14ac:dyDescent="0.15">
      <c r="A1295" s="5" t="s">
        <v>51</v>
      </c>
      <c r="B1295" s="5" t="s">
        <v>4214</v>
      </c>
      <c r="C1295" s="9">
        <v>42942</v>
      </c>
      <c r="D1295" s="5" t="s">
        <v>16</v>
      </c>
      <c r="E1295" s="5" t="s">
        <v>4215</v>
      </c>
      <c r="F1295" s="6">
        <v>390</v>
      </c>
    </row>
    <row r="1296" spans="1:6" x14ac:dyDescent="0.15">
      <c r="A1296" s="5" t="s">
        <v>37</v>
      </c>
      <c r="B1296" s="5" t="s">
        <v>6790</v>
      </c>
      <c r="C1296" s="9">
        <v>42942</v>
      </c>
      <c r="D1296" s="5" t="s">
        <v>16</v>
      </c>
      <c r="E1296" s="5" t="s">
        <v>6791</v>
      </c>
      <c r="F1296" s="6">
        <v>4875</v>
      </c>
    </row>
    <row r="1297" spans="1:6" x14ac:dyDescent="0.15">
      <c r="A1297" s="5" t="s">
        <v>35</v>
      </c>
      <c r="B1297" s="5" t="s">
        <v>3194</v>
      </c>
      <c r="C1297" s="9">
        <v>42943</v>
      </c>
      <c r="D1297" s="5" t="s">
        <v>16</v>
      </c>
      <c r="E1297" s="5" t="s">
        <v>3195</v>
      </c>
      <c r="F1297" s="6">
        <v>195</v>
      </c>
    </row>
    <row r="1298" spans="1:6" x14ac:dyDescent="0.15">
      <c r="A1298" s="5" t="s">
        <v>37</v>
      </c>
      <c r="B1298" s="5" t="s">
        <v>6792</v>
      </c>
      <c r="C1298" s="9">
        <v>42942</v>
      </c>
      <c r="D1298" s="5" t="s">
        <v>16</v>
      </c>
      <c r="E1298" s="5" t="s">
        <v>3193</v>
      </c>
      <c r="F1298" s="6">
        <v>5850</v>
      </c>
    </row>
    <row r="1299" spans="1:6" x14ac:dyDescent="0.15">
      <c r="A1299" s="5" t="s">
        <v>35</v>
      </c>
      <c r="B1299" s="5" t="s">
        <v>3192</v>
      </c>
      <c r="C1299" s="9">
        <v>42942</v>
      </c>
      <c r="D1299" s="5" t="s">
        <v>16</v>
      </c>
      <c r="E1299" s="5" t="s">
        <v>3193</v>
      </c>
      <c r="F1299" s="6">
        <v>1950</v>
      </c>
    </row>
    <row r="1300" spans="1:6" x14ac:dyDescent="0.15">
      <c r="A1300" s="5" t="s">
        <v>37</v>
      </c>
      <c r="B1300" s="5" t="s">
        <v>6793</v>
      </c>
      <c r="C1300" s="9">
        <v>42943</v>
      </c>
      <c r="D1300" s="5" t="s">
        <v>16</v>
      </c>
      <c r="E1300" s="5" t="s">
        <v>6794</v>
      </c>
      <c r="F1300" s="6">
        <v>5850</v>
      </c>
    </row>
    <row r="1301" spans="1:6" x14ac:dyDescent="0.15">
      <c r="A1301" s="5" t="s">
        <v>40</v>
      </c>
      <c r="B1301" s="5" t="s">
        <v>2394</v>
      </c>
      <c r="C1301" s="9">
        <v>42943</v>
      </c>
      <c r="D1301" s="5" t="s">
        <v>16</v>
      </c>
      <c r="E1301" s="5" t="s">
        <v>2395</v>
      </c>
      <c r="F1301" s="6">
        <v>-75</v>
      </c>
    </row>
    <row r="1302" spans="1:6" x14ac:dyDescent="0.15">
      <c r="A1302" s="5" t="s">
        <v>35</v>
      </c>
      <c r="B1302" s="5" t="s">
        <v>3196</v>
      </c>
      <c r="C1302" s="9">
        <v>42943</v>
      </c>
      <c r="D1302" s="5" t="s">
        <v>16</v>
      </c>
      <c r="E1302" s="5" t="s">
        <v>2395</v>
      </c>
      <c r="F1302" s="6">
        <v>-1267.5</v>
      </c>
    </row>
    <row r="1303" spans="1:6" x14ac:dyDescent="0.15">
      <c r="A1303" s="5" t="s">
        <v>40</v>
      </c>
      <c r="B1303" s="5" t="s">
        <v>2396</v>
      </c>
      <c r="C1303" s="9">
        <v>42943</v>
      </c>
      <c r="D1303" s="5" t="s">
        <v>16</v>
      </c>
      <c r="E1303" s="5" t="s">
        <v>2397</v>
      </c>
      <c r="F1303" s="6">
        <v>75</v>
      </c>
    </row>
    <row r="1304" spans="1:6" x14ac:dyDescent="0.15">
      <c r="A1304" s="5" t="s">
        <v>35</v>
      </c>
      <c r="B1304" s="5" t="s">
        <v>3197</v>
      </c>
      <c r="C1304" s="9">
        <v>42943</v>
      </c>
      <c r="D1304" s="5" t="s">
        <v>16</v>
      </c>
      <c r="E1304" s="5" t="s">
        <v>2397</v>
      </c>
      <c r="F1304" s="6">
        <v>1267.5</v>
      </c>
    </row>
    <row r="1305" spans="1:6" x14ac:dyDescent="0.15">
      <c r="A1305" s="5" t="s">
        <v>43</v>
      </c>
      <c r="B1305" s="5" t="s">
        <v>4884</v>
      </c>
      <c r="C1305" s="9">
        <v>42944</v>
      </c>
      <c r="D1305" s="5" t="s">
        <v>16</v>
      </c>
      <c r="E1305" s="5" t="s">
        <v>4885</v>
      </c>
      <c r="F1305" s="6">
        <v>585</v>
      </c>
    </row>
    <row r="1306" spans="1:6" x14ac:dyDescent="0.15">
      <c r="A1306" s="5" t="s">
        <v>37</v>
      </c>
      <c r="B1306" s="5" t="s">
        <v>6797</v>
      </c>
      <c r="C1306" s="9">
        <v>42944</v>
      </c>
      <c r="D1306" s="5" t="s">
        <v>16</v>
      </c>
      <c r="E1306" s="5" t="s">
        <v>6798</v>
      </c>
      <c r="F1306" s="6">
        <v>2925</v>
      </c>
    </row>
    <row r="1307" spans="1:6" x14ac:dyDescent="0.15">
      <c r="A1307" s="5" t="s">
        <v>37</v>
      </c>
      <c r="B1307" s="5" t="s">
        <v>6795</v>
      </c>
      <c r="C1307" s="9">
        <v>42943</v>
      </c>
      <c r="D1307" s="5" t="s">
        <v>16</v>
      </c>
      <c r="E1307" s="5" t="s">
        <v>6796</v>
      </c>
      <c r="F1307" s="6">
        <v>5850</v>
      </c>
    </row>
    <row r="1308" spans="1:6" x14ac:dyDescent="0.15">
      <c r="A1308" s="5" t="s">
        <v>40</v>
      </c>
      <c r="B1308" s="5" t="s">
        <v>2398</v>
      </c>
      <c r="C1308" s="9">
        <v>42947</v>
      </c>
      <c r="D1308" s="5" t="s">
        <v>16</v>
      </c>
      <c r="E1308" s="5" t="s">
        <v>2399</v>
      </c>
      <c r="F1308" s="6">
        <v>1375</v>
      </c>
    </row>
    <row r="1309" spans="1:6" x14ac:dyDescent="0.15">
      <c r="A1309" s="5" t="s">
        <v>49</v>
      </c>
      <c r="B1309" s="5" t="s">
        <v>8655</v>
      </c>
      <c r="C1309" s="9">
        <v>42943</v>
      </c>
      <c r="D1309" s="5" t="s">
        <v>16</v>
      </c>
      <c r="E1309" s="5" t="s">
        <v>4488</v>
      </c>
      <c r="F1309" s="6">
        <v>1200</v>
      </c>
    </row>
    <row r="1310" spans="1:6" x14ac:dyDescent="0.15">
      <c r="A1310" s="5" t="s">
        <v>49</v>
      </c>
      <c r="B1310" s="5" t="s">
        <v>8656</v>
      </c>
      <c r="C1310" s="9">
        <v>42943</v>
      </c>
      <c r="D1310" s="5" t="s">
        <v>16</v>
      </c>
      <c r="E1310" s="5" t="s">
        <v>4488</v>
      </c>
      <c r="F1310" s="6">
        <v>1000</v>
      </c>
    </row>
    <row r="1311" spans="1:6" x14ac:dyDescent="0.15">
      <c r="A1311" s="5" t="s">
        <v>55</v>
      </c>
      <c r="B1311" s="5" t="s">
        <v>4487</v>
      </c>
      <c r="C1311" s="9">
        <v>42943</v>
      </c>
      <c r="D1311" s="5" t="s">
        <v>16</v>
      </c>
      <c r="E1311" s="5" t="s">
        <v>4488</v>
      </c>
      <c r="F1311" s="6">
        <v>200</v>
      </c>
    </row>
    <row r="1312" spans="1:6" x14ac:dyDescent="0.15">
      <c r="A1312" s="5" t="s">
        <v>37</v>
      </c>
      <c r="B1312" s="5" t="s">
        <v>6799</v>
      </c>
      <c r="C1312" s="9">
        <v>42947</v>
      </c>
      <c r="D1312" s="5" t="s">
        <v>16</v>
      </c>
      <c r="E1312" s="5" t="s">
        <v>6800</v>
      </c>
      <c r="F1312" s="6">
        <v>5070</v>
      </c>
    </row>
    <row r="1313" spans="1:6" x14ac:dyDescent="0.15">
      <c r="A1313" s="5" t="s">
        <v>35</v>
      </c>
      <c r="B1313" s="5" t="s">
        <v>3198</v>
      </c>
      <c r="C1313" s="9">
        <v>42947</v>
      </c>
      <c r="D1313" s="5" t="s">
        <v>16</v>
      </c>
      <c r="E1313" s="5" t="s">
        <v>3199</v>
      </c>
      <c r="F1313" s="6">
        <v>975</v>
      </c>
    </row>
    <row r="1314" spans="1:6" x14ac:dyDescent="0.15">
      <c r="A1314" s="5" t="s">
        <v>43</v>
      </c>
      <c r="B1314" s="5" t="s">
        <v>4886</v>
      </c>
      <c r="C1314" s="9">
        <v>42945</v>
      </c>
      <c r="D1314" s="5" t="s">
        <v>16</v>
      </c>
      <c r="E1314" s="5" t="s">
        <v>4887</v>
      </c>
      <c r="F1314" s="6">
        <v>2716</v>
      </c>
    </row>
    <row r="1315" spans="1:6" x14ac:dyDescent="0.15">
      <c r="A1315" s="5" t="s">
        <v>51</v>
      </c>
      <c r="B1315" s="5" t="s">
        <v>4216</v>
      </c>
      <c r="C1315" s="9">
        <v>42947</v>
      </c>
      <c r="D1315" s="5" t="s">
        <v>16</v>
      </c>
      <c r="E1315" s="5" t="s">
        <v>4217</v>
      </c>
      <c r="F1315" s="6">
        <v>195</v>
      </c>
    </row>
    <row r="1316" spans="1:6" x14ac:dyDescent="0.15">
      <c r="A1316" s="5" t="s">
        <v>43</v>
      </c>
      <c r="B1316" s="5" t="s">
        <v>4888</v>
      </c>
      <c r="C1316" s="9">
        <v>42947</v>
      </c>
      <c r="D1316" s="5" t="s">
        <v>16</v>
      </c>
      <c r="E1316" s="5" t="s">
        <v>4889</v>
      </c>
      <c r="F1316" s="6">
        <v>2279.5</v>
      </c>
    </row>
    <row r="1317" spans="1:6" x14ac:dyDescent="0.15">
      <c r="A1317" s="5" t="s">
        <v>37</v>
      </c>
      <c r="B1317" s="5" t="s">
        <v>6802</v>
      </c>
      <c r="C1317" s="9">
        <v>42948</v>
      </c>
      <c r="D1317" s="5" t="s">
        <v>16</v>
      </c>
      <c r="E1317" s="5" t="s">
        <v>6803</v>
      </c>
      <c r="F1317" s="6">
        <v>1072.5</v>
      </c>
    </row>
    <row r="1318" spans="1:6" x14ac:dyDescent="0.15">
      <c r="A1318" s="5" t="s">
        <v>37</v>
      </c>
      <c r="B1318" s="5" t="s">
        <v>6804</v>
      </c>
      <c r="C1318" s="9">
        <v>42948</v>
      </c>
      <c r="D1318" s="5" t="s">
        <v>16</v>
      </c>
      <c r="E1318" s="5" t="s">
        <v>6805</v>
      </c>
      <c r="F1318" s="6">
        <v>585</v>
      </c>
    </row>
    <row r="1319" spans="1:6" x14ac:dyDescent="0.15">
      <c r="A1319" s="5" t="s">
        <v>35</v>
      </c>
      <c r="B1319" s="5" t="s">
        <v>3208</v>
      </c>
      <c r="C1319" s="9">
        <v>42949</v>
      </c>
      <c r="D1319" s="5" t="s">
        <v>16</v>
      </c>
      <c r="E1319" s="5" t="s">
        <v>3209</v>
      </c>
      <c r="F1319" s="6">
        <v>975</v>
      </c>
    </row>
    <row r="1320" spans="1:6" x14ac:dyDescent="0.15">
      <c r="A1320" s="5" t="s">
        <v>37</v>
      </c>
      <c r="B1320" s="5" t="s">
        <v>6806</v>
      </c>
      <c r="C1320" s="9">
        <v>42949</v>
      </c>
      <c r="D1320" s="5" t="s">
        <v>16</v>
      </c>
      <c r="E1320" s="5" t="s">
        <v>6807</v>
      </c>
      <c r="F1320" s="6">
        <v>6825</v>
      </c>
    </row>
    <row r="1321" spans="1:6" x14ac:dyDescent="0.15">
      <c r="A1321" s="5" t="s">
        <v>37</v>
      </c>
      <c r="B1321" s="5" t="s">
        <v>6808</v>
      </c>
      <c r="C1321" s="9">
        <v>42950</v>
      </c>
      <c r="D1321" s="5" t="s">
        <v>16</v>
      </c>
      <c r="E1321" s="5" t="s">
        <v>5813</v>
      </c>
      <c r="F1321" s="6">
        <v>1755</v>
      </c>
    </row>
    <row r="1322" spans="1:6" x14ac:dyDescent="0.15">
      <c r="A1322" s="5" t="s">
        <v>42</v>
      </c>
      <c r="B1322" s="5" t="s">
        <v>5812</v>
      </c>
      <c r="C1322" s="9">
        <v>42950</v>
      </c>
      <c r="D1322" s="5" t="s">
        <v>16</v>
      </c>
      <c r="E1322" s="5" t="s">
        <v>5813</v>
      </c>
      <c r="F1322" s="6">
        <v>10050</v>
      </c>
    </row>
    <row r="1323" spans="1:6" x14ac:dyDescent="0.15">
      <c r="A1323" s="5" t="s">
        <v>57</v>
      </c>
      <c r="B1323" s="5" t="s">
        <v>5576</v>
      </c>
      <c r="C1323" s="9">
        <v>42988</v>
      </c>
      <c r="D1323" s="5" t="s">
        <v>16</v>
      </c>
      <c r="E1323" s="5" t="s">
        <v>5577</v>
      </c>
      <c r="F1323" s="6">
        <v>7760</v>
      </c>
    </row>
    <row r="1324" spans="1:6" x14ac:dyDescent="0.15">
      <c r="A1324" s="5" t="s">
        <v>64</v>
      </c>
      <c r="B1324" s="5" t="s">
        <v>6117</v>
      </c>
      <c r="C1324" s="9">
        <v>42988</v>
      </c>
      <c r="D1324" s="5" t="s">
        <v>16</v>
      </c>
      <c r="E1324" s="5" t="s">
        <v>5577</v>
      </c>
      <c r="F1324" s="6">
        <v>10500</v>
      </c>
    </row>
    <row r="1325" spans="1:6" x14ac:dyDescent="0.15">
      <c r="A1325" s="5" t="s">
        <v>53</v>
      </c>
      <c r="B1325" s="5" t="s">
        <v>8438</v>
      </c>
      <c r="C1325" s="9">
        <v>42988</v>
      </c>
      <c r="D1325" s="5" t="s">
        <v>16</v>
      </c>
      <c r="E1325" s="5" t="s">
        <v>5577</v>
      </c>
      <c r="F1325" s="6">
        <v>3900</v>
      </c>
    </row>
    <row r="1326" spans="1:6" x14ac:dyDescent="0.15">
      <c r="A1326" s="5" t="s">
        <v>63</v>
      </c>
      <c r="B1326" s="5" t="s">
        <v>2265</v>
      </c>
      <c r="C1326" s="9">
        <v>42997</v>
      </c>
      <c r="D1326" s="5" t="s">
        <v>16</v>
      </c>
      <c r="E1326" s="5" t="s">
        <v>2266</v>
      </c>
      <c r="F1326" s="6">
        <v>7760</v>
      </c>
    </row>
    <row r="1327" spans="1:6" x14ac:dyDescent="0.15">
      <c r="A1327" s="5" t="s">
        <v>174</v>
      </c>
      <c r="B1327" s="5" t="s">
        <v>2653</v>
      </c>
      <c r="C1327" s="9">
        <v>42997</v>
      </c>
      <c r="D1327" s="5" t="s">
        <v>16</v>
      </c>
      <c r="E1327" s="5" t="s">
        <v>2266</v>
      </c>
      <c r="F1327" s="6">
        <v>9000</v>
      </c>
    </row>
    <row r="1328" spans="1:6" x14ac:dyDescent="0.15">
      <c r="A1328" s="5" t="s">
        <v>53</v>
      </c>
      <c r="B1328" s="5" t="s">
        <v>8440</v>
      </c>
      <c r="C1328" s="9">
        <v>42997</v>
      </c>
      <c r="D1328" s="5" t="s">
        <v>16</v>
      </c>
      <c r="E1328" s="5" t="s">
        <v>2266</v>
      </c>
      <c r="F1328" s="6">
        <v>5850</v>
      </c>
    </row>
    <row r="1329" spans="1:6" x14ac:dyDescent="0.15">
      <c r="A1329" s="5" t="s">
        <v>37</v>
      </c>
      <c r="B1329" s="5" t="s">
        <v>6810</v>
      </c>
      <c r="C1329" s="9">
        <v>42954</v>
      </c>
      <c r="D1329" s="5" t="s">
        <v>16</v>
      </c>
      <c r="E1329" s="5" t="s">
        <v>6811</v>
      </c>
      <c r="F1329" s="6">
        <v>19500</v>
      </c>
    </row>
    <row r="1330" spans="1:6" x14ac:dyDescent="0.15">
      <c r="A1330" s="5" t="s">
        <v>37</v>
      </c>
      <c r="B1330" s="5" t="s">
        <v>6812</v>
      </c>
      <c r="C1330" s="9">
        <v>42954</v>
      </c>
      <c r="D1330" s="5" t="s">
        <v>16</v>
      </c>
      <c r="E1330" s="5" t="s">
        <v>6813</v>
      </c>
      <c r="F1330" s="6">
        <v>780</v>
      </c>
    </row>
    <row r="1331" spans="1:6" x14ac:dyDescent="0.15">
      <c r="A1331" s="5" t="s">
        <v>37</v>
      </c>
      <c r="B1331" s="5" t="s">
        <v>6814</v>
      </c>
      <c r="C1331" s="9">
        <v>42956</v>
      </c>
      <c r="D1331" s="5" t="s">
        <v>16</v>
      </c>
      <c r="E1331" s="5" t="s">
        <v>3213</v>
      </c>
      <c r="F1331" s="6">
        <v>5752.5</v>
      </c>
    </row>
    <row r="1332" spans="1:6" x14ac:dyDescent="0.15">
      <c r="A1332" s="5" t="s">
        <v>35</v>
      </c>
      <c r="B1332" s="5" t="s">
        <v>3212</v>
      </c>
      <c r="C1332" s="9">
        <v>42956</v>
      </c>
      <c r="D1332" s="5" t="s">
        <v>16</v>
      </c>
      <c r="E1332" s="5" t="s">
        <v>3213</v>
      </c>
      <c r="F1332" s="6">
        <v>1247.5</v>
      </c>
    </row>
    <row r="1333" spans="1:6" x14ac:dyDescent="0.15">
      <c r="A1333" s="5" t="s">
        <v>53</v>
      </c>
      <c r="B1333" s="5" t="s">
        <v>8433</v>
      </c>
      <c r="C1333" s="9">
        <v>42956</v>
      </c>
      <c r="D1333" s="5" t="s">
        <v>16</v>
      </c>
      <c r="E1333" s="5" t="s">
        <v>8434</v>
      </c>
      <c r="F1333" s="6">
        <v>7507.5</v>
      </c>
    </row>
    <row r="1334" spans="1:6" x14ac:dyDescent="0.15">
      <c r="A1334" s="5" t="s">
        <v>35</v>
      </c>
      <c r="B1334" s="5" t="s">
        <v>3214</v>
      </c>
      <c r="C1334" s="9">
        <v>42956</v>
      </c>
      <c r="D1334" s="5" t="s">
        <v>16</v>
      </c>
      <c r="E1334" s="5" t="s">
        <v>3215</v>
      </c>
      <c r="F1334" s="6">
        <v>5070</v>
      </c>
    </row>
    <row r="1335" spans="1:6" x14ac:dyDescent="0.15">
      <c r="A1335" s="5" t="s">
        <v>37</v>
      </c>
      <c r="B1335" s="5" t="s">
        <v>6815</v>
      </c>
      <c r="C1335" s="9">
        <v>42956</v>
      </c>
      <c r="D1335" s="5" t="s">
        <v>16</v>
      </c>
      <c r="E1335" s="5" t="s">
        <v>6816</v>
      </c>
      <c r="F1335" s="6">
        <v>1560</v>
      </c>
    </row>
    <row r="1336" spans="1:6" x14ac:dyDescent="0.15">
      <c r="A1336" s="5" t="s">
        <v>41</v>
      </c>
      <c r="B1336" s="5" t="s">
        <v>1888</v>
      </c>
      <c r="C1336" s="9">
        <v>42948</v>
      </c>
      <c r="D1336" s="5" t="s">
        <v>16</v>
      </c>
      <c r="E1336" s="5" t="s">
        <v>1889</v>
      </c>
      <c r="F1336" s="6">
        <v>1164</v>
      </c>
    </row>
    <row r="1337" spans="1:6" x14ac:dyDescent="0.15">
      <c r="A1337" s="5" t="s">
        <v>40</v>
      </c>
      <c r="B1337" s="5" t="s">
        <v>2400</v>
      </c>
      <c r="C1337" s="9">
        <v>42948</v>
      </c>
      <c r="D1337" s="5" t="s">
        <v>16</v>
      </c>
      <c r="E1337" s="5" t="s">
        <v>1889</v>
      </c>
      <c r="F1337" s="6">
        <v>1425</v>
      </c>
    </row>
    <row r="1338" spans="1:6" x14ac:dyDescent="0.15">
      <c r="A1338" s="5" t="s">
        <v>35</v>
      </c>
      <c r="B1338" s="5" t="s">
        <v>3204</v>
      </c>
      <c r="C1338" s="9">
        <v>42948</v>
      </c>
      <c r="D1338" s="5" t="s">
        <v>16</v>
      </c>
      <c r="E1338" s="5" t="s">
        <v>1889</v>
      </c>
      <c r="F1338" s="6">
        <v>5655</v>
      </c>
    </row>
    <row r="1339" spans="1:6" x14ac:dyDescent="0.15">
      <c r="A1339" s="5" t="s">
        <v>37</v>
      </c>
      <c r="B1339" s="5" t="s">
        <v>6817</v>
      </c>
      <c r="C1339" s="9">
        <v>42957</v>
      </c>
      <c r="D1339" s="5" t="s">
        <v>16</v>
      </c>
      <c r="E1339" s="5" t="s">
        <v>6818</v>
      </c>
      <c r="F1339" s="6">
        <v>20475</v>
      </c>
    </row>
    <row r="1340" spans="1:6" x14ac:dyDescent="0.15">
      <c r="A1340" s="5" t="s">
        <v>37</v>
      </c>
      <c r="B1340" s="5" t="s">
        <v>6819</v>
      </c>
      <c r="C1340" s="9">
        <v>42957</v>
      </c>
      <c r="D1340" s="5" t="s">
        <v>16</v>
      </c>
      <c r="E1340" s="5" t="s">
        <v>6820</v>
      </c>
      <c r="F1340" s="6">
        <v>390</v>
      </c>
    </row>
    <row r="1341" spans="1:6" x14ac:dyDescent="0.15">
      <c r="A1341" s="5" t="s">
        <v>43</v>
      </c>
      <c r="B1341" s="5" t="s">
        <v>4917</v>
      </c>
      <c r="C1341" s="9">
        <v>42991</v>
      </c>
      <c r="D1341" s="5" t="s">
        <v>16</v>
      </c>
      <c r="E1341" s="5" t="s">
        <v>4918</v>
      </c>
      <c r="F1341" s="6">
        <v>3395</v>
      </c>
    </row>
    <row r="1342" spans="1:6" x14ac:dyDescent="0.15">
      <c r="A1342" s="5" t="s">
        <v>43</v>
      </c>
      <c r="B1342" s="5" t="s">
        <v>4917</v>
      </c>
      <c r="C1342" s="9">
        <v>43003</v>
      </c>
      <c r="D1342" s="5" t="s">
        <v>16</v>
      </c>
      <c r="E1342" s="5" t="s">
        <v>4918</v>
      </c>
      <c r="F1342" s="6">
        <v>9700</v>
      </c>
    </row>
    <row r="1343" spans="1:6" x14ac:dyDescent="0.15">
      <c r="A1343" s="5" t="s">
        <v>43</v>
      </c>
      <c r="B1343" s="5" t="s">
        <v>4917</v>
      </c>
      <c r="C1343" s="9">
        <v>43017</v>
      </c>
      <c r="D1343" s="5" t="s">
        <v>16</v>
      </c>
      <c r="E1343" s="5" t="s">
        <v>4918</v>
      </c>
      <c r="F1343" s="6">
        <v>4365</v>
      </c>
    </row>
    <row r="1344" spans="1:6" x14ac:dyDescent="0.15">
      <c r="A1344" s="5" t="s">
        <v>37</v>
      </c>
      <c r="B1344" s="5" t="s">
        <v>6883</v>
      </c>
      <c r="C1344" s="9">
        <v>42991</v>
      </c>
      <c r="D1344" s="5" t="s">
        <v>16</v>
      </c>
      <c r="E1344" s="5" t="s">
        <v>4918</v>
      </c>
      <c r="F1344" s="6">
        <v>14040</v>
      </c>
    </row>
    <row r="1345" spans="1:6" x14ac:dyDescent="0.15">
      <c r="A1345" s="5" t="s">
        <v>37</v>
      </c>
      <c r="B1345" s="5" t="s">
        <v>6883</v>
      </c>
      <c r="C1345" s="9">
        <v>43003</v>
      </c>
      <c r="D1345" s="5" t="s">
        <v>16</v>
      </c>
      <c r="E1345" s="5" t="s">
        <v>4918</v>
      </c>
      <c r="F1345" s="6">
        <v>15600</v>
      </c>
    </row>
    <row r="1346" spans="1:6" x14ac:dyDescent="0.15">
      <c r="A1346" s="5" t="s">
        <v>37</v>
      </c>
      <c r="B1346" s="5" t="s">
        <v>6883</v>
      </c>
      <c r="C1346" s="9">
        <v>43017</v>
      </c>
      <c r="D1346" s="5" t="s">
        <v>16</v>
      </c>
      <c r="E1346" s="5" t="s">
        <v>4918</v>
      </c>
      <c r="F1346" s="6">
        <v>9750</v>
      </c>
    </row>
    <row r="1347" spans="1:6" x14ac:dyDescent="0.15">
      <c r="A1347" s="5" t="s">
        <v>37</v>
      </c>
      <c r="B1347" s="5" t="s">
        <v>6883</v>
      </c>
      <c r="C1347" s="9">
        <v>43019</v>
      </c>
      <c r="D1347" s="5" t="s">
        <v>16</v>
      </c>
      <c r="E1347" s="5" t="s">
        <v>4918</v>
      </c>
      <c r="F1347" s="6">
        <v>11700</v>
      </c>
    </row>
    <row r="1348" spans="1:6" x14ac:dyDescent="0.15">
      <c r="A1348" s="5" t="s">
        <v>37</v>
      </c>
      <c r="B1348" s="5" t="s">
        <v>6883</v>
      </c>
      <c r="C1348" s="9">
        <v>43024</v>
      </c>
      <c r="D1348" s="5" t="s">
        <v>16</v>
      </c>
      <c r="E1348" s="5" t="s">
        <v>4918</v>
      </c>
      <c r="F1348" s="6">
        <v>19500</v>
      </c>
    </row>
    <row r="1349" spans="1:6" x14ac:dyDescent="0.15">
      <c r="A1349" s="5" t="s">
        <v>37</v>
      </c>
      <c r="B1349" s="5" t="s">
        <v>6883</v>
      </c>
      <c r="C1349" s="9">
        <v>43031</v>
      </c>
      <c r="D1349" s="5" t="s">
        <v>16</v>
      </c>
      <c r="E1349" s="5" t="s">
        <v>4918</v>
      </c>
      <c r="F1349" s="6">
        <v>15600</v>
      </c>
    </row>
    <row r="1350" spans="1:6" x14ac:dyDescent="0.15">
      <c r="A1350" s="5" t="s">
        <v>37</v>
      </c>
      <c r="B1350" s="5" t="s">
        <v>6883</v>
      </c>
      <c r="C1350" s="9">
        <v>43045</v>
      </c>
      <c r="D1350" s="5" t="s">
        <v>16</v>
      </c>
      <c r="E1350" s="5" t="s">
        <v>4918</v>
      </c>
      <c r="F1350" s="6">
        <v>19500</v>
      </c>
    </row>
    <row r="1351" spans="1:6" x14ac:dyDescent="0.15">
      <c r="A1351" s="5" t="s">
        <v>37</v>
      </c>
      <c r="B1351" s="5" t="s">
        <v>6883</v>
      </c>
      <c r="C1351" s="9">
        <v>43052</v>
      </c>
      <c r="D1351" s="5" t="s">
        <v>16</v>
      </c>
      <c r="E1351" s="5" t="s">
        <v>4918</v>
      </c>
      <c r="F1351" s="6">
        <v>17160</v>
      </c>
    </row>
    <row r="1352" spans="1:6" x14ac:dyDescent="0.15">
      <c r="A1352" s="5" t="s">
        <v>41</v>
      </c>
      <c r="B1352" s="5" t="s">
        <v>1894</v>
      </c>
      <c r="C1352" s="9">
        <v>42958</v>
      </c>
      <c r="D1352" s="5" t="s">
        <v>16</v>
      </c>
      <c r="E1352" s="5" t="s">
        <v>1895</v>
      </c>
      <c r="F1352" s="6">
        <v>1940</v>
      </c>
    </row>
    <row r="1353" spans="1:6" x14ac:dyDescent="0.15">
      <c r="A1353" s="5" t="s">
        <v>40</v>
      </c>
      <c r="B1353" s="5" t="s">
        <v>2401</v>
      </c>
      <c r="C1353" s="9">
        <v>42958</v>
      </c>
      <c r="D1353" s="5" t="s">
        <v>16</v>
      </c>
      <c r="E1353" s="5" t="s">
        <v>1895</v>
      </c>
      <c r="F1353" s="6">
        <v>1500</v>
      </c>
    </row>
    <row r="1354" spans="1:6" x14ac:dyDescent="0.15">
      <c r="A1354" s="5" t="s">
        <v>37</v>
      </c>
      <c r="B1354" s="5" t="s">
        <v>6824</v>
      </c>
      <c r="C1354" s="9">
        <v>42958</v>
      </c>
      <c r="D1354" s="5" t="s">
        <v>16</v>
      </c>
      <c r="E1354" s="5" t="s">
        <v>6825</v>
      </c>
      <c r="F1354" s="6">
        <v>19500</v>
      </c>
    </row>
    <row r="1355" spans="1:6" x14ac:dyDescent="0.15">
      <c r="A1355" s="5" t="s">
        <v>49</v>
      </c>
      <c r="B1355" s="5" t="s">
        <v>8657</v>
      </c>
      <c r="C1355" s="9">
        <v>42958</v>
      </c>
      <c r="D1355" s="5" t="s">
        <v>16</v>
      </c>
      <c r="E1355" s="5" t="s">
        <v>8658</v>
      </c>
      <c r="F1355" s="6">
        <v>2000</v>
      </c>
    </row>
    <row r="1356" spans="1:6" x14ac:dyDescent="0.15">
      <c r="A1356" s="5" t="s">
        <v>37</v>
      </c>
      <c r="B1356" s="5" t="s">
        <v>6821</v>
      </c>
      <c r="C1356" s="9">
        <v>42957</v>
      </c>
      <c r="D1356" s="5" t="s">
        <v>16</v>
      </c>
      <c r="E1356" s="5" t="s">
        <v>6822</v>
      </c>
      <c r="F1356" s="6">
        <v>8970</v>
      </c>
    </row>
    <row r="1357" spans="1:6" x14ac:dyDescent="0.15">
      <c r="A1357" s="5" t="s">
        <v>35</v>
      </c>
      <c r="B1357" s="5" t="s">
        <v>3216</v>
      </c>
      <c r="C1357" s="9">
        <v>42963</v>
      </c>
      <c r="D1357" s="5" t="s">
        <v>16</v>
      </c>
      <c r="E1357" s="5" t="s">
        <v>3217</v>
      </c>
      <c r="F1357" s="6">
        <v>5070</v>
      </c>
    </row>
    <row r="1358" spans="1:6" x14ac:dyDescent="0.15">
      <c r="A1358" s="5" t="s">
        <v>37</v>
      </c>
      <c r="B1358" s="5" t="s">
        <v>6826</v>
      </c>
      <c r="C1358" s="9">
        <v>42963</v>
      </c>
      <c r="D1358" s="5" t="s">
        <v>16</v>
      </c>
      <c r="E1358" s="5" t="s">
        <v>6827</v>
      </c>
      <c r="F1358" s="6">
        <v>5070</v>
      </c>
    </row>
    <row r="1359" spans="1:6" x14ac:dyDescent="0.15">
      <c r="A1359" s="5" t="s">
        <v>43</v>
      </c>
      <c r="B1359" s="5" t="s">
        <v>4899</v>
      </c>
      <c r="C1359" s="9">
        <v>42969</v>
      </c>
      <c r="D1359" s="5" t="s">
        <v>16</v>
      </c>
      <c r="E1359" s="5" t="s">
        <v>1899</v>
      </c>
      <c r="F1359" s="6">
        <v>9700</v>
      </c>
    </row>
    <row r="1360" spans="1:6" x14ac:dyDescent="0.15">
      <c r="A1360" s="5" t="s">
        <v>37</v>
      </c>
      <c r="B1360" s="5" t="s">
        <v>6836</v>
      </c>
      <c r="C1360" s="9">
        <v>42969</v>
      </c>
      <c r="D1360" s="5" t="s">
        <v>16</v>
      </c>
      <c r="E1360" s="5" t="s">
        <v>1899</v>
      </c>
      <c r="F1360" s="6">
        <v>1950</v>
      </c>
    </row>
    <row r="1361" spans="1:6" x14ac:dyDescent="0.15">
      <c r="A1361" s="5" t="s">
        <v>41</v>
      </c>
      <c r="B1361" s="5" t="s">
        <v>1898</v>
      </c>
      <c r="C1361" s="9">
        <v>42969</v>
      </c>
      <c r="D1361" s="5" t="s">
        <v>16</v>
      </c>
      <c r="E1361" s="5" t="s">
        <v>1899</v>
      </c>
      <c r="F1361" s="6">
        <v>194</v>
      </c>
    </row>
    <row r="1362" spans="1:6" x14ac:dyDescent="0.15">
      <c r="A1362" s="5" t="s">
        <v>37</v>
      </c>
      <c r="B1362" s="5" t="s">
        <v>6832</v>
      </c>
      <c r="C1362" s="9">
        <v>42965</v>
      </c>
      <c r="D1362" s="5" t="s">
        <v>16</v>
      </c>
      <c r="E1362" s="5" t="s">
        <v>6833</v>
      </c>
      <c r="F1362" s="6">
        <v>9750</v>
      </c>
    </row>
    <row r="1363" spans="1:6" x14ac:dyDescent="0.15">
      <c r="A1363" s="5" t="s">
        <v>43</v>
      </c>
      <c r="B1363" s="5" t="s">
        <v>4895</v>
      </c>
      <c r="C1363" s="9">
        <v>42964</v>
      </c>
      <c r="D1363" s="5" t="s">
        <v>16</v>
      </c>
      <c r="E1363" s="5" t="s">
        <v>4896</v>
      </c>
      <c r="F1363" s="6">
        <v>3104</v>
      </c>
    </row>
    <row r="1364" spans="1:6" x14ac:dyDescent="0.15">
      <c r="A1364" s="5" t="s">
        <v>35</v>
      </c>
      <c r="B1364" s="5" t="s">
        <v>3219</v>
      </c>
      <c r="C1364" s="9">
        <v>42964</v>
      </c>
      <c r="D1364" s="5" t="s">
        <v>16</v>
      </c>
      <c r="E1364" s="5" t="s">
        <v>3220</v>
      </c>
      <c r="F1364" s="6">
        <v>2827.5</v>
      </c>
    </row>
    <row r="1365" spans="1:6" x14ac:dyDescent="0.15">
      <c r="A1365" s="5" t="s">
        <v>37</v>
      </c>
      <c r="B1365" s="5" t="s">
        <v>6828</v>
      </c>
      <c r="C1365" s="9">
        <v>42964</v>
      </c>
      <c r="D1365" s="5" t="s">
        <v>16</v>
      </c>
      <c r="E1365" s="5" t="s">
        <v>6829</v>
      </c>
      <c r="F1365" s="6">
        <v>18720</v>
      </c>
    </row>
    <row r="1366" spans="1:6" x14ac:dyDescent="0.15">
      <c r="A1366" s="5" t="s">
        <v>37</v>
      </c>
      <c r="B1366" s="5" t="s">
        <v>6830</v>
      </c>
      <c r="C1366" s="9">
        <v>42964</v>
      </c>
      <c r="D1366" s="5" t="s">
        <v>16</v>
      </c>
      <c r="E1366" s="5" t="s">
        <v>6831</v>
      </c>
      <c r="F1366" s="6">
        <v>6142.5</v>
      </c>
    </row>
    <row r="1367" spans="1:6" x14ac:dyDescent="0.15">
      <c r="A1367" s="5" t="s">
        <v>35</v>
      </c>
      <c r="B1367" s="5" t="s">
        <v>3225</v>
      </c>
      <c r="C1367" s="9">
        <v>42969</v>
      </c>
      <c r="D1367" s="5" t="s">
        <v>16</v>
      </c>
      <c r="E1367" s="5" t="s">
        <v>3226</v>
      </c>
      <c r="F1367" s="6">
        <v>-25350</v>
      </c>
    </row>
    <row r="1368" spans="1:6" x14ac:dyDescent="0.15">
      <c r="A1368" s="5" t="s">
        <v>43</v>
      </c>
      <c r="B1368" s="5" t="s">
        <v>4897</v>
      </c>
      <c r="C1368" s="9">
        <v>42968</v>
      </c>
      <c r="D1368" s="5" t="s">
        <v>16</v>
      </c>
      <c r="E1368" s="5" t="s">
        <v>4898</v>
      </c>
      <c r="F1368" s="6">
        <v>4801.5</v>
      </c>
    </row>
    <row r="1369" spans="1:6" x14ac:dyDescent="0.15">
      <c r="A1369" s="5" t="s">
        <v>35</v>
      </c>
      <c r="B1369" s="5" t="s">
        <v>3221</v>
      </c>
      <c r="C1369" s="9">
        <v>42965</v>
      </c>
      <c r="D1369" s="5" t="s">
        <v>16</v>
      </c>
      <c r="E1369" s="5" t="s">
        <v>3222</v>
      </c>
      <c r="F1369" s="6">
        <v>2925</v>
      </c>
    </row>
    <row r="1370" spans="1:6" x14ac:dyDescent="0.15">
      <c r="A1370" s="5" t="s">
        <v>35</v>
      </c>
      <c r="B1370" s="5" t="s">
        <v>3218</v>
      </c>
      <c r="C1370" s="9">
        <v>42963</v>
      </c>
      <c r="D1370" s="5" t="s">
        <v>16</v>
      </c>
      <c r="E1370" s="5" t="s">
        <v>1897</v>
      </c>
      <c r="F1370" s="6">
        <v>487.5</v>
      </c>
    </row>
    <row r="1371" spans="1:6" x14ac:dyDescent="0.15">
      <c r="A1371" s="5" t="s">
        <v>41</v>
      </c>
      <c r="B1371" s="5" t="s">
        <v>1896</v>
      </c>
      <c r="C1371" s="9">
        <v>42963</v>
      </c>
      <c r="D1371" s="5" t="s">
        <v>16</v>
      </c>
      <c r="E1371" s="5" t="s">
        <v>1897</v>
      </c>
      <c r="F1371" s="6">
        <v>2037</v>
      </c>
    </row>
    <row r="1372" spans="1:6" x14ac:dyDescent="0.15">
      <c r="A1372" s="5" t="s">
        <v>37</v>
      </c>
      <c r="B1372" s="5" t="s">
        <v>6834</v>
      </c>
      <c r="C1372" s="9">
        <v>42965</v>
      </c>
      <c r="D1372" s="5" t="s">
        <v>16</v>
      </c>
      <c r="E1372" s="5" t="s">
        <v>3224</v>
      </c>
      <c r="F1372" s="6">
        <v>4290</v>
      </c>
    </row>
    <row r="1373" spans="1:6" x14ac:dyDescent="0.15">
      <c r="A1373" s="5" t="s">
        <v>35</v>
      </c>
      <c r="B1373" s="5" t="s">
        <v>3223</v>
      </c>
      <c r="C1373" s="9">
        <v>42965</v>
      </c>
      <c r="D1373" s="5" t="s">
        <v>16</v>
      </c>
      <c r="E1373" s="5" t="s">
        <v>3224</v>
      </c>
      <c r="F1373" s="6">
        <v>877.5</v>
      </c>
    </row>
    <row r="1374" spans="1:6" x14ac:dyDescent="0.15">
      <c r="A1374" s="5" t="s">
        <v>43</v>
      </c>
      <c r="B1374" s="5" t="s">
        <v>4909</v>
      </c>
      <c r="C1374" s="9">
        <v>42979</v>
      </c>
      <c r="D1374" s="5" t="s">
        <v>16</v>
      </c>
      <c r="E1374" s="5" t="s">
        <v>4910</v>
      </c>
      <c r="F1374" s="6">
        <v>5820</v>
      </c>
    </row>
    <row r="1375" spans="1:6" x14ac:dyDescent="0.15">
      <c r="A1375" s="5" t="s">
        <v>37</v>
      </c>
      <c r="B1375" s="5" t="s">
        <v>6855</v>
      </c>
      <c r="C1375" s="9">
        <v>42979</v>
      </c>
      <c r="D1375" s="5" t="s">
        <v>16</v>
      </c>
      <c r="E1375" s="5" t="s">
        <v>4910</v>
      </c>
      <c r="F1375" s="6">
        <v>5850</v>
      </c>
    </row>
    <row r="1376" spans="1:6" x14ac:dyDescent="0.15">
      <c r="A1376" s="5" t="s">
        <v>43</v>
      </c>
      <c r="B1376" s="5" t="s">
        <v>4900</v>
      </c>
      <c r="C1376" s="9">
        <v>42969</v>
      </c>
      <c r="D1376" s="5" t="s">
        <v>16</v>
      </c>
      <c r="E1376" s="5" t="s">
        <v>4901</v>
      </c>
      <c r="F1376" s="6">
        <v>194</v>
      </c>
    </row>
    <row r="1377" spans="1:6" x14ac:dyDescent="0.15">
      <c r="A1377" s="5" t="s">
        <v>37</v>
      </c>
      <c r="B1377" s="5" t="s">
        <v>6837</v>
      </c>
      <c r="C1377" s="9">
        <v>42969</v>
      </c>
      <c r="D1377" s="5" t="s">
        <v>16</v>
      </c>
      <c r="E1377" s="5" t="s">
        <v>4901</v>
      </c>
      <c r="F1377" s="6">
        <v>5655</v>
      </c>
    </row>
    <row r="1378" spans="1:6" x14ac:dyDescent="0.15">
      <c r="A1378" s="5" t="s">
        <v>43</v>
      </c>
      <c r="B1378" s="5" t="s">
        <v>4902</v>
      </c>
      <c r="C1378" s="9">
        <v>42970</v>
      </c>
      <c r="D1378" s="5" t="s">
        <v>16</v>
      </c>
      <c r="E1378" s="5" t="s">
        <v>4903</v>
      </c>
      <c r="F1378" s="6">
        <v>776</v>
      </c>
    </row>
    <row r="1379" spans="1:6" x14ac:dyDescent="0.15">
      <c r="A1379" s="5" t="s">
        <v>37</v>
      </c>
      <c r="B1379" s="5" t="s">
        <v>6838</v>
      </c>
      <c r="C1379" s="9">
        <v>42970</v>
      </c>
      <c r="D1379" s="5" t="s">
        <v>16</v>
      </c>
      <c r="E1379" s="5" t="s">
        <v>4903</v>
      </c>
      <c r="F1379" s="6">
        <v>1170</v>
      </c>
    </row>
    <row r="1380" spans="1:6" x14ac:dyDescent="0.15">
      <c r="A1380" s="5" t="s">
        <v>41</v>
      </c>
      <c r="B1380" s="5" t="s">
        <v>1900</v>
      </c>
      <c r="C1380" s="9">
        <v>42970</v>
      </c>
      <c r="D1380" s="5" t="s">
        <v>16</v>
      </c>
      <c r="E1380" s="5" t="s">
        <v>1901</v>
      </c>
      <c r="F1380" s="6">
        <v>1164</v>
      </c>
    </row>
    <row r="1381" spans="1:6" x14ac:dyDescent="0.15">
      <c r="A1381" s="5" t="s">
        <v>35</v>
      </c>
      <c r="B1381" s="5" t="s">
        <v>3227</v>
      </c>
      <c r="C1381" s="9">
        <v>42970</v>
      </c>
      <c r="D1381" s="5" t="s">
        <v>16</v>
      </c>
      <c r="E1381" s="5" t="s">
        <v>1901</v>
      </c>
      <c r="F1381" s="6">
        <v>2340</v>
      </c>
    </row>
    <row r="1382" spans="1:6" x14ac:dyDescent="0.15">
      <c r="A1382" s="5" t="s">
        <v>37</v>
      </c>
      <c r="B1382" s="5" t="s">
        <v>6839</v>
      </c>
      <c r="C1382" s="9">
        <v>42970</v>
      </c>
      <c r="D1382" s="5" t="s">
        <v>16</v>
      </c>
      <c r="E1382" s="5" t="s">
        <v>6840</v>
      </c>
      <c r="F1382" s="6">
        <v>3510</v>
      </c>
    </row>
    <row r="1383" spans="1:6" x14ac:dyDescent="0.15">
      <c r="A1383" s="5" t="s">
        <v>42</v>
      </c>
      <c r="B1383" s="5" t="s">
        <v>5815</v>
      </c>
      <c r="C1383" s="9">
        <v>42970</v>
      </c>
      <c r="D1383" s="5" t="s">
        <v>16</v>
      </c>
      <c r="E1383" s="5" t="s">
        <v>5816</v>
      </c>
      <c r="F1383" s="6">
        <v>3900</v>
      </c>
    </row>
    <row r="1384" spans="1:6" x14ac:dyDescent="0.15">
      <c r="A1384" s="5" t="s">
        <v>42</v>
      </c>
      <c r="B1384" s="5" t="s">
        <v>5817</v>
      </c>
      <c r="C1384" s="9">
        <v>42970</v>
      </c>
      <c r="D1384" s="5" t="s">
        <v>16</v>
      </c>
      <c r="E1384" s="5" t="s">
        <v>5818</v>
      </c>
      <c r="F1384" s="6">
        <v>2475</v>
      </c>
    </row>
    <row r="1385" spans="1:6" x14ac:dyDescent="0.15">
      <c r="A1385" s="5" t="s">
        <v>35</v>
      </c>
      <c r="B1385" s="5" t="s">
        <v>3228</v>
      </c>
      <c r="C1385" s="9">
        <v>42970</v>
      </c>
      <c r="D1385" s="5" t="s">
        <v>16</v>
      </c>
      <c r="E1385" s="5" t="s">
        <v>3229</v>
      </c>
      <c r="F1385" s="6">
        <v>1462.5</v>
      </c>
    </row>
    <row r="1386" spans="1:6" x14ac:dyDescent="0.15">
      <c r="A1386" s="5" t="s">
        <v>35</v>
      </c>
      <c r="B1386" s="5" t="s">
        <v>3230</v>
      </c>
      <c r="C1386" s="9">
        <v>42970</v>
      </c>
      <c r="D1386" s="5" t="s">
        <v>16</v>
      </c>
      <c r="E1386" s="5" t="s">
        <v>3231</v>
      </c>
      <c r="F1386" s="6">
        <v>292.5</v>
      </c>
    </row>
    <row r="1387" spans="1:6" x14ac:dyDescent="0.15">
      <c r="A1387" s="5" t="s">
        <v>37</v>
      </c>
      <c r="B1387" s="5" t="s">
        <v>6841</v>
      </c>
      <c r="C1387" s="9">
        <v>42970</v>
      </c>
      <c r="D1387" s="5" t="s">
        <v>16</v>
      </c>
      <c r="E1387" s="5" t="s">
        <v>6842</v>
      </c>
      <c r="F1387" s="6">
        <v>2535</v>
      </c>
    </row>
    <row r="1388" spans="1:6" x14ac:dyDescent="0.15">
      <c r="A1388" s="5" t="s">
        <v>37</v>
      </c>
      <c r="B1388" s="5" t="s">
        <v>6846</v>
      </c>
      <c r="C1388" s="9">
        <v>42975</v>
      </c>
      <c r="D1388" s="5" t="s">
        <v>16</v>
      </c>
      <c r="E1388" s="5" t="s">
        <v>6847</v>
      </c>
      <c r="F1388" s="6">
        <v>18427.5</v>
      </c>
    </row>
    <row r="1389" spans="1:6" x14ac:dyDescent="0.15">
      <c r="A1389" s="5" t="s">
        <v>53</v>
      </c>
      <c r="B1389" s="5" t="s">
        <v>8435</v>
      </c>
      <c r="C1389" s="9">
        <v>42975</v>
      </c>
      <c r="D1389" s="5" t="s">
        <v>16</v>
      </c>
      <c r="E1389" s="5" t="s">
        <v>6847</v>
      </c>
      <c r="F1389" s="6">
        <v>8190</v>
      </c>
    </row>
    <row r="1390" spans="1:6" x14ac:dyDescent="0.15">
      <c r="A1390" s="5" t="s">
        <v>35</v>
      </c>
      <c r="B1390" s="5" t="s">
        <v>3210</v>
      </c>
      <c r="C1390" s="9">
        <v>42955</v>
      </c>
      <c r="D1390" s="5" t="s">
        <v>16</v>
      </c>
      <c r="E1390" s="5" t="s">
        <v>3211</v>
      </c>
      <c r="F1390" s="6">
        <v>13650</v>
      </c>
    </row>
    <row r="1391" spans="1:6" x14ac:dyDescent="0.15">
      <c r="A1391" s="5" t="s">
        <v>35</v>
      </c>
      <c r="B1391" s="5" t="s">
        <v>3205</v>
      </c>
      <c r="C1391" s="9">
        <v>42948</v>
      </c>
      <c r="D1391" s="5" t="s">
        <v>16</v>
      </c>
      <c r="E1391" s="5" t="s">
        <v>3206</v>
      </c>
      <c r="F1391" s="6">
        <v>11700</v>
      </c>
    </row>
    <row r="1392" spans="1:6" x14ac:dyDescent="0.15">
      <c r="A1392" s="5" t="s">
        <v>53</v>
      </c>
      <c r="B1392" s="5" t="s">
        <v>8436</v>
      </c>
      <c r="C1392" s="9">
        <v>42983</v>
      </c>
      <c r="D1392" s="5" t="s">
        <v>16</v>
      </c>
      <c r="E1392" s="5" t="s">
        <v>8437</v>
      </c>
      <c r="F1392" s="6">
        <v>28080</v>
      </c>
    </row>
    <row r="1393" spans="1:6" x14ac:dyDescent="0.15">
      <c r="A1393" s="5" t="s">
        <v>43</v>
      </c>
      <c r="B1393" s="5" t="s">
        <v>4904</v>
      </c>
      <c r="C1393" s="9">
        <v>42972</v>
      </c>
      <c r="D1393" s="5" t="s">
        <v>16</v>
      </c>
      <c r="E1393" s="5" t="s">
        <v>4905</v>
      </c>
      <c r="F1393" s="6">
        <v>3007</v>
      </c>
    </row>
    <row r="1394" spans="1:6" x14ac:dyDescent="0.15">
      <c r="A1394" s="5" t="s">
        <v>42</v>
      </c>
      <c r="B1394" s="5" t="s">
        <v>5819</v>
      </c>
      <c r="C1394" s="9">
        <v>42975</v>
      </c>
      <c r="D1394" s="5" t="s">
        <v>16</v>
      </c>
      <c r="E1394" s="5" t="s">
        <v>3235</v>
      </c>
      <c r="F1394" s="6">
        <v>7875</v>
      </c>
    </row>
    <row r="1395" spans="1:6" x14ac:dyDescent="0.15">
      <c r="A1395" s="5" t="s">
        <v>37</v>
      </c>
      <c r="B1395" s="5" t="s">
        <v>6848</v>
      </c>
      <c r="C1395" s="9">
        <v>42975</v>
      </c>
      <c r="D1395" s="5" t="s">
        <v>16</v>
      </c>
      <c r="E1395" s="5" t="s">
        <v>3235</v>
      </c>
      <c r="F1395" s="6">
        <v>3825</v>
      </c>
    </row>
    <row r="1396" spans="1:6" x14ac:dyDescent="0.15">
      <c r="A1396" s="5" t="s">
        <v>35</v>
      </c>
      <c r="B1396" s="5" t="s">
        <v>3234</v>
      </c>
      <c r="C1396" s="9">
        <v>42975</v>
      </c>
      <c r="D1396" s="5" t="s">
        <v>16</v>
      </c>
      <c r="E1396" s="5" t="s">
        <v>3235</v>
      </c>
      <c r="F1396" s="6">
        <v>4095</v>
      </c>
    </row>
    <row r="1397" spans="1:6" x14ac:dyDescent="0.15">
      <c r="A1397" s="5" t="s">
        <v>35</v>
      </c>
      <c r="B1397" s="5" t="s">
        <v>3236</v>
      </c>
      <c r="C1397" s="9">
        <v>42975</v>
      </c>
      <c r="D1397" s="5" t="s">
        <v>16</v>
      </c>
      <c r="E1397" s="5" t="s">
        <v>3237</v>
      </c>
      <c r="F1397" s="6">
        <v>4485</v>
      </c>
    </row>
    <row r="1398" spans="1:6" x14ac:dyDescent="0.15">
      <c r="A1398" s="5" t="s">
        <v>35</v>
      </c>
      <c r="B1398" s="5" t="s">
        <v>3238</v>
      </c>
      <c r="C1398" s="9">
        <v>42975</v>
      </c>
      <c r="D1398" s="5" t="s">
        <v>16</v>
      </c>
      <c r="E1398" s="5" t="s">
        <v>3239</v>
      </c>
      <c r="F1398" s="6">
        <v>1950</v>
      </c>
    </row>
    <row r="1399" spans="1:6" x14ac:dyDescent="0.15">
      <c r="A1399" s="5" t="s">
        <v>37</v>
      </c>
      <c r="B1399" s="5" t="s">
        <v>6843</v>
      </c>
      <c r="C1399" s="9">
        <v>42972</v>
      </c>
      <c r="D1399" s="5" t="s">
        <v>16</v>
      </c>
      <c r="E1399" s="5" t="s">
        <v>3233</v>
      </c>
      <c r="F1399" s="6">
        <v>13650</v>
      </c>
    </row>
    <row r="1400" spans="1:6" x14ac:dyDescent="0.15">
      <c r="A1400" s="5" t="s">
        <v>43</v>
      </c>
      <c r="B1400" s="5" t="s">
        <v>4906</v>
      </c>
      <c r="C1400" s="9">
        <v>42972</v>
      </c>
      <c r="D1400" s="5" t="s">
        <v>16</v>
      </c>
      <c r="E1400" s="5" t="s">
        <v>3233</v>
      </c>
      <c r="F1400" s="6">
        <v>970</v>
      </c>
    </row>
    <row r="1401" spans="1:6" x14ac:dyDescent="0.15">
      <c r="A1401" s="5" t="s">
        <v>35</v>
      </c>
      <c r="B1401" s="5" t="s">
        <v>3232</v>
      </c>
      <c r="C1401" s="9">
        <v>42972</v>
      </c>
      <c r="D1401" s="5" t="s">
        <v>16</v>
      </c>
      <c r="E1401" s="5" t="s">
        <v>3233</v>
      </c>
      <c r="F1401" s="6">
        <v>2925</v>
      </c>
    </row>
    <row r="1402" spans="1:6" x14ac:dyDescent="0.15">
      <c r="A1402" s="5" t="s">
        <v>37</v>
      </c>
      <c r="B1402" s="5" t="s">
        <v>6844</v>
      </c>
      <c r="C1402" s="9">
        <v>42972</v>
      </c>
      <c r="D1402" s="5" t="s">
        <v>16</v>
      </c>
      <c r="E1402" s="5" t="s">
        <v>6845</v>
      </c>
      <c r="F1402" s="6">
        <v>9750</v>
      </c>
    </row>
    <row r="1403" spans="1:6" x14ac:dyDescent="0.15">
      <c r="A1403" s="5" t="s">
        <v>37</v>
      </c>
      <c r="B1403" s="5" t="s">
        <v>6849</v>
      </c>
      <c r="C1403" s="9">
        <v>42975</v>
      </c>
      <c r="D1403" s="5" t="s">
        <v>16</v>
      </c>
      <c r="E1403" s="5" t="s">
        <v>6850</v>
      </c>
      <c r="F1403" s="6">
        <v>2535</v>
      </c>
    </row>
    <row r="1404" spans="1:6" x14ac:dyDescent="0.15">
      <c r="A1404" s="5" t="s">
        <v>37</v>
      </c>
      <c r="B1404" s="5" t="s">
        <v>6851</v>
      </c>
      <c r="C1404" s="9">
        <v>42976</v>
      </c>
      <c r="D1404" s="5" t="s">
        <v>16</v>
      </c>
      <c r="E1404" s="5" t="s">
        <v>6852</v>
      </c>
      <c r="F1404" s="6">
        <v>5070</v>
      </c>
    </row>
    <row r="1405" spans="1:6" x14ac:dyDescent="0.15">
      <c r="A1405" s="5" t="s">
        <v>37</v>
      </c>
      <c r="B1405" s="5" t="s">
        <v>6853</v>
      </c>
      <c r="C1405" s="9">
        <v>42976</v>
      </c>
      <c r="D1405" s="5" t="s">
        <v>16</v>
      </c>
      <c r="E1405" s="5" t="s">
        <v>6854</v>
      </c>
      <c r="F1405" s="6">
        <v>877.5</v>
      </c>
    </row>
    <row r="1406" spans="1:6" x14ac:dyDescent="0.15">
      <c r="A1406" s="5" t="s">
        <v>35</v>
      </c>
      <c r="B1406" s="5" t="s">
        <v>3240</v>
      </c>
      <c r="C1406" s="9">
        <v>42977</v>
      </c>
      <c r="D1406" s="5" t="s">
        <v>16</v>
      </c>
      <c r="E1406" s="5" t="s">
        <v>3241</v>
      </c>
      <c r="F1406" s="6">
        <v>6045</v>
      </c>
    </row>
    <row r="1407" spans="1:6" x14ac:dyDescent="0.15">
      <c r="A1407" s="5" t="s">
        <v>55</v>
      </c>
      <c r="B1407" s="5" t="s">
        <v>4489</v>
      </c>
      <c r="C1407" s="9">
        <v>42977</v>
      </c>
      <c r="D1407" s="5" t="s">
        <v>16</v>
      </c>
      <c r="E1407" s="5" t="s">
        <v>4490</v>
      </c>
      <c r="F1407" s="6">
        <v>1050</v>
      </c>
    </row>
    <row r="1408" spans="1:6" x14ac:dyDescent="0.15">
      <c r="A1408" s="5" t="s">
        <v>43</v>
      </c>
      <c r="B1408" s="5" t="s">
        <v>4907</v>
      </c>
      <c r="C1408" s="9">
        <v>42977</v>
      </c>
      <c r="D1408" s="5" t="s">
        <v>16</v>
      </c>
      <c r="E1408" s="5" t="s">
        <v>4908</v>
      </c>
      <c r="F1408" s="6">
        <v>970</v>
      </c>
    </row>
    <row r="1409" spans="1:6" x14ac:dyDescent="0.15">
      <c r="A1409" s="5" t="s">
        <v>44</v>
      </c>
      <c r="B1409" s="5" t="s">
        <v>4352</v>
      </c>
      <c r="C1409" s="9">
        <v>42979</v>
      </c>
      <c r="D1409" s="5" t="s">
        <v>16</v>
      </c>
      <c r="E1409" s="5" t="s">
        <v>4353</v>
      </c>
      <c r="F1409" s="6">
        <v>25350</v>
      </c>
    </row>
    <row r="1410" spans="1:6" x14ac:dyDescent="0.15">
      <c r="A1410" s="5" t="s">
        <v>37</v>
      </c>
      <c r="B1410" s="5" t="s">
        <v>6863</v>
      </c>
      <c r="C1410" s="9">
        <v>42982</v>
      </c>
      <c r="D1410" s="5" t="s">
        <v>16</v>
      </c>
      <c r="E1410" s="5" t="s">
        <v>6864</v>
      </c>
      <c r="F1410" s="6">
        <v>25350</v>
      </c>
    </row>
    <row r="1411" spans="1:6" x14ac:dyDescent="0.15">
      <c r="A1411" s="5" t="s">
        <v>35</v>
      </c>
      <c r="B1411" s="5" t="s">
        <v>3243</v>
      </c>
      <c r="C1411" s="9">
        <v>42980</v>
      </c>
      <c r="D1411" s="5" t="s">
        <v>16</v>
      </c>
      <c r="E1411" s="5" t="s">
        <v>3244</v>
      </c>
      <c r="F1411" s="6">
        <v>23985</v>
      </c>
    </row>
    <row r="1412" spans="1:6" x14ac:dyDescent="0.15">
      <c r="A1412" s="5" t="s">
        <v>37</v>
      </c>
      <c r="B1412" s="5" t="s">
        <v>6856</v>
      </c>
      <c r="C1412" s="9">
        <v>42979</v>
      </c>
      <c r="D1412" s="5" t="s">
        <v>16</v>
      </c>
      <c r="E1412" s="5" t="s">
        <v>6857</v>
      </c>
      <c r="F1412" s="6">
        <v>12090</v>
      </c>
    </row>
    <row r="1413" spans="1:6" x14ac:dyDescent="0.15">
      <c r="A1413" s="5" t="s">
        <v>37</v>
      </c>
      <c r="B1413" s="5" t="s">
        <v>6858</v>
      </c>
      <c r="C1413" s="9">
        <v>42979</v>
      </c>
      <c r="D1413" s="5" t="s">
        <v>16</v>
      </c>
      <c r="E1413" s="5" t="s">
        <v>6859</v>
      </c>
      <c r="F1413" s="6">
        <v>1560</v>
      </c>
    </row>
    <row r="1414" spans="1:6" x14ac:dyDescent="0.15">
      <c r="A1414" s="5" t="s">
        <v>43</v>
      </c>
      <c r="B1414" s="5" t="s">
        <v>4911</v>
      </c>
      <c r="C1414" s="9">
        <v>42982</v>
      </c>
      <c r="D1414" s="5" t="s">
        <v>16</v>
      </c>
      <c r="E1414" s="5" t="s">
        <v>4912</v>
      </c>
      <c r="F1414" s="6">
        <v>970</v>
      </c>
    </row>
    <row r="1415" spans="1:6" x14ac:dyDescent="0.15">
      <c r="A1415" s="5" t="s">
        <v>37</v>
      </c>
      <c r="B1415" s="5" t="s">
        <v>6865</v>
      </c>
      <c r="C1415" s="9">
        <v>42982</v>
      </c>
      <c r="D1415" s="5" t="s">
        <v>16</v>
      </c>
      <c r="E1415" s="5" t="s">
        <v>4912</v>
      </c>
      <c r="F1415" s="6">
        <v>4192.5</v>
      </c>
    </row>
    <row r="1416" spans="1:6" x14ac:dyDescent="0.15">
      <c r="A1416" s="5" t="s">
        <v>40</v>
      </c>
      <c r="B1416" s="5" t="s">
        <v>2404</v>
      </c>
      <c r="C1416" s="9">
        <v>42979</v>
      </c>
      <c r="D1416" s="5" t="s">
        <v>16</v>
      </c>
      <c r="E1416" s="5" t="s">
        <v>2405</v>
      </c>
      <c r="F1416" s="6">
        <v>450</v>
      </c>
    </row>
    <row r="1417" spans="1:6" x14ac:dyDescent="0.15">
      <c r="A1417" s="5" t="s">
        <v>35</v>
      </c>
      <c r="B1417" s="5" t="s">
        <v>3242</v>
      </c>
      <c r="C1417" s="9">
        <v>42979</v>
      </c>
      <c r="D1417" s="5" t="s">
        <v>16</v>
      </c>
      <c r="E1417" s="5" t="s">
        <v>2405</v>
      </c>
      <c r="F1417" s="6">
        <v>682.5</v>
      </c>
    </row>
    <row r="1418" spans="1:6" x14ac:dyDescent="0.15">
      <c r="A1418" s="5" t="s">
        <v>42</v>
      </c>
      <c r="B1418" s="5" t="s">
        <v>5820</v>
      </c>
      <c r="C1418" s="9">
        <v>42979</v>
      </c>
      <c r="D1418" s="5" t="s">
        <v>16</v>
      </c>
      <c r="E1418" s="5" t="s">
        <v>5821</v>
      </c>
      <c r="F1418" s="6">
        <v>2700</v>
      </c>
    </row>
    <row r="1419" spans="1:6" x14ac:dyDescent="0.15">
      <c r="A1419" s="5" t="s">
        <v>37</v>
      </c>
      <c r="B1419" s="5" t="s">
        <v>6860</v>
      </c>
      <c r="C1419" s="9">
        <v>42979</v>
      </c>
      <c r="D1419" s="5" t="s">
        <v>16</v>
      </c>
      <c r="E1419" s="5" t="s">
        <v>5821</v>
      </c>
      <c r="F1419" s="6">
        <v>3510</v>
      </c>
    </row>
    <row r="1420" spans="1:6" x14ac:dyDescent="0.15">
      <c r="A1420" s="5" t="s">
        <v>42</v>
      </c>
      <c r="B1420" s="5" t="s">
        <v>5822</v>
      </c>
      <c r="C1420" s="9">
        <v>42979</v>
      </c>
      <c r="D1420" s="5" t="s">
        <v>16</v>
      </c>
      <c r="E1420" s="5" t="s">
        <v>5823</v>
      </c>
      <c r="F1420" s="6">
        <v>900</v>
      </c>
    </row>
    <row r="1421" spans="1:6" x14ac:dyDescent="0.15">
      <c r="A1421" s="5" t="s">
        <v>41</v>
      </c>
      <c r="B1421" s="5" t="s">
        <v>1902</v>
      </c>
      <c r="C1421" s="9">
        <v>42982</v>
      </c>
      <c r="D1421" s="5" t="s">
        <v>16</v>
      </c>
      <c r="E1421" s="5" t="s">
        <v>1903</v>
      </c>
      <c r="F1421" s="6">
        <v>3686</v>
      </c>
    </row>
    <row r="1422" spans="1:6" x14ac:dyDescent="0.15">
      <c r="A1422" s="5" t="s">
        <v>40</v>
      </c>
      <c r="B1422" s="5" t="s">
        <v>2406</v>
      </c>
      <c r="C1422" s="9">
        <v>42983</v>
      </c>
      <c r="D1422" s="5" t="s">
        <v>16</v>
      </c>
      <c r="E1422" s="5" t="s">
        <v>2407</v>
      </c>
      <c r="F1422" s="6">
        <v>3000</v>
      </c>
    </row>
    <row r="1423" spans="1:6" x14ac:dyDescent="0.15">
      <c r="A1423" s="5" t="s">
        <v>4189</v>
      </c>
      <c r="B1423" s="5" t="s">
        <v>4190</v>
      </c>
      <c r="C1423" s="9">
        <v>42983</v>
      </c>
      <c r="D1423" s="5" t="s">
        <v>16</v>
      </c>
      <c r="E1423" s="5" t="s">
        <v>2407</v>
      </c>
      <c r="F1423" s="6">
        <v>195</v>
      </c>
    </row>
    <row r="1424" spans="1:6" x14ac:dyDescent="0.15">
      <c r="A1424" s="5" t="s">
        <v>35</v>
      </c>
      <c r="B1424" s="5" t="s">
        <v>3245</v>
      </c>
      <c r="C1424" s="9">
        <v>42983</v>
      </c>
      <c r="D1424" s="5" t="s">
        <v>16</v>
      </c>
      <c r="E1424" s="5" t="s">
        <v>2407</v>
      </c>
      <c r="F1424" s="6">
        <v>975</v>
      </c>
    </row>
    <row r="1425" spans="1:6" x14ac:dyDescent="0.15">
      <c r="A1425" s="5" t="s">
        <v>37</v>
      </c>
      <c r="B1425" s="5" t="s">
        <v>6861</v>
      </c>
      <c r="C1425" s="9">
        <v>42979</v>
      </c>
      <c r="D1425" s="5" t="s">
        <v>16</v>
      </c>
      <c r="E1425" s="5" t="s">
        <v>6862</v>
      </c>
      <c r="F1425" s="6">
        <v>2047.5</v>
      </c>
    </row>
    <row r="1426" spans="1:6" x14ac:dyDescent="0.15">
      <c r="A1426" s="5" t="s">
        <v>37</v>
      </c>
      <c r="B1426" s="5" t="s">
        <v>6866</v>
      </c>
      <c r="C1426" s="9">
        <v>42982</v>
      </c>
      <c r="D1426" s="5" t="s">
        <v>16</v>
      </c>
      <c r="E1426" s="5" t="s">
        <v>6867</v>
      </c>
      <c r="F1426" s="6">
        <v>1365</v>
      </c>
    </row>
    <row r="1427" spans="1:6" x14ac:dyDescent="0.15">
      <c r="A1427" s="5" t="s">
        <v>37</v>
      </c>
      <c r="B1427" s="5" t="s">
        <v>6871</v>
      </c>
      <c r="C1427" s="9">
        <v>42989</v>
      </c>
      <c r="D1427" s="5" t="s">
        <v>16</v>
      </c>
      <c r="E1427" s="5" t="s">
        <v>6872</v>
      </c>
      <c r="F1427" s="6">
        <v>-25350</v>
      </c>
    </row>
    <row r="1428" spans="1:6" x14ac:dyDescent="0.15">
      <c r="A1428" s="5" t="s">
        <v>37</v>
      </c>
      <c r="B1428" s="5" t="s">
        <v>6873</v>
      </c>
      <c r="C1428" s="9">
        <v>42989</v>
      </c>
      <c r="D1428" s="5" t="s">
        <v>16</v>
      </c>
      <c r="E1428" s="5" t="s">
        <v>6874</v>
      </c>
      <c r="F1428" s="6">
        <v>13650</v>
      </c>
    </row>
    <row r="1429" spans="1:6" x14ac:dyDescent="0.15">
      <c r="A1429" s="5" t="s">
        <v>43</v>
      </c>
      <c r="B1429" s="5" t="s">
        <v>4915</v>
      </c>
      <c r="C1429" s="9">
        <v>42986</v>
      </c>
      <c r="D1429" s="5" t="s">
        <v>16</v>
      </c>
      <c r="E1429" s="5" t="s">
        <v>4916</v>
      </c>
      <c r="F1429" s="6">
        <v>4850</v>
      </c>
    </row>
    <row r="1430" spans="1:6" x14ac:dyDescent="0.15">
      <c r="A1430" s="5" t="s">
        <v>42</v>
      </c>
      <c r="B1430" s="5" t="s">
        <v>5824</v>
      </c>
      <c r="C1430" s="9">
        <v>42984</v>
      </c>
      <c r="D1430" s="5" t="s">
        <v>16</v>
      </c>
      <c r="E1430" s="5" t="s">
        <v>5825</v>
      </c>
      <c r="F1430" s="6">
        <v>3900</v>
      </c>
    </row>
    <row r="1431" spans="1:6" x14ac:dyDescent="0.15">
      <c r="A1431" s="5" t="s">
        <v>37</v>
      </c>
      <c r="B1431" s="5" t="s">
        <v>6868</v>
      </c>
      <c r="C1431" s="9">
        <v>42984</v>
      </c>
      <c r="D1431" s="5" t="s">
        <v>16</v>
      </c>
      <c r="E1431" s="5" t="s">
        <v>5825</v>
      </c>
      <c r="F1431" s="6">
        <v>5070</v>
      </c>
    </row>
    <row r="1432" spans="1:6" x14ac:dyDescent="0.15">
      <c r="A1432" s="5" t="s">
        <v>43</v>
      </c>
      <c r="B1432" s="5" t="s">
        <v>4913</v>
      </c>
      <c r="C1432" s="9">
        <v>42985</v>
      </c>
      <c r="D1432" s="5" t="s">
        <v>16</v>
      </c>
      <c r="E1432" s="5" t="s">
        <v>4914</v>
      </c>
      <c r="F1432" s="6">
        <v>339.5</v>
      </c>
    </row>
    <row r="1433" spans="1:6" x14ac:dyDescent="0.15">
      <c r="A1433" s="5" t="s">
        <v>40</v>
      </c>
      <c r="B1433" s="5" t="s">
        <v>2408</v>
      </c>
      <c r="C1433" s="9">
        <v>42984</v>
      </c>
      <c r="D1433" s="5" t="s">
        <v>16</v>
      </c>
      <c r="E1433" s="5" t="s">
        <v>2409</v>
      </c>
      <c r="F1433" s="6">
        <v>3300</v>
      </c>
    </row>
    <row r="1434" spans="1:6" x14ac:dyDescent="0.15">
      <c r="A1434" s="5" t="s">
        <v>49</v>
      </c>
      <c r="B1434" s="5" t="s">
        <v>8659</v>
      </c>
      <c r="C1434" s="9">
        <v>42986</v>
      </c>
      <c r="D1434" s="5" t="s">
        <v>16</v>
      </c>
      <c r="E1434" s="5" t="s">
        <v>8660</v>
      </c>
      <c r="F1434" s="6">
        <v>3000</v>
      </c>
    </row>
    <row r="1435" spans="1:6" x14ac:dyDescent="0.15">
      <c r="A1435" s="5" t="s">
        <v>53</v>
      </c>
      <c r="B1435" s="5" t="s">
        <v>8439</v>
      </c>
      <c r="C1435" s="9">
        <v>42995</v>
      </c>
      <c r="D1435" s="5" t="s">
        <v>16</v>
      </c>
      <c r="E1435" s="5" t="s">
        <v>3261</v>
      </c>
      <c r="F1435" s="6">
        <v>8580</v>
      </c>
    </row>
    <row r="1436" spans="1:6" x14ac:dyDescent="0.15">
      <c r="A1436" s="5" t="s">
        <v>37</v>
      </c>
      <c r="B1436" s="5" t="s">
        <v>6902</v>
      </c>
      <c r="C1436" s="9">
        <v>42995</v>
      </c>
      <c r="D1436" s="5" t="s">
        <v>16</v>
      </c>
      <c r="E1436" s="5" t="s">
        <v>3261</v>
      </c>
      <c r="F1436" s="6">
        <v>15015</v>
      </c>
    </row>
    <row r="1437" spans="1:6" x14ac:dyDescent="0.15">
      <c r="A1437" s="5" t="s">
        <v>35</v>
      </c>
      <c r="B1437" s="5" t="s">
        <v>3260</v>
      </c>
      <c r="C1437" s="9">
        <v>42995</v>
      </c>
      <c r="D1437" s="5" t="s">
        <v>16</v>
      </c>
      <c r="E1437" s="5" t="s">
        <v>3261</v>
      </c>
      <c r="F1437" s="6">
        <v>4290</v>
      </c>
    </row>
    <row r="1438" spans="1:6" x14ac:dyDescent="0.15">
      <c r="A1438" s="5" t="s">
        <v>35</v>
      </c>
      <c r="B1438" s="5" t="s">
        <v>3246</v>
      </c>
      <c r="C1438" s="9">
        <v>42989</v>
      </c>
      <c r="D1438" s="5" t="s">
        <v>16</v>
      </c>
      <c r="E1438" s="5" t="s">
        <v>2411</v>
      </c>
      <c r="F1438" s="6">
        <v>2437.5</v>
      </c>
    </row>
    <row r="1439" spans="1:6" x14ac:dyDescent="0.15">
      <c r="A1439" s="5" t="s">
        <v>40</v>
      </c>
      <c r="B1439" s="5" t="s">
        <v>2410</v>
      </c>
      <c r="C1439" s="9">
        <v>42989</v>
      </c>
      <c r="D1439" s="5" t="s">
        <v>16</v>
      </c>
      <c r="E1439" s="5" t="s">
        <v>2411</v>
      </c>
      <c r="F1439" s="6">
        <v>900</v>
      </c>
    </row>
    <row r="1440" spans="1:6" x14ac:dyDescent="0.15">
      <c r="A1440" s="5" t="s">
        <v>42</v>
      </c>
      <c r="B1440" s="5" t="s">
        <v>5826</v>
      </c>
      <c r="C1440" s="9">
        <v>42989</v>
      </c>
      <c r="D1440" s="5" t="s">
        <v>16</v>
      </c>
      <c r="E1440" s="5" t="s">
        <v>5827</v>
      </c>
      <c r="F1440" s="6">
        <v>525</v>
      </c>
    </row>
    <row r="1441" spans="1:6" x14ac:dyDescent="0.15">
      <c r="A1441" s="5" t="s">
        <v>37</v>
      </c>
      <c r="B1441" s="5" t="s">
        <v>6875</v>
      </c>
      <c r="C1441" s="9">
        <v>42989</v>
      </c>
      <c r="D1441" s="5" t="s">
        <v>16</v>
      </c>
      <c r="E1441" s="5" t="s">
        <v>6876</v>
      </c>
      <c r="F1441" s="6">
        <v>1170</v>
      </c>
    </row>
    <row r="1442" spans="1:6" x14ac:dyDescent="0.15">
      <c r="A1442" s="5" t="s">
        <v>37</v>
      </c>
      <c r="B1442" s="5" t="s">
        <v>6877</v>
      </c>
      <c r="C1442" s="9">
        <v>42989</v>
      </c>
      <c r="D1442" s="5" t="s">
        <v>16</v>
      </c>
      <c r="E1442" s="5" t="s">
        <v>5829</v>
      </c>
      <c r="F1442" s="6">
        <v>585</v>
      </c>
    </row>
    <row r="1443" spans="1:6" x14ac:dyDescent="0.15">
      <c r="A1443" s="5" t="s">
        <v>42</v>
      </c>
      <c r="B1443" s="5" t="s">
        <v>5828</v>
      </c>
      <c r="C1443" s="9">
        <v>42989</v>
      </c>
      <c r="D1443" s="5" t="s">
        <v>16</v>
      </c>
      <c r="E1443" s="5" t="s">
        <v>5829</v>
      </c>
      <c r="F1443" s="6">
        <v>450</v>
      </c>
    </row>
    <row r="1444" spans="1:6" x14ac:dyDescent="0.15">
      <c r="A1444" s="5" t="s">
        <v>37</v>
      </c>
      <c r="B1444" s="5" t="s">
        <v>6869</v>
      </c>
      <c r="C1444" s="9">
        <v>42985</v>
      </c>
      <c r="D1444" s="5" t="s">
        <v>16</v>
      </c>
      <c r="E1444" s="5" t="s">
        <v>6870</v>
      </c>
      <c r="F1444" s="6">
        <v>5265</v>
      </c>
    </row>
    <row r="1445" spans="1:6" x14ac:dyDescent="0.15">
      <c r="A1445" s="5" t="s">
        <v>44</v>
      </c>
      <c r="B1445" s="5" t="s">
        <v>4356</v>
      </c>
      <c r="C1445" s="9">
        <v>42992</v>
      </c>
      <c r="D1445" s="5" t="s">
        <v>16</v>
      </c>
      <c r="E1445" s="5" t="s">
        <v>4357</v>
      </c>
      <c r="F1445" s="6">
        <v>7800</v>
      </c>
    </row>
    <row r="1446" spans="1:6" x14ac:dyDescent="0.15">
      <c r="A1446" s="5" t="s">
        <v>37</v>
      </c>
      <c r="B1446" s="5" t="s">
        <v>6891</v>
      </c>
      <c r="C1446" s="9">
        <v>42992</v>
      </c>
      <c r="D1446" s="5" t="s">
        <v>16</v>
      </c>
      <c r="E1446" s="5" t="s">
        <v>4357</v>
      </c>
      <c r="F1446" s="6">
        <v>5850</v>
      </c>
    </row>
    <row r="1447" spans="1:6" x14ac:dyDescent="0.15">
      <c r="A1447" s="5" t="s">
        <v>44</v>
      </c>
      <c r="B1447" s="5" t="s">
        <v>4358</v>
      </c>
      <c r="C1447" s="9">
        <v>42992</v>
      </c>
      <c r="D1447" s="5" t="s">
        <v>16</v>
      </c>
      <c r="E1447" s="5" t="s">
        <v>4359</v>
      </c>
      <c r="F1447" s="6">
        <v>11700</v>
      </c>
    </row>
    <row r="1448" spans="1:6" x14ac:dyDescent="0.15">
      <c r="A1448" s="5" t="s">
        <v>43</v>
      </c>
      <c r="B1448" s="5" t="s">
        <v>4936</v>
      </c>
      <c r="C1448" s="9">
        <v>43003</v>
      </c>
      <c r="D1448" s="5" t="s">
        <v>16</v>
      </c>
      <c r="E1448" s="5" t="s">
        <v>4937</v>
      </c>
      <c r="F1448" s="6">
        <v>3880</v>
      </c>
    </row>
    <row r="1449" spans="1:6" x14ac:dyDescent="0.15">
      <c r="A1449" s="5" t="s">
        <v>37</v>
      </c>
      <c r="B1449" s="5" t="s">
        <v>6932</v>
      </c>
      <c r="C1449" s="9">
        <v>43003</v>
      </c>
      <c r="D1449" s="5" t="s">
        <v>16</v>
      </c>
      <c r="E1449" s="5" t="s">
        <v>4937</v>
      </c>
      <c r="F1449" s="6">
        <v>1950</v>
      </c>
    </row>
    <row r="1450" spans="1:6" x14ac:dyDescent="0.15">
      <c r="A1450" s="5" t="s">
        <v>40</v>
      </c>
      <c r="B1450" s="5" t="s">
        <v>2414</v>
      </c>
      <c r="C1450" s="9">
        <v>43000</v>
      </c>
      <c r="D1450" s="5" t="s">
        <v>16</v>
      </c>
      <c r="E1450" s="5" t="s">
        <v>2415</v>
      </c>
      <c r="F1450" s="6">
        <v>3000</v>
      </c>
    </row>
    <row r="1451" spans="1:6" x14ac:dyDescent="0.15">
      <c r="A1451" s="5" t="s">
        <v>43</v>
      </c>
      <c r="B1451" s="5" t="s">
        <v>4935</v>
      </c>
      <c r="C1451" s="9">
        <v>43000</v>
      </c>
      <c r="D1451" s="5" t="s">
        <v>16</v>
      </c>
      <c r="E1451" s="5" t="s">
        <v>2415</v>
      </c>
      <c r="F1451" s="6">
        <v>5335</v>
      </c>
    </row>
    <row r="1452" spans="1:6" x14ac:dyDescent="0.15">
      <c r="A1452" s="5" t="s">
        <v>37</v>
      </c>
      <c r="B1452" s="5" t="s">
        <v>6884</v>
      </c>
      <c r="C1452" s="9">
        <v>42991</v>
      </c>
      <c r="D1452" s="5" t="s">
        <v>16</v>
      </c>
      <c r="E1452" s="5" t="s">
        <v>6885</v>
      </c>
      <c r="F1452" s="6">
        <v>1</v>
      </c>
    </row>
    <row r="1453" spans="1:6" x14ac:dyDescent="0.15">
      <c r="A1453" s="5" t="s">
        <v>37</v>
      </c>
      <c r="B1453" s="5" t="s">
        <v>6886</v>
      </c>
      <c r="C1453" s="9">
        <v>42991</v>
      </c>
      <c r="D1453" s="5" t="s">
        <v>16</v>
      </c>
      <c r="E1453" s="5" t="s">
        <v>6887</v>
      </c>
      <c r="F1453" s="6">
        <v>-1</v>
      </c>
    </row>
    <row r="1454" spans="1:6" x14ac:dyDescent="0.15">
      <c r="A1454" s="5" t="s">
        <v>41</v>
      </c>
      <c r="B1454" s="5" t="s">
        <v>1904</v>
      </c>
      <c r="C1454" s="9">
        <v>42990</v>
      </c>
      <c r="D1454" s="5" t="s">
        <v>16</v>
      </c>
      <c r="E1454" s="5" t="s">
        <v>1905</v>
      </c>
      <c r="F1454" s="6">
        <v>2910</v>
      </c>
    </row>
    <row r="1455" spans="1:6" x14ac:dyDescent="0.15">
      <c r="A1455" s="5" t="s">
        <v>35</v>
      </c>
      <c r="B1455" s="5" t="s">
        <v>3247</v>
      </c>
      <c r="C1455" s="9">
        <v>42990</v>
      </c>
      <c r="D1455" s="5" t="s">
        <v>16</v>
      </c>
      <c r="E1455" s="5" t="s">
        <v>1905</v>
      </c>
      <c r="F1455" s="6">
        <v>12090</v>
      </c>
    </row>
    <row r="1456" spans="1:6" x14ac:dyDescent="0.15">
      <c r="A1456" s="5" t="s">
        <v>35</v>
      </c>
      <c r="B1456" s="5" t="s">
        <v>3248</v>
      </c>
      <c r="C1456" s="9">
        <v>42990</v>
      </c>
      <c r="D1456" s="5" t="s">
        <v>16</v>
      </c>
      <c r="E1456" s="5" t="s">
        <v>3249</v>
      </c>
      <c r="F1456" s="6">
        <v>4680</v>
      </c>
    </row>
    <row r="1457" spans="1:6" x14ac:dyDescent="0.15">
      <c r="A1457" s="5" t="s">
        <v>37</v>
      </c>
      <c r="B1457" s="5" t="s">
        <v>6879</v>
      </c>
      <c r="C1457" s="9">
        <v>42990</v>
      </c>
      <c r="D1457" s="5" t="s">
        <v>16</v>
      </c>
      <c r="E1457" s="5" t="s">
        <v>6880</v>
      </c>
      <c r="F1457" s="6">
        <v>2047.5</v>
      </c>
    </row>
    <row r="1458" spans="1:6" x14ac:dyDescent="0.15">
      <c r="A1458" s="5" t="s">
        <v>42</v>
      </c>
      <c r="B1458" s="5" t="s">
        <v>5830</v>
      </c>
      <c r="C1458" s="9">
        <v>42989</v>
      </c>
      <c r="D1458" s="5" t="s">
        <v>16</v>
      </c>
      <c r="E1458" s="5" t="s">
        <v>5831</v>
      </c>
      <c r="F1458" s="6">
        <v>2250</v>
      </c>
    </row>
    <row r="1459" spans="1:6" x14ac:dyDescent="0.15">
      <c r="A1459" s="5" t="s">
        <v>37</v>
      </c>
      <c r="B1459" s="5" t="s">
        <v>6878</v>
      </c>
      <c r="C1459" s="9">
        <v>42989</v>
      </c>
      <c r="D1459" s="5" t="s">
        <v>16</v>
      </c>
      <c r="E1459" s="5" t="s">
        <v>5831</v>
      </c>
      <c r="F1459" s="6">
        <v>2925</v>
      </c>
    </row>
    <row r="1460" spans="1:6" x14ac:dyDescent="0.15">
      <c r="A1460" s="5" t="s">
        <v>37</v>
      </c>
      <c r="B1460" s="5" t="s">
        <v>6881</v>
      </c>
      <c r="C1460" s="9">
        <v>42990</v>
      </c>
      <c r="D1460" s="5" t="s">
        <v>16</v>
      </c>
      <c r="E1460" s="5" t="s">
        <v>6882</v>
      </c>
      <c r="F1460" s="6">
        <v>5167.5</v>
      </c>
    </row>
    <row r="1461" spans="1:6" x14ac:dyDescent="0.15">
      <c r="A1461" s="5" t="s">
        <v>43</v>
      </c>
      <c r="B1461" s="5" t="s">
        <v>4919</v>
      </c>
      <c r="C1461" s="9">
        <v>42991</v>
      </c>
      <c r="D1461" s="5" t="s">
        <v>16</v>
      </c>
      <c r="E1461" s="5" t="s">
        <v>4920</v>
      </c>
      <c r="F1461" s="6">
        <v>6984</v>
      </c>
    </row>
    <row r="1462" spans="1:6" x14ac:dyDescent="0.15">
      <c r="A1462" s="5" t="s">
        <v>37</v>
      </c>
      <c r="B1462" s="5" t="s">
        <v>6888</v>
      </c>
      <c r="C1462" s="9">
        <v>42991</v>
      </c>
      <c r="D1462" s="5" t="s">
        <v>16</v>
      </c>
      <c r="E1462" s="5" t="s">
        <v>6889</v>
      </c>
      <c r="F1462" s="6">
        <v>97.5</v>
      </c>
    </row>
    <row r="1463" spans="1:6" x14ac:dyDescent="0.15">
      <c r="A1463" s="5" t="s">
        <v>43</v>
      </c>
      <c r="B1463" s="5" t="s">
        <v>4921</v>
      </c>
      <c r="C1463" s="9">
        <v>42991</v>
      </c>
      <c r="D1463" s="5" t="s">
        <v>16</v>
      </c>
      <c r="E1463" s="5" t="s">
        <v>4922</v>
      </c>
      <c r="F1463" s="6">
        <v>727.5</v>
      </c>
    </row>
    <row r="1464" spans="1:6" x14ac:dyDescent="0.15">
      <c r="A1464" s="5" t="s">
        <v>37</v>
      </c>
      <c r="B1464" s="5" t="s">
        <v>6890</v>
      </c>
      <c r="C1464" s="9">
        <v>42991</v>
      </c>
      <c r="D1464" s="5" t="s">
        <v>16</v>
      </c>
      <c r="E1464" s="5" t="s">
        <v>4922</v>
      </c>
      <c r="F1464" s="6">
        <v>1462.5</v>
      </c>
    </row>
    <row r="1465" spans="1:6" x14ac:dyDescent="0.15">
      <c r="A1465" s="5" t="s">
        <v>43</v>
      </c>
      <c r="B1465" s="5" t="s">
        <v>4923</v>
      </c>
      <c r="C1465" s="9">
        <v>42992</v>
      </c>
      <c r="D1465" s="5" t="s">
        <v>16</v>
      </c>
      <c r="E1465" s="5" t="s">
        <v>4924</v>
      </c>
      <c r="F1465" s="6">
        <v>-727.5</v>
      </c>
    </row>
    <row r="1466" spans="1:6" x14ac:dyDescent="0.15">
      <c r="A1466" s="5" t="s">
        <v>37</v>
      </c>
      <c r="B1466" s="5" t="s">
        <v>6892</v>
      </c>
      <c r="C1466" s="9">
        <v>42992</v>
      </c>
      <c r="D1466" s="5" t="s">
        <v>16</v>
      </c>
      <c r="E1466" s="5" t="s">
        <v>4924</v>
      </c>
      <c r="F1466" s="6">
        <v>-1462.5</v>
      </c>
    </row>
    <row r="1467" spans="1:6" x14ac:dyDescent="0.15">
      <c r="A1467" s="5" t="s">
        <v>43</v>
      </c>
      <c r="B1467" s="5" t="s">
        <v>4925</v>
      </c>
      <c r="C1467" s="9">
        <v>42992</v>
      </c>
      <c r="D1467" s="5" t="s">
        <v>16</v>
      </c>
      <c r="E1467" s="5" t="s">
        <v>4926</v>
      </c>
      <c r="F1467" s="6">
        <v>727.5</v>
      </c>
    </row>
    <row r="1468" spans="1:6" x14ac:dyDescent="0.15">
      <c r="A1468" s="5" t="s">
        <v>37</v>
      </c>
      <c r="B1468" s="5" t="s">
        <v>6893</v>
      </c>
      <c r="C1468" s="9">
        <v>42992</v>
      </c>
      <c r="D1468" s="5" t="s">
        <v>16</v>
      </c>
      <c r="E1468" s="5" t="s">
        <v>4926</v>
      </c>
      <c r="F1468" s="6">
        <v>1462.5</v>
      </c>
    </row>
    <row r="1469" spans="1:6" x14ac:dyDescent="0.15">
      <c r="A1469" s="5" t="s">
        <v>35</v>
      </c>
      <c r="B1469" s="5" t="s">
        <v>3252</v>
      </c>
      <c r="C1469" s="9">
        <v>42992</v>
      </c>
      <c r="D1469" s="5" t="s">
        <v>16</v>
      </c>
      <c r="E1469" s="5" t="s">
        <v>3253</v>
      </c>
      <c r="F1469" s="6">
        <v>97.5</v>
      </c>
    </row>
    <row r="1470" spans="1:6" x14ac:dyDescent="0.15">
      <c r="A1470" s="5" t="s">
        <v>35</v>
      </c>
      <c r="B1470" s="5" t="s">
        <v>3250</v>
      </c>
      <c r="C1470" s="9">
        <v>42991</v>
      </c>
      <c r="D1470" s="5" t="s">
        <v>16</v>
      </c>
      <c r="E1470" s="5" t="s">
        <v>3251</v>
      </c>
      <c r="F1470" s="6">
        <v>487.5</v>
      </c>
    </row>
    <row r="1471" spans="1:6" x14ac:dyDescent="0.15">
      <c r="A1471" s="5" t="s">
        <v>37</v>
      </c>
      <c r="B1471" s="5" t="s">
        <v>6897</v>
      </c>
      <c r="C1471" s="9">
        <v>42993</v>
      </c>
      <c r="D1471" s="5" t="s">
        <v>16</v>
      </c>
      <c r="E1471" s="5" t="s">
        <v>6898</v>
      </c>
      <c r="F1471" s="6">
        <v>3315</v>
      </c>
    </row>
    <row r="1472" spans="1:6" x14ac:dyDescent="0.15">
      <c r="A1472" s="5" t="s">
        <v>35</v>
      </c>
      <c r="B1472" s="5" t="s">
        <v>3254</v>
      </c>
      <c r="C1472" s="9">
        <v>42992</v>
      </c>
      <c r="D1472" s="5" t="s">
        <v>16</v>
      </c>
      <c r="E1472" s="5" t="s">
        <v>3255</v>
      </c>
      <c r="F1472" s="6">
        <v>7800</v>
      </c>
    </row>
    <row r="1473" spans="1:6" x14ac:dyDescent="0.15">
      <c r="A1473" s="5" t="s">
        <v>37</v>
      </c>
      <c r="B1473" s="5" t="s">
        <v>6894</v>
      </c>
      <c r="C1473" s="9">
        <v>42992</v>
      </c>
      <c r="D1473" s="5" t="s">
        <v>16</v>
      </c>
      <c r="E1473" s="5" t="s">
        <v>5835</v>
      </c>
      <c r="F1473" s="6">
        <v>1365</v>
      </c>
    </row>
    <row r="1474" spans="1:6" x14ac:dyDescent="0.15">
      <c r="A1474" s="5" t="s">
        <v>42</v>
      </c>
      <c r="B1474" s="5" t="s">
        <v>5834</v>
      </c>
      <c r="C1474" s="9">
        <v>42992</v>
      </c>
      <c r="D1474" s="5" t="s">
        <v>16</v>
      </c>
      <c r="E1474" s="5" t="s">
        <v>5835</v>
      </c>
      <c r="F1474" s="6">
        <v>1050</v>
      </c>
    </row>
    <row r="1475" spans="1:6" x14ac:dyDescent="0.15">
      <c r="A1475" s="5" t="s">
        <v>42</v>
      </c>
      <c r="B1475" s="5" t="s">
        <v>5832</v>
      </c>
      <c r="C1475" s="9">
        <v>42991</v>
      </c>
      <c r="D1475" s="5" t="s">
        <v>16</v>
      </c>
      <c r="E1475" s="5" t="s">
        <v>5833</v>
      </c>
      <c r="F1475" s="6">
        <v>1500</v>
      </c>
    </row>
    <row r="1476" spans="1:6" x14ac:dyDescent="0.15">
      <c r="A1476" s="5" t="s">
        <v>37</v>
      </c>
      <c r="B1476" s="5" t="s">
        <v>6895</v>
      </c>
      <c r="C1476" s="9">
        <v>42992</v>
      </c>
      <c r="D1476" s="5" t="s">
        <v>16</v>
      </c>
      <c r="E1476" s="5" t="s">
        <v>6896</v>
      </c>
      <c r="F1476" s="6">
        <v>5070</v>
      </c>
    </row>
    <row r="1477" spans="1:6" x14ac:dyDescent="0.15">
      <c r="A1477" s="5" t="s">
        <v>37</v>
      </c>
      <c r="B1477" s="5" t="s">
        <v>6899</v>
      </c>
      <c r="C1477" s="9">
        <v>42993</v>
      </c>
      <c r="D1477" s="5" t="s">
        <v>16</v>
      </c>
      <c r="E1477" s="5" t="s">
        <v>6896</v>
      </c>
      <c r="F1477" s="6">
        <v>2145</v>
      </c>
    </row>
    <row r="1478" spans="1:6" x14ac:dyDescent="0.15">
      <c r="A1478" s="5" t="s">
        <v>37</v>
      </c>
      <c r="B1478" s="5" t="s">
        <v>6903</v>
      </c>
      <c r="C1478" s="9">
        <v>42996</v>
      </c>
      <c r="D1478" s="5" t="s">
        <v>16</v>
      </c>
      <c r="E1478" s="5" t="s">
        <v>4928</v>
      </c>
      <c r="F1478" s="6">
        <v>64057.5</v>
      </c>
    </row>
    <row r="1479" spans="1:6" x14ac:dyDescent="0.15">
      <c r="A1479" s="5" t="s">
        <v>42</v>
      </c>
      <c r="B1479" s="5" t="s">
        <v>5836</v>
      </c>
      <c r="C1479" s="9">
        <v>42996</v>
      </c>
      <c r="D1479" s="5" t="s">
        <v>16</v>
      </c>
      <c r="E1479" s="5" t="s">
        <v>4928</v>
      </c>
      <c r="F1479" s="6">
        <v>16500</v>
      </c>
    </row>
    <row r="1480" spans="1:6" x14ac:dyDescent="0.15">
      <c r="A1480" s="5" t="s">
        <v>43</v>
      </c>
      <c r="B1480" s="5" t="s">
        <v>4927</v>
      </c>
      <c r="C1480" s="9">
        <v>42996</v>
      </c>
      <c r="D1480" s="5" t="s">
        <v>16</v>
      </c>
      <c r="E1480" s="5" t="s">
        <v>4928</v>
      </c>
      <c r="F1480" s="6">
        <v>12416</v>
      </c>
    </row>
    <row r="1481" spans="1:6" x14ac:dyDescent="0.15">
      <c r="A1481" s="5" t="s">
        <v>35</v>
      </c>
      <c r="B1481" s="5" t="s">
        <v>3256</v>
      </c>
      <c r="C1481" s="9">
        <v>42993</v>
      </c>
      <c r="D1481" s="5" t="s">
        <v>16</v>
      </c>
      <c r="E1481" s="5" t="s">
        <v>3257</v>
      </c>
      <c r="F1481" s="6">
        <v>1462.5</v>
      </c>
    </row>
    <row r="1482" spans="1:6" x14ac:dyDescent="0.15">
      <c r="A1482" s="5" t="s">
        <v>37</v>
      </c>
      <c r="B1482" s="5" t="s">
        <v>6900</v>
      </c>
      <c r="C1482" s="9">
        <v>42993</v>
      </c>
      <c r="D1482" s="5" t="s">
        <v>16</v>
      </c>
      <c r="E1482" s="5" t="s">
        <v>6901</v>
      </c>
      <c r="F1482" s="6">
        <v>5655</v>
      </c>
    </row>
    <row r="1483" spans="1:6" x14ac:dyDescent="0.15">
      <c r="A1483" s="5" t="s">
        <v>35</v>
      </c>
      <c r="B1483" s="5" t="s">
        <v>3258</v>
      </c>
      <c r="C1483" s="9">
        <v>42993</v>
      </c>
      <c r="D1483" s="5" t="s">
        <v>16</v>
      </c>
      <c r="E1483" s="5" t="s">
        <v>3259</v>
      </c>
      <c r="F1483" s="6">
        <v>1852.5</v>
      </c>
    </row>
    <row r="1484" spans="1:6" x14ac:dyDescent="0.15">
      <c r="A1484" s="5" t="s">
        <v>43</v>
      </c>
      <c r="B1484" s="5" t="s">
        <v>4929</v>
      </c>
      <c r="C1484" s="9">
        <v>42996</v>
      </c>
      <c r="D1484" s="5" t="s">
        <v>16</v>
      </c>
      <c r="E1484" s="5" t="s">
        <v>4930</v>
      </c>
      <c r="F1484" s="6">
        <v>3880</v>
      </c>
    </row>
    <row r="1485" spans="1:6" x14ac:dyDescent="0.15">
      <c r="A1485" s="5" t="s">
        <v>42</v>
      </c>
      <c r="B1485" s="5" t="s">
        <v>5837</v>
      </c>
      <c r="C1485" s="9">
        <v>42996</v>
      </c>
      <c r="D1485" s="5" t="s">
        <v>16</v>
      </c>
      <c r="E1485" s="5" t="s">
        <v>4930</v>
      </c>
      <c r="F1485" s="6">
        <v>3000</v>
      </c>
    </row>
    <row r="1486" spans="1:6" x14ac:dyDescent="0.15">
      <c r="A1486" s="5" t="s">
        <v>35</v>
      </c>
      <c r="B1486" s="5" t="s">
        <v>3265</v>
      </c>
      <c r="C1486" s="9">
        <v>42997</v>
      </c>
      <c r="D1486" s="5" t="s">
        <v>16</v>
      </c>
      <c r="E1486" s="5" t="s">
        <v>3266</v>
      </c>
      <c r="F1486" s="6">
        <v>-1462.5</v>
      </c>
    </row>
    <row r="1487" spans="1:6" x14ac:dyDescent="0.15">
      <c r="A1487" s="5" t="s">
        <v>37</v>
      </c>
      <c r="B1487" s="5" t="s">
        <v>6904</v>
      </c>
      <c r="C1487" s="9">
        <v>42997</v>
      </c>
      <c r="D1487" s="5" t="s">
        <v>16</v>
      </c>
      <c r="E1487" s="5" t="s">
        <v>6905</v>
      </c>
      <c r="F1487" s="6">
        <v>1462.5</v>
      </c>
    </row>
    <row r="1488" spans="1:6" x14ac:dyDescent="0.15">
      <c r="A1488" s="5" t="s">
        <v>40</v>
      </c>
      <c r="B1488" s="5" t="s">
        <v>2412</v>
      </c>
      <c r="C1488" s="9">
        <v>42996</v>
      </c>
      <c r="D1488" s="5" t="s">
        <v>16</v>
      </c>
      <c r="E1488" s="5" t="s">
        <v>2413</v>
      </c>
      <c r="F1488" s="6">
        <v>2775</v>
      </c>
    </row>
    <row r="1489" spans="1:6" x14ac:dyDescent="0.15">
      <c r="A1489" s="5" t="s">
        <v>35</v>
      </c>
      <c r="B1489" s="5" t="s">
        <v>3262</v>
      </c>
      <c r="C1489" s="9">
        <v>42996</v>
      </c>
      <c r="D1489" s="5" t="s">
        <v>16</v>
      </c>
      <c r="E1489" s="5" t="s">
        <v>2413</v>
      </c>
      <c r="F1489" s="6">
        <v>3607.5</v>
      </c>
    </row>
    <row r="1490" spans="1:6" x14ac:dyDescent="0.15">
      <c r="A1490" s="5" t="s">
        <v>35</v>
      </c>
      <c r="B1490" s="5" t="s">
        <v>3263</v>
      </c>
      <c r="C1490" s="9">
        <v>42996</v>
      </c>
      <c r="D1490" s="5" t="s">
        <v>16</v>
      </c>
      <c r="E1490" s="5" t="s">
        <v>3264</v>
      </c>
      <c r="F1490" s="6">
        <v>780</v>
      </c>
    </row>
    <row r="1491" spans="1:6" x14ac:dyDescent="0.15">
      <c r="A1491" s="5" t="s">
        <v>37</v>
      </c>
      <c r="B1491" s="5" t="s">
        <v>6906</v>
      </c>
      <c r="C1491" s="9">
        <v>42997</v>
      </c>
      <c r="D1491" s="5" t="s">
        <v>16</v>
      </c>
      <c r="E1491" s="5" t="s">
        <v>6907</v>
      </c>
      <c r="F1491" s="6">
        <v>2925</v>
      </c>
    </row>
    <row r="1492" spans="1:6" x14ac:dyDescent="0.15">
      <c r="A1492" s="5" t="s">
        <v>37</v>
      </c>
      <c r="B1492" s="5" t="s">
        <v>6908</v>
      </c>
      <c r="C1492" s="9">
        <v>42997</v>
      </c>
      <c r="D1492" s="5" t="s">
        <v>16</v>
      </c>
      <c r="E1492" s="5" t="s">
        <v>6909</v>
      </c>
      <c r="F1492" s="6">
        <v>14430</v>
      </c>
    </row>
    <row r="1493" spans="1:6" x14ac:dyDescent="0.15">
      <c r="A1493" s="5" t="s">
        <v>35</v>
      </c>
      <c r="B1493" s="5" t="s">
        <v>3267</v>
      </c>
      <c r="C1493" s="9">
        <v>42997</v>
      </c>
      <c r="D1493" s="5" t="s">
        <v>16</v>
      </c>
      <c r="E1493" s="5" t="s">
        <v>3268</v>
      </c>
      <c r="F1493" s="6">
        <v>2242.5</v>
      </c>
    </row>
    <row r="1494" spans="1:6" x14ac:dyDescent="0.15">
      <c r="A1494" s="5" t="s">
        <v>37</v>
      </c>
      <c r="B1494" s="5" t="s">
        <v>6910</v>
      </c>
      <c r="C1494" s="9">
        <v>42997</v>
      </c>
      <c r="D1494" s="5" t="s">
        <v>16</v>
      </c>
      <c r="E1494" s="5" t="s">
        <v>6911</v>
      </c>
      <c r="F1494" s="6">
        <v>2145</v>
      </c>
    </row>
    <row r="1495" spans="1:6" x14ac:dyDescent="0.15">
      <c r="A1495" s="5" t="s">
        <v>37</v>
      </c>
      <c r="B1495" s="5" t="s">
        <v>6912</v>
      </c>
      <c r="C1495" s="9">
        <v>42997</v>
      </c>
      <c r="D1495" s="5" t="s">
        <v>16</v>
      </c>
      <c r="E1495" s="5" t="s">
        <v>6913</v>
      </c>
      <c r="F1495" s="6">
        <v>4095</v>
      </c>
    </row>
    <row r="1496" spans="1:6" x14ac:dyDescent="0.15">
      <c r="A1496" s="5" t="s">
        <v>37</v>
      </c>
      <c r="B1496" s="5" t="s">
        <v>6914</v>
      </c>
      <c r="C1496" s="9">
        <v>42998</v>
      </c>
      <c r="D1496" s="5" t="s">
        <v>16</v>
      </c>
      <c r="E1496" s="5" t="s">
        <v>6915</v>
      </c>
      <c r="F1496" s="6">
        <v>9750</v>
      </c>
    </row>
    <row r="1497" spans="1:6" x14ac:dyDescent="0.15">
      <c r="A1497" s="5" t="s">
        <v>35</v>
      </c>
      <c r="B1497" s="5" t="s">
        <v>3269</v>
      </c>
      <c r="C1497" s="9">
        <v>42998</v>
      </c>
      <c r="D1497" s="5" t="s">
        <v>16</v>
      </c>
      <c r="E1497" s="5" t="s">
        <v>3270</v>
      </c>
      <c r="F1497" s="6">
        <v>1852.5</v>
      </c>
    </row>
    <row r="1498" spans="1:6" x14ac:dyDescent="0.15">
      <c r="A1498" s="5" t="s">
        <v>35</v>
      </c>
      <c r="B1498" s="5" t="s">
        <v>3271</v>
      </c>
      <c r="C1498" s="9">
        <v>42998</v>
      </c>
      <c r="D1498" s="5" t="s">
        <v>16</v>
      </c>
      <c r="E1498" s="5" t="s">
        <v>3272</v>
      </c>
      <c r="F1498" s="6">
        <v>3900</v>
      </c>
    </row>
    <row r="1499" spans="1:6" x14ac:dyDescent="0.15">
      <c r="A1499" s="5" t="s">
        <v>37</v>
      </c>
      <c r="B1499" s="5" t="s">
        <v>6916</v>
      </c>
      <c r="C1499" s="9">
        <v>42998</v>
      </c>
      <c r="D1499" s="5" t="s">
        <v>16</v>
      </c>
      <c r="E1499" s="5" t="s">
        <v>6917</v>
      </c>
      <c r="F1499" s="6">
        <v>3510</v>
      </c>
    </row>
    <row r="1500" spans="1:6" x14ac:dyDescent="0.15">
      <c r="A1500" s="5" t="s">
        <v>35</v>
      </c>
      <c r="B1500" s="5" t="s">
        <v>3273</v>
      </c>
      <c r="C1500" s="9">
        <v>42998</v>
      </c>
      <c r="D1500" s="5" t="s">
        <v>16</v>
      </c>
      <c r="E1500" s="5" t="s">
        <v>3274</v>
      </c>
      <c r="F1500" s="6">
        <v>780</v>
      </c>
    </row>
    <row r="1501" spans="1:6" x14ac:dyDescent="0.15">
      <c r="A1501" s="5" t="s">
        <v>37</v>
      </c>
      <c r="B1501" s="5" t="s">
        <v>6918</v>
      </c>
      <c r="C1501" s="9">
        <v>42999</v>
      </c>
      <c r="D1501" s="5" t="s">
        <v>16</v>
      </c>
      <c r="E1501" s="5" t="s">
        <v>4932</v>
      </c>
      <c r="F1501" s="6">
        <v>-64057.5</v>
      </c>
    </row>
    <row r="1502" spans="1:6" x14ac:dyDescent="0.15">
      <c r="A1502" s="5" t="s">
        <v>42</v>
      </c>
      <c r="B1502" s="5" t="s">
        <v>5838</v>
      </c>
      <c r="C1502" s="9">
        <v>42999</v>
      </c>
      <c r="D1502" s="5" t="s">
        <v>16</v>
      </c>
      <c r="E1502" s="5" t="s">
        <v>4932</v>
      </c>
      <c r="F1502" s="6">
        <v>-16500</v>
      </c>
    </row>
    <row r="1503" spans="1:6" x14ac:dyDescent="0.15">
      <c r="A1503" s="5" t="s">
        <v>43</v>
      </c>
      <c r="B1503" s="5" t="s">
        <v>4931</v>
      </c>
      <c r="C1503" s="9">
        <v>42999</v>
      </c>
      <c r="D1503" s="5" t="s">
        <v>16</v>
      </c>
      <c r="E1503" s="5" t="s">
        <v>4932</v>
      </c>
      <c r="F1503" s="6">
        <v>-12416</v>
      </c>
    </row>
    <row r="1504" spans="1:6" x14ac:dyDescent="0.15">
      <c r="A1504" s="5" t="s">
        <v>37</v>
      </c>
      <c r="B1504" s="5" t="s">
        <v>6919</v>
      </c>
      <c r="C1504" s="9">
        <v>42999</v>
      </c>
      <c r="D1504" s="5" t="s">
        <v>16</v>
      </c>
      <c r="E1504" s="5" t="s">
        <v>4934</v>
      </c>
      <c r="F1504" s="6">
        <v>63667.5</v>
      </c>
    </row>
    <row r="1505" spans="1:6" x14ac:dyDescent="0.15">
      <c r="A1505" s="5" t="s">
        <v>42</v>
      </c>
      <c r="B1505" s="5" t="s">
        <v>5839</v>
      </c>
      <c r="C1505" s="9">
        <v>42999</v>
      </c>
      <c r="D1505" s="5" t="s">
        <v>16</v>
      </c>
      <c r="E1505" s="5" t="s">
        <v>4934</v>
      </c>
      <c r="F1505" s="6">
        <v>16500</v>
      </c>
    </row>
    <row r="1506" spans="1:6" x14ac:dyDescent="0.15">
      <c r="A1506" s="5" t="s">
        <v>43</v>
      </c>
      <c r="B1506" s="5" t="s">
        <v>4933</v>
      </c>
      <c r="C1506" s="9">
        <v>42999</v>
      </c>
      <c r="D1506" s="5" t="s">
        <v>16</v>
      </c>
      <c r="E1506" s="5" t="s">
        <v>4934</v>
      </c>
      <c r="F1506" s="6">
        <v>12416</v>
      </c>
    </row>
    <row r="1507" spans="1:6" x14ac:dyDescent="0.15">
      <c r="A1507" s="5" t="s">
        <v>37</v>
      </c>
      <c r="B1507" s="5" t="s">
        <v>6920</v>
      </c>
      <c r="C1507" s="9">
        <v>42999</v>
      </c>
      <c r="D1507" s="5" t="s">
        <v>16</v>
      </c>
      <c r="E1507" s="5" t="s">
        <v>6921</v>
      </c>
      <c r="F1507" s="6">
        <v>6240</v>
      </c>
    </row>
    <row r="1508" spans="1:6" x14ac:dyDescent="0.15">
      <c r="A1508" s="5" t="s">
        <v>43</v>
      </c>
      <c r="B1508" s="5" t="s">
        <v>4938</v>
      </c>
      <c r="C1508" s="9">
        <v>43003</v>
      </c>
      <c r="D1508" s="5" t="s">
        <v>16</v>
      </c>
      <c r="E1508" s="5" t="s">
        <v>4939</v>
      </c>
      <c r="F1508" s="6">
        <v>4850</v>
      </c>
    </row>
    <row r="1509" spans="1:6" x14ac:dyDescent="0.15">
      <c r="A1509" s="5" t="s">
        <v>37</v>
      </c>
      <c r="B1509" s="5" t="s">
        <v>6922</v>
      </c>
      <c r="C1509" s="9">
        <v>43000</v>
      </c>
      <c r="D1509" s="5" t="s">
        <v>16</v>
      </c>
      <c r="E1509" s="5" t="s">
        <v>5841</v>
      </c>
      <c r="F1509" s="6">
        <v>2145</v>
      </c>
    </row>
    <row r="1510" spans="1:6" x14ac:dyDescent="0.15">
      <c r="A1510" s="5" t="s">
        <v>42</v>
      </c>
      <c r="B1510" s="5" t="s">
        <v>5840</v>
      </c>
      <c r="C1510" s="9">
        <v>43000</v>
      </c>
      <c r="D1510" s="5" t="s">
        <v>16</v>
      </c>
      <c r="E1510" s="5" t="s">
        <v>5841</v>
      </c>
      <c r="F1510" s="6">
        <v>675</v>
      </c>
    </row>
    <row r="1511" spans="1:6" x14ac:dyDescent="0.15">
      <c r="A1511" s="5" t="s">
        <v>37</v>
      </c>
      <c r="B1511" s="5" t="s">
        <v>6923</v>
      </c>
      <c r="C1511" s="9">
        <v>43000</v>
      </c>
      <c r="D1511" s="5" t="s">
        <v>16</v>
      </c>
      <c r="E1511" s="5" t="s">
        <v>6924</v>
      </c>
      <c r="F1511" s="6">
        <v>11992.5</v>
      </c>
    </row>
    <row r="1512" spans="1:6" x14ac:dyDescent="0.15">
      <c r="A1512" s="5" t="s">
        <v>37</v>
      </c>
      <c r="B1512" s="5" t="s">
        <v>6925</v>
      </c>
      <c r="C1512" s="9">
        <v>43000</v>
      </c>
      <c r="D1512" s="5" t="s">
        <v>16</v>
      </c>
      <c r="E1512" s="5" t="s">
        <v>3276</v>
      </c>
      <c r="F1512" s="6">
        <v>975</v>
      </c>
    </row>
    <row r="1513" spans="1:6" x14ac:dyDescent="0.15">
      <c r="A1513" s="5" t="s">
        <v>35</v>
      </c>
      <c r="B1513" s="5" t="s">
        <v>3275</v>
      </c>
      <c r="C1513" s="9">
        <v>43000</v>
      </c>
      <c r="D1513" s="5" t="s">
        <v>16</v>
      </c>
      <c r="E1513" s="5" t="s">
        <v>3276</v>
      </c>
      <c r="F1513" s="6">
        <v>487.5</v>
      </c>
    </row>
    <row r="1514" spans="1:6" x14ac:dyDescent="0.15">
      <c r="A1514" s="5" t="s">
        <v>37</v>
      </c>
      <c r="B1514" s="5" t="s">
        <v>6926</v>
      </c>
      <c r="C1514" s="9">
        <v>43000</v>
      </c>
      <c r="D1514" s="5" t="s">
        <v>16</v>
      </c>
      <c r="E1514" s="5" t="s">
        <v>6927</v>
      </c>
      <c r="F1514" s="6">
        <v>487.5</v>
      </c>
    </row>
    <row r="1515" spans="1:6" x14ac:dyDescent="0.15">
      <c r="A1515" s="5" t="s">
        <v>37</v>
      </c>
      <c r="B1515" s="5" t="s">
        <v>6928</v>
      </c>
      <c r="C1515" s="9">
        <v>43000</v>
      </c>
      <c r="D1515" s="5" t="s">
        <v>16</v>
      </c>
      <c r="E1515" s="5" t="s">
        <v>6929</v>
      </c>
      <c r="F1515" s="6">
        <v>5265</v>
      </c>
    </row>
    <row r="1516" spans="1:6" x14ac:dyDescent="0.15">
      <c r="A1516" s="5" t="s">
        <v>37</v>
      </c>
      <c r="B1516" s="5" t="s">
        <v>6930</v>
      </c>
      <c r="C1516" s="9">
        <v>43000</v>
      </c>
      <c r="D1516" s="5" t="s">
        <v>16</v>
      </c>
      <c r="E1516" s="5" t="s">
        <v>6931</v>
      </c>
      <c r="F1516" s="6">
        <v>11700</v>
      </c>
    </row>
    <row r="1517" spans="1:6" x14ac:dyDescent="0.15">
      <c r="A1517" s="5" t="s">
        <v>35</v>
      </c>
      <c r="B1517" s="5" t="s">
        <v>3277</v>
      </c>
      <c r="C1517" s="9">
        <v>43000</v>
      </c>
      <c r="D1517" s="5" t="s">
        <v>16</v>
      </c>
      <c r="E1517" s="5" t="s">
        <v>3278</v>
      </c>
      <c r="F1517" s="6">
        <v>390</v>
      </c>
    </row>
    <row r="1518" spans="1:6" x14ac:dyDescent="0.15">
      <c r="A1518" s="5" t="s">
        <v>35</v>
      </c>
      <c r="B1518" s="5" t="s">
        <v>3279</v>
      </c>
      <c r="C1518" s="9">
        <v>43000</v>
      </c>
      <c r="D1518" s="5" t="s">
        <v>16</v>
      </c>
      <c r="E1518" s="5" t="s">
        <v>3280</v>
      </c>
      <c r="F1518" s="6">
        <v>5070</v>
      </c>
    </row>
    <row r="1519" spans="1:6" x14ac:dyDescent="0.15">
      <c r="A1519" s="5" t="s">
        <v>35</v>
      </c>
      <c r="B1519" s="5" t="s">
        <v>3281</v>
      </c>
      <c r="C1519" s="9">
        <v>43003</v>
      </c>
      <c r="D1519" s="5" t="s">
        <v>16</v>
      </c>
      <c r="E1519" s="5" t="s">
        <v>3282</v>
      </c>
      <c r="F1519" s="6">
        <v>195</v>
      </c>
    </row>
    <row r="1520" spans="1:6" x14ac:dyDescent="0.15">
      <c r="A1520" s="5" t="s">
        <v>51</v>
      </c>
      <c r="B1520" s="5" t="s">
        <v>4218</v>
      </c>
      <c r="C1520" s="9">
        <v>43010</v>
      </c>
      <c r="D1520" s="5" t="s">
        <v>16</v>
      </c>
      <c r="E1520" s="5" t="s">
        <v>4219</v>
      </c>
      <c r="F1520" s="6">
        <v>5850</v>
      </c>
    </row>
    <row r="1521" spans="1:6" x14ac:dyDescent="0.15">
      <c r="A1521" s="5" t="s">
        <v>53</v>
      </c>
      <c r="B1521" s="5" t="s">
        <v>8441</v>
      </c>
      <c r="C1521" s="9">
        <v>43010</v>
      </c>
      <c r="D1521" s="5" t="s">
        <v>16</v>
      </c>
      <c r="E1521" s="5" t="s">
        <v>4219</v>
      </c>
      <c r="F1521" s="6">
        <v>19500</v>
      </c>
    </row>
    <row r="1522" spans="1:6" x14ac:dyDescent="0.15">
      <c r="A1522" s="5" t="s">
        <v>35</v>
      </c>
      <c r="B1522" s="5" t="s">
        <v>3283</v>
      </c>
      <c r="C1522" s="9">
        <v>43003</v>
      </c>
      <c r="D1522" s="5" t="s">
        <v>16</v>
      </c>
      <c r="E1522" s="5" t="s">
        <v>3284</v>
      </c>
      <c r="F1522" s="6">
        <v>2340</v>
      </c>
    </row>
    <row r="1523" spans="1:6" x14ac:dyDescent="0.15">
      <c r="A1523" s="5" t="s">
        <v>43</v>
      </c>
      <c r="B1523" s="5" t="s">
        <v>4940</v>
      </c>
      <c r="C1523" s="9">
        <v>43005</v>
      </c>
      <c r="D1523" s="5" t="s">
        <v>16</v>
      </c>
      <c r="E1523" s="5" t="s">
        <v>4941</v>
      </c>
      <c r="F1523" s="6">
        <v>1940</v>
      </c>
    </row>
    <row r="1524" spans="1:6" x14ac:dyDescent="0.15">
      <c r="A1524" s="5" t="s">
        <v>42</v>
      </c>
      <c r="B1524" s="5" t="s">
        <v>5842</v>
      </c>
      <c r="C1524" s="9">
        <v>43005</v>
      </c>
      <c r="D1524" s="5" t="s">
        <v>16</v>
      </c>
      <c r="E1524" s="5" t="s">
        <v>5843</v>
      </c>
      <c r="F1524" s="6">
        <v>150</v>
      </c>
    </row>
    <row r="1525" spans="1:6" x14ac:dyDescent="0.15">
      <c r="A1525" s="5" t="s">
        <v>37</v>
      </c>
      <c r="B1525" s="5" t="s">
        <v>6935</v>
      </c>
      <c r="C1525" s="9">
        <v>43005</v>
      </c>
      <c r="D1525" s="5" t="s">
        <v>16</v>
      </c>
      <c r="E1525" s="5" t="s">
        <v>6936</v>
      </c>
      <c r="F1525" s="6">
        <v>2535</v>
      </c>
    </row>
    <row r="1526" spans="1:6" x14ac:dyDescent="0.15">
      <c r="A1526" s="5" t="s">
        <v>37</v>
      </c>
      <c r="B1526" s="5" t="s">
        <v>6933</v>
      </c>
      <c r="C1526" s="9">
        <v>43004</v>
      </c>
      <c r="D1526" s="5" t="s">
        <v>16</v>
      </c>
      <c r="E1526" s="5" t="s">
        <v>6934</v>
      </c>
      <c r="F1526" s="6">
        <v>11017.5</v>
      </c>
    </row>
    <row r="1527" spans="1:6" x14ac:dyDescent="0.15">
      <c r="A1527" s="5" t="s">
        <v>40</v>
      </c>
      <c r="B1527" s="5" t="s">
        <v>2416</v>
      </c>
      <c r="C1527" s="9">
        <v>43005</v>
      </c>
      <c r="D1527" s="5" t="s">
        <v>16</v>
      </c>
      <c r="E1527" s="5" t="s">
        <v>2417</v>
      </c>
      <c r="F1527" s="6">
        <v>6750</v>
      </c>
    </row>
    <row r="1528" spans="1:6" x14ac:dyDescent="0.15">
      <c r="A1528" s="5" t="s">
        <v>44</v>
      </c>
      <c r="B1528" s="5" t="s">
        <v>4360</v>
      </c>
      <c r="C1528" s="9">
        <v>43007</v>
      </c>
      <c r="D1528" s="5" t="s">
        <v>16</v>
      </c>
      <c r="E1528" s="5" t="s">
        <v>4361</v>
      </c>
      <c r="F1528" s="6">
        <v>15600</v>
      </c>
    </row>
    <row r="1529" spans="1:6" x14ac:dyDescent="0.15">
      <c r="A1529" s="5" t="s">
        <v>37</v>
      </c>
      <c r="B1529" s="5" t="s">
        <v>6937</v>
      </c>
      <c r="C1529" s="9">
        <v>43006</v>
      </c>
      <c r="D1529" s="5" t="s">
        <v>16</v>
      </c>
      <c r="E1529" s="5" t="s">
        <v>6938</v>
      </c>
      <c r="F1529" s="6">
        <v>13260</v>
      </c>
    </row>
    <row r="1530" spans="1:6" x14ac:dyDescent="0.15">
      <c r="A1530" s="5" t="s">
        <v>42</v>
      </c>
      <c r="B1530" s="5" t="s">
        <v>5844</v>
      </c>
      <c r="C1530" s="9">
        <v>43006</v>
      </c>
      <c r="D1530" s="5" t="s">
        <v>16</v>
      </c>
      <c r="E1530" s="5" t="s">
        <v>5845</v>
      </c>
      <c r="F1530" s="6">
        <v>5100</v>
      </c>
    </row>
    <row r="1531" spans="1:6" x14ac:dyDescent="0.15">
      <c r="A1531" s="5" t="s">
        <v>37</v>
      </c>
      <c r="B1531" s="5" t="s">
        <v>6939</v>
      </c>
      <c r="C1531" s="9">
        <v>43006</v>
      </c>
      <c r="D1531" s="5" t="s">
        <v>16</v>
      </c>
      <c r="E1531" s="5" t="s">
        <v>6940</v>
      </c>
      <c r="F1531" s="6">
        <v>585</v>
      </c>
    </row>
    <row r="1532" spans="1:6" x14ac:dyDescent="0.15">
      <c r="A1532" s="5" t="s">
        <v>35</v>
      </c>
      <c r="B1532" s="5" t="s">
        <v>3285</v>
      </c>
      <c r="C1532" s="9">
        <v>43007</v>
      </c>
      <c r="D1532" s="5" t="s">
        <v>16</v>
      </c>
      <c r="E1532" s="5" t="s">
        <v>3286</v>
      </c>
      <c r="F1532" s="6">
        <v>3412.5</v>
      </c>
    </row>
    <row r="1533" spans="1:6" x14ac:dyDescent="0.15">
      <c r="A1533" s="5" t="s">
        <v>37</v>
      </c>
      <c r="B1533" s="5" t="s">
        <v>6949</v>
      </c>
      <c r="C1533" s="9">
        <v>43007</v>
      </c>
      <c r="D1533" s="5" t="s">
        <v>16</v>
      </c>
      <c r="E1533" s="5" t="s">
        <v>6950</v>
      </c>
      <c r="F1533" s="6">
        <v>2145</v>
      </c>
    </row>
    <row r="1534" spans="1:6" x14ac:dyDescent="0.15">
      <c r="A1534" s="5" t="s">
        <v>43</v>
      </c>
      <c r="B1534" s="5" t="s">
        <v>4942</v>
      </c>
      <c r="C1534" s="9">
        <v>43005</v>
      </c>
      <c r="D1534" s="5" t="s">
        <v>16</v>
      </c>
      <c r="E1534" s="5" t="s">
        <v>4943</v>
      </c>
      <c r="F1534" s="6">
        <v>3977</v>
      </c>
    </row>
    <row r="1535" spans="1:6" x14ac:dyDescent="0.15">
      <c r="A1535" s="5" t="s">
        <v>37</v>
      </c>
      <c r="B1535" s="5" t="s">
        <v>6941</v>
      </c>
      <c r="C1535" s="9">
        <v>43006</v>
      </c>
      <c r="D1535" s="5" t="s">
        <v>16</v>
      </c>
      <c r="E1535" s="5" t="s">
        <v>6942</v>
      </c>
      <c r="F1535" s="6">
        <v>585</v>
      </c>
    </row>
    <row r="1536" spans="1:6" x14ac:dyDescent="0.15">
      <c r="A1536" s="5" t="s">
        <v>37</v>
      </c>
      <c r="B1536" s="5" t="s">
        <v>6943</v>
      </c>
      <c r="C1536" s="9">
        <v>43006</v>
      </c>
      <c r="D1536" s="5" t="s">
        <v>16</v>
      </c>
      <c r="E1536" s="5" t="s">
        <v>6944</v>
      </c>
      <c r="F1536" s="6">
        <v>-585</v>
      </c>
    </row>
    <row r="1537" spans="1:6" x14ac:dyDescent="0.15">
      <c r="A1537" s="5" t="s">
        <v>42</v>
      </c>
      <c r="B1537" s="5" t="s">
        <v>5846</v>
      </c>
      <c r="C1537" s="9">
        <v>43006</v>
      </c>
      <c r="D1537" s="5" t="s">
        <v>16</v>
      </c>
      <c r="E1537" s="5" t="s">
        <v>5847</v>
      </c>
      <c r="F1537" s="6">
        <v>3600</v>
      </c>
    </row>
    <row r="1538" spans="1:6" x14ac:dyDescent="0.15">
      <c r="A1538" s="5" t="s">
        <v>37</v>
      </c>
      <c r="B1538" s="5" t="s">
        <v>6945</v>
      </c>
      <c r="C1538" s="9">
        <v>43006</v>
      </c>
      <c r="D1538" s="5" t="s">
        <v>16</v>
      </c>
      <c r="E1538" s="5" t="s">
        <v>6946</v>
      </c>
      <c r="F1538" s="6">
        <v>9750</v>
      </c>
    </row>
    <row r="1539" spans="1:6" x14ac:dyDescent="0.15">
      <c r="A1539" s="5" t="s">
        <v>37</v>
      </c>
      <c r="B1539" s="5" t="s">
        <v>6947</v>
      </c>
      <c r="C1539" s="9">
        <v>43006</v>
      </c>
      <c r="D1539" s="5" t="s">
        <v>16</v>
      </c>
      <c r="E1539" s="5" t="s">
        <v>6948</v>
      </c>
      <c r="F1539" s="6">
        <v>585</v>
      </c>
    </row>
    <row r="1540" spans="1:6" x14ac:dyDescent="0.15">
      <c r="A1540" s="5" t="s">
        <v>65</v>
      </c>
      <c r="B1540" s="5" t="s">
        <v>4266</v>
      </c>
      <c r="C1540" s="9">
        <v>43014</v>
      </c>
      <c r="D1540" s="5" t="s">
        <v>16</v>
      </c>
      <c r="E1540" s="5" t="s">
        <v>4267</v>
      </c>
      <c r="F1540" s="6">
        <v>1500</v>
      </c>
    </row>
    <row r="1541" spans="1:6" x14ac:dyDescent="0.15">
      <c r="A1541" s="5" t="s">
        <v>42</v>
      </c>
      <c r="B1541" s="5" t="s">
        <v>5849</v>
      </c>
      <c r="C1541" s="9">
        <v>43014</v>
      </c>
      <c r="D1541" s="5" t="s">
        <v>16</v>
      </c>
      <c r="E1541" s="5" t="s">
        <v>4267</v>
      </c>
      <c r="F1541" s="6">
        <v>1500</v>
      </c>
    </row>
    <row r="1542" spans="1:6" x14ac:dyDescent="0.15">
      <c r="A1542" s="5" t="s">
        <v>35</v>
      </c>
      <c r="B1542" s="5" t="s">
        <v>3287</v>
      </c>
      <c r="C1542" s="9">
        <v>43010</v>
      </c>
      <c r="D1542" s="5" t="s">
        <v>16</v>
      </c>
      <c r="E1542" s="5" t="s">
        <v>3288</v>
      </c>
      <c r="F1542" s="6">
        <v>6922.5</v>
      </c>
    </row>
    <row r="1543" spans="1:6" x14ac:dyDescent="0.15">
      <c r="A1543" s="5" t="s">
        <v>37</v>
      </c>
      <c r="B1543" s="5" t="s">
        <v>6951</v>
      </c>
      <c r="C1543" s="9">
        <v>43010</v>
      </c>
      <c r="D1543" s="5" t="s">
        <v>16</v>
      </c>
      <c r="E1543" s="5" t="s">
        <v>6952</v>
      </c>
      <c r="F1543" s="6">
        <v>3412.5</v>
      </c>
    </row>
    <row r="1544" spans="1:6" x14ac:dyDescent="0.15">
      <c r="A1544" s="5" t="s">
        <v>37</v>
      </c>
      <c r="B1544" s="5" t="s">
        <v>6953</v>
      </c>
      <c r="C1544" s="9">
        <v>43010</v>
      </c>
      <c r="D1544" s="5" t="s">
        <v>16</v>
      </c>
      <c r="E1544" s="5" t="s">
        <v>6954</v>
      </c>
      <c r="F1544" s="6">
        <v>1755</v>
      </c>
    </row>
    <row r="1545" spans="1:6" x14ac:dyDescent="0.15">
      <c r="A1545" s="5" t="s">
        <v>37</v>
      </c>
      <c r="B1545" s="5" t="s">
        <v>6955</v>
      </c>
      <c r="C1545" s="9">
        <v>43010</v>
      </c>
      <c r="D1545" s="5" t="s">
        <v>16</v>
      </c>
      <c r="E1545" s="5" t="s">
        <v>6956</v>
      </c>
      <c r="F1545" s="6">
        <v>97.5</v>
      </c>
    </row>
    <row r="1546" spans="1:6" x14ac:dyDescent="0.15">
      <c r="A1546" s="5" t="s">
        <v>40</v>
      </c>
      <c r="B1546" s="5" t="s">
        <v>2418</v>
      </c>
      <c r="C1546" s="9">
        <v>43011</v>
      </c>
      <c r="D1546" s="5" t="s">
        <v>16</v>
      </c>
      <c r="E1546" s="5" t="s">
        <v>2419</v>
      </c>
      <c r="F1546" s="6">
        <v>4125</v>
      </c>
    </row>
    <row r="1547" spans="1:6" x14ac:dyDescent="0.15">
      <c r="A1547" s="5" t="s">
        <v>37</v>
      </c>
      <c r="B1547" s="5" t="s">
        <v>6957</v>
      </c>
      <c r="C1547" s="9">
        <v>43010</v>
      </c>
      <c r="D1547" s="5" t="s">
        <v>16</v>
      </c>
      <c r="E1547" s="5" t="s">
        <v>6958</v>
      </c>
      <c r="F1547" s="6">
        <v>9750</v>
      </c>
    </row>
    <row r="1548" spans="1:6" x14ac:dyDescent="0.15">
      <c r="A1548" s="5" t="s">
        <v>35</v>
      </c>
      <c r="B1548" s="5" t="s">
        <v>3289</v>
      </c>
      <c r="C1548" s="9">
        <v>43010</v>
      </c>
      <c r="D1548" s="5" t="s">
        <v>16</v>
      </c>
      <c r="E1548" s="5" t="s">
        <v>3290</v>
      </c>
      <c r="F1548" s="6">
        <v>5557.5</v>
      </c>
    </row>
    <row r="1549" spans="1:6" x14ac:dyDescent="0.15">
      <c r="A1549" s="5" t="s">
        <v>43</v>
      </c>
      <c r="B1549" s="5" t="s">
        <v>4944</v>
      </c>
      <c r="C1549" s="9">
        <v>43011</v>
      </c>
      <c r="D1549" s="5" t="s">
        <v>16</v>
      </c>
      <c r="E1549" s="5" t="s">
        <v>4945</v>
      </c>
      <c r="F1549" s="6">
        <v>145.5</v>
      </c>
    </row>
    <row r="1550" spans="1:6" x14ac:dyDescent="0.15">
      <c r="A1550" s="5" t="s">
        <v>37</v>
      </c>
      <c r="B1550" s="5" t="s">
        <v>6959</v>
      </c>
      <c r="C1550" s="9">
        <v>43010</v>
      </c>
      <c r="D1550" s="5" t="s">
        <v>16</v>
      </c>
      <c r="E1550" s="5" t="s">
        <v>6960</v>
      </c>
      <c r="F1550" s="6">
        <v>9067.5</v>
      </c>
    </row>
    <row r="1551" spans="1:6" x14ac:dyDescent="0.15">
      <c r="A1551" s="5" t="s">
        <v>49</v>
      </c>
      <c r="B1551" s="5" t="s">
        <v>8661</v>
      </c>
      <c r="C1551" s="9">
        <v>43010</v>
      </c>
      <c r="D1551" s="5" t="s">
        <v>16</v>
      </c>
      <c r="E1551" s="5" t="s">
        <v>6960</v>
      </c>
      <c r="F1551" s="6">
        <v>400</v>
      </c>
    </row>
    <row r="1552" spans="1:6" x14ac:dyDescent="0.15">
      <c r="A1552" s="5" t="s">
        <v>41</v>
      </c>
      <c r="B1552" s="5" t="s">
        <v>1906</v>
      </c>
      <c r="C1552" s="9">
        <v>43013</v>
      </c>
      <c r="D1552" s="5" t="s">
        <v>16</v>
      </c>
      <c r="E1552" s="5" t="s">
        <v>1907</v>
      </c>
      <c r="F1552" s="6">
        <v>-970</v>
      </c>
    </row>
    <row r="1553" spans="1:6" x14ac:dyDescent="0.15">
      <c r="A1553" s="5" t="s">
        <v>43</v>
      </c>
      <c r="B1553" s="5" t="s">
        <v>4946</v>
      </c>
      <c r="C1553" s="9">
        <v>43013</v>
      </c>
      <c r="D1553" s="5" t="s">
        <v>16</v>
      </c>
      <c r="E1553" s="5" t="s">
        <v>4947</v>
      </c>
      <c r="F1553" s="6">
        <v>2037</v>
      </c>
    </row>
    <row r="1554" spans="1:6" x14ac:dyDescent="0.15">
      <c r="A1554" s="5" t="s">
        <v>42</v>
      </c>
      <c r="B1554" s="5" t="s">
        <v>5848</v>
      </c>
      <c r="C1554" s="9">
        <v>43013</v>
      </c>
      <c r="D1554" s="5" t="s">
        <v>16</v>
      </c>
      <c r="E1554" s="5" t="s">
        <v>4949</v>
      </c>
      <c r="F1554" s="6">
        <v>10500</v>
      </c>
    </row>
    <row r="1555" spans="1:6" x14ac:dyDescent="0.15">
      <c r="A1555" s="5" t="s">
        <v>43</v>
      </c>
      <c r="B1555" s="5" t="s">
        <v>4948</v>
      </c>
      <c r="C1555" s="9">
        <v>43013</v>
      </c>
      <c r="D1555" s="5" t="s">
        <v>16</v>
      </c>
      <c r="E1555" s="5" t="s">
        <v>4949</v>
      </c>
      <c r="F1555" s="6">
        <v>3880</v>
      </c>
    </row>
    <row r="1556" spans="1:6" x14ac:dyDescent="0.15">
      <c r="A1556" s="5" t="s">
        <v>37</v>
      </c>
      <c r="B1556" s="5" t="s">
        <v>6961</v>
      </c>
      <c r="C1556" s="9">
        <v>43013</v>
      </c>
      <c r="D1556" s="5" t="s">
        <v>16</v>
      </c>
      <c r="E1556" s="5" t="s">
        <v>6962</v>
      </c>
      <c r="F1556" s="6">
        <v>2535</v>
      </c>
    </row>
    <row r="1557" spans="1:6" x14ac:dyDescent="0.15">
      <c r="A1557" s="5" t="s">
        <v>37</v>
      </c>
      <c r="B1557" s="5" t="s">
        <v>6963</v>
      </c>
      <c r="C1557" s="9">
        <v>43013</v>
      </c>
      <c r="D1557" s="5" t="s">
        <v>16</v>
      </c>
      <c r="E1557" s="5" t="s">
        <v>6964</v>
      </c>
      <c r="F1557" s="6">
        <v>7020</v>
      </c>
    </row>
    <row r="1558" spans="1:6" x14ac:dyDescent="0.15">
      <c r="A1558" s="5" t="s">
        <v>37</v>
      </c>
      <c r="B1558" s="5" t="s">
        <v>6965</v>
      </c>
      <c r="C1558" s="9">
        <v>43013</v>
      </c>
      <c r="D1558" s="5" t="s">
        <v>16</v>
      </c>
      <c r="E1558" s="5" t="s">
        <v>3292</v>
      </c>
      <c r="F1558" s="6">
        <v>3900</v>
      </c>
    </row>
    <row r="1559" spans="1:6" x14ac:dyDescent="0.15">
      <c r="A1559" s="5" t="s">
        <v>35</v>
      </c>
      <c r="B1559" s="5" t="s">
        <v>3291</v>
      </c>
      <c r="C1559" s="9">
        <v>43013</v>
      </c>
      <c r="D1559" s="5" t="s">
        <v>16</v>
      </c>
      <c r="E1559" s="5" t="s">
        <v>3292</v>
      </c>
      <c r="F1559" s="6">
        <v>1950</v>
      </c>
    </row>
    <row r="1560" spans="1:6" x14ac:dyDescent="0.15">
      <c r="A1560" s="5" t="s">
        <v>35</v>
      </c>
      <c r="B1560" s="5" t="s">
        <v>3293</v>
      </c>
      <c r="C1560" s="9">
        <v>43013</v>
      </c>
      <c r="D1560" s="5" t="s">
        <v>16</v>
      </c>
      <c r="E1560" s="5" t="s">
        <v>3294</v>
      </c>
      <c r="F1560" s="6">
        <v>1560</v>
      </c>
    </row>
    <row r="1561" spans="1:6" x14ac:dyDescent="0.15">
      <c r="A1561" s="5" t="s">
        <v>43</v>
      </c>
      <c r="B1561" s="5" t="s">
        <v>4954</v>
      </c>
      <c r="C1561" s="9">
        <v>43019</v>
      </c>
      <c r="D1561" s="5" t="s">
        <v>16</v>
      </c>
      <c r="E1561" s="5" t="s">
        <v>4955</v>
      </c>
      <c r="F1561" s="6">
        <v>9700</v>
      </c>
    </row>
    <row r="1562" spans="1:6" x14ac:dyDescent="0.15">
      <c r="A1562" s="5" t="s">
        <v>37</v>
      </c>
      <c r="B1562" s="5" t="s">
        <v>6966</v>
      </c>
      <c r="C1562" s="9">
        <v>43013</v>
      </c>
      <c r="D1562" s="5" t="s">
        <v>16</v>
      </c>
      <c r="E1562" s="5" t="s">
        <v>6967</v>
      </c>
      <c r="F1562" s="6">
        <v>25350</v>
      </c>
    </row>
    <row r="1563" spans="1:6" x14ac:dyDescent="0.15">
      <c r="A1563" s="5" t="s">
        <v>37</v>
      </c>
      <c r="B1563" s="5" t="s">
        <v>6968</v>
      </c>
      <c r="C1563" s="9">
        <v>43014</v>
      </c>
      <c r="D1563" s="5" t="s">
        <v>16</v>
      </c>
      <c r="E1563" s="5" t="s">
        <v>6969</v>
      </c>
      <c r="F1563" s="6">
        <v>6727.5</v>
      </c>
    </row>
    <row r="1564" spans="1:6" x14ac:dyDescent="0.15">
      <c r="A1564" s="5" t="s">
        <v>37</v>
      </c>
      <c r="B1564" s="5" t="s">
        <v>6970</v>
      </c>
      <c r="C1564" s="9">
        <v>43014</v>
      </c>
      <c r="D1564" s="5" t="s">
        <v>16</v>
      </c>
      <c r="E1564" s="5" t="s">
        <v>6971</v>
      </c>
      <c r="F1564" s="6">
        <v>6045</v>
      </c>
    </row>
    <row r="1565" spans="1:6" x14ac:dyDescent="0.15">
      <c r="A1565" s="5" t="s">
        <v>35</v>
      </c>
      <c r="B1565" s="5" t="s">
        <v>3295</v>
      </c>
      <c r="C1565" s="9">
        <v>43017</v>
      </c>
      <c r="D1565" s="5" t="s">
        <v>16</v>
      </c>
      <c r="E1565" s="5" t="s">
        <v>3296</v>
      </c>
      <c r="F1565" s="6">
        <v>7507.5</v>
      </c>
    </row>
    <row r="1566" spans="1:6" x14ac:dyDescent="0.15">
      <c r="A1566" s="5" t="s">
        <v>37</v>
      </c>
      <c r="B1566" s="5" t="s">
        <v>6972</v>
      </c>
      <c r="C1566" s="9">
        <v>43017</v>
      </c>
      <c r="D1566" s="5" t="s">
        <v>16</v>
      </c>
      <c r="E1566" s="5" t="s">
        <v>6973</v>
      </c>
      <c r="F1566" s="6">
        <v>682.5</v>
      </c>
    </row>
    <row r="1567" spans="1:6" x14ac:dyDescent="0.15">
      <c r="A1567" s="5" t="s">
        <v>35</v>
      </c>
      <c r="B1567" s="5" t="s">
        <v>3299</v>
      </c>
      <c r="C1567" s="9">
        <v>43018</v>
      </c>
      <c r="D1567" s="5" t="s">
        <v>16</v>
      </c>
      <c r="E1567" s="5" t="s">
        <v>3300</v>
      </c>
      <c r="F1567" s="6">
        <v>7995</v>
      </c>
    </row>
    <row r="1568" spans="1:6" x14ac:dyDescent="0.15">
      <c r="A1568" s="5" t="s">
        <v>35</v>
      </c>
      <c r="B1568" s="5" t="s">
        <v>3301</v>
      </c>
      <c r="C1568" s="9">
        <v>43018</v>
      </c>
      <c r="D1568" s="5" t="s">
        <v>16</v>
      </c>
      <c r="E1568" s="5" t="s">
        <v>3302</v>
      </c>
      <c r="F1568" s="6">
        <v>975</v>
      </c>
    </row>
    <row r="1569" spans="1:6" x14ac:dyDescent="0.15">
      <c r="A1569" s="5" t="s">
        <v>35</v>
      </c>
      <c r="B1569" s="5" t="s">
        <v>3303</v>
      </c>
      <c r="C1569" s="9">
        <v>43018</v>
      </c>
      <c r="D1569" s="5" t="s">
        <v>16</v>
      </c>
      <c r="E1569" s="5" t="s">
        <v>3304</v>
      </c>
      <c r="F1569" s="6">
        <v>8287.5</v>
      </c>
    </row>
    <row r="1570" spans="1:6" x14ac:dyDescent="0.15">
      <c r="A1570" s="5" t="s">
        <v>43</v>
      </c>
      <c r="B1570" s="5" t="s">
        <v>4958</v>
      </c>
      <c r="C1570" s="9">
        <v>43024</v>
      </c>
      <c r="D1570" s="5" t="s">
        <v>16</v>
      </c>
      <c r="E1570" s="5" t="s">
        <v>1911</v>
      </c>
      <c r="F1570" s="6">
        <v>1940</v>
      </c>
    </row>
    <row r="1571" spans="1:6" x14ac:dyDescent="0.15">
      <c r="A1571" s="5" t="s">
        <v>41</v>
      </c>
      <c r="B1571" s="5" t="s">
        <v>1910</v>
      </c>
      <c r="C1571" s="9">
        <v>43024</v>
      </c>
      <c r="D1571" s="5" t="s">
        <v>16</v>
      </c>
      <c r="E1571" s="5" t="s">
        <v>1911</v>
      </c>
      <c r="F1571" s="6">
        <v>1940</v>
      </c>
    </row>
    <row r="1572" spans="1:6" x14ac:dyDescent="0.15">
      <c r="A1572" s="5" t="s">
        <v>35</v>
      </c>
      <c r="B1572" s="5" t="s">
        <v>3308</v>
      </c>
      <c r="C1572" s="9">
        <v>43024</v>
      </c>
      <c r="D1572" s="5" t="s">
        <v>16</v>
      </c>
      <c r="E1572" s="5" t="s">
        <v>1911</v>
      </c>
      <c r="F1572" s="6">
        <v>1950</v>
      </c>
    </row>
    <row r="1573" spans="1:6" x14ac:dyDescent="0.15">
      <c r="A1573" s="5" t="s">
        <v>43</v>
      </c>
      <c r="B1573" s="5" t="s">
        <v>4950</v>
      </c>
      <c r="C1573" s="9">
        <v>43018</v>
      </c>
      <c r="D1573" s="5" t="s">
        <v>16</v>
      </c>
      <c r="E1573" s="5" t="s">
        <v>4951</v>
      </c>
      <c r="F1573" s="6">
        <v>1212.5</v>
      </c>
    </row>
    <row r="1574" spans="1:6" x14ac:dyDescent="0.15">
      <c r="A1574" s="5" t="s">
        <v>37</v>
      </c>
      <c r="B1574" s="5" t="s">
        <v>6974</v>
      </c>
      <c r="C1574" s="9">
        <v>43018</v>
      </c>
      <c r="D1574" s="5" t="s">
        <v>16</v>
      </c>
      <c r="E1574" s="5" t="s">
        <v>5851</v>
      </c>
      <c r="F1574" s="6">
        <v>4387.5</v>
      </c>
    </row>
    <row r="1575" spans="1:6" x14ac:dyDescent="0.15">
      <c r="A1575" s="5" t="s">
        <v>42</v>
      </c>
      <c r="B1575" s="5" t="s">
        <v>5850</v>
      </c>
      <c r="C1575" s="9">
        <v>43018</v>
      </c>
      <c r="D1575" s="5" t="s">
        <v>16</v>
      </c>
      <c r="E1575" s="5" t="s">
        <v>5851</v>
      </c>
      <c r="F1575" s="6">
        <v>1125</v>
      </c>
    </row>
    <row r="1576" spans="1:6" x14ac:dyDescent="0.15">
      <c r="A1576" s="5" t="s">
        <v>43</v>
      </c>
      <c r="B1576" s="5" t="s">
        <v>4952</v>
      </c>
      <c r="C1576" s="9">
        <v>43018</v>
      </c>
      <c r="D1576" s="5" t="s">
        <v>16</v>
      </c>
      <c r="E1576" s="5" t="s">
        <v>4953</v>
      </c>
      <c r="F1576" s="6">
        <v>4850</v>
      </c>
    </row>
    <row r="1577" spans="1:6" x14ac:dyDescent="0.15">
      <c r="A1577" s="5" t="s">
        <v>42</v>
      </c>
      <c r="B1577" s="5" t="s">
        <v>5852</v>
      </c>
      <c r="C1577" s="9">
        <v>43019</v>
      </c>
      <c r="D1577" s="5" t="s">
        <v>16</v>
      </c>
      <c r="E1577" s="5" t="s">
        <v>5853</v>
      </c>
      <c r="F1577" s="6">
        <v>450</v>
      </c>
    </row>
    <row r="1578" spans="1:6" x14ac:dyDescent="0.15">
      <c r="A1578" s="5" t="s">
        <v>37</v>
      </c>
      <c r="B1578" s="5" t="s">
        <v>6977</v>
      </c>
      <c r="C1578" s="9">
        <v>43019</v>
      </c>
      <c r="D1578" s="5" t="s">
        <v>16</v>
      </c>
      <c r="E1578" s="5" t="s">
        <v>5853</v>
      </c>
      <c r="F1578" s="6">
        <v>1170</v>
      </c>
    </row>
    <row r="1579" spans="1:6" x14ac:dyDescent="0.15">
      <c r="A1579" s="5" t="s">
        <v>37</v>
      </c>
      <c r="B1579" s="5" t="s">
        <v>6978</v>
      </c>
      <c r="C1579" s="9">
        <v>43019</v>
      </c>
      <c r="D1579" s="5" t="s">
        <v>16</v>
      </c>
      <c r="E1579" s="5" t="s">
        <v>6979</v>
      </c>
      <c r="F1579" s="6">
        <v>487.5</v>
      </c>
    </row>
    <row r="1580" spans="1:6" x14ac:dyDescent="0.15">
      <c r="A1580" s="5" t="s">
        <v>43</v>
      </c>
      <c r="B1580" s="5" t="s">
        <v>4971</v>
      </c>
      <c r="C1580" s="9">
        <v>43031</v>
      </c>
      <c r="D1580" s="5" t="s">
        <v>16</v>
      </c>
      <c r="E1580" s="5" t="s">
        <v>4363</v>
      </c>
      <c r="F1580" s="6">
        <v>7760</v>
      </c>
    </row>
    <row r="1581" spans="1:6" x14ac:dyDescent="0.15">
      <c r="A1581" s="5" t="s">
        <v>44</v>
      </c>
      <c r="B1581" s="5" t="s">
        <v>4362</v>
      </c>
      <c r="C1581" s="9">
        <v>43031</v>
      </c>
      <c r="D1581" s="5" t="s">
        <v>16</v>
      </c>
      <c r="E1581" s="5" t="s">
        <v>4363</v>
      </c>
      <c r="F1581" s="6">
        <v>1755</v>
      </c>
    </row>
    <row r="1582" spans="1:6" x14ac:dyDescent="0.15">
      <c r="A1582" s="5" t="s">
        <v>51</v>
      </c>
      <c r="B1582" s="5" t="s">
        <v>4220</v>
      </c>
      <c r="C1582" s="9">
        <v>43036</v>
      </c>
      <c r="D1582" s="5" t="s">
        <v>16</v>
      </c>
      <c r="E1582" s="5" t="s">
        <v>4221</v>
      </c>
      <c r="F1582" s="6">
        <v>13650</v>
      </c>
    </row>
    <row r="1583" spans="1:6" x14ac:dyDescent="0.15">
      <c r="A1583" s="5" t="s">
        <v>64</v>
      </c>
      <c r="B1583" s="5" t="s">
        <v>6118</v>
      </c>
      <c r="C1583" s="9">
        <v>43036</v>
      </c>
      <c r="D1583" s="5" t="s">
        <v>16</v>
      </c>
      <c r="E1583" s="5" t="s">
        <v>4221</v>
      </c>
      <c r="F1583" s="6">
        <v>9000</v>
      </c>
    </row>
    <row r="1584" spans="1:6" x14ac:dyDescent="0.15">
      <c r="A1584" s="5" t="s">
        <v>49</v>
      </c>
      <c r="B1584" s="5" t="s">
        <v>8662</v>
      </c>
      <c r="C1584" s="9">
        <v>43020</v>
      </c>
      <c r="D1584" s="5" t="s">
        <v>16</v>
      </c>
      <c r="E1584" s="5" t="s">
        <v>8663</v>
      </c>
      <c r="F1584" s="6">
        <v>145.5</v>
      </c>
    </row>
    <row r="1585" spans="1:6" x14ac:dyDescent="0.15">
      <c r="A1585" s="5" t="s">
        <v>35</v>
      </c>
      <c r="B1585" s="5" t="s">
        <v>3309</v>
      </c>
      <c r="C1585" s="9">
        <v>43024</v>
      </c>
      <c r="D1585" s="5" t="s">
        <v>16</v>
      </c>
      <c r="E1585" s="5" t="s">
        <v>2421</v>
      </c>
      <c r="F1585" s="6">
        <v>13260</v>
      </c>
    </row>
    <row r="1586" spans="1:6" x14ac:dyDescent="0.15">
      <c r="A1586" s="5" t="s">
        <v>40</v>
      </c>
      <c r="B1586" s="5" t="s">
        <v>2420</v>
      </c>
      <c r="C1586" s="9">
        <v>43024</v>
      </c>
      <c r="D1586" s="5" t="s">
        <v>16</v>
      </c>
      <c r="E1586" s="5" t="s">
        <v>2421</v>
      </c>
      <c r="F1586" s="6">
        <v>10350</v>
      </c>
    </row>
    <row r="1587" spans="1:6" x14ac:dyDescent="0.15">
      <c r="A1587" s="5" t="s">
        <v>42</v>
      </c>
      <c r="B1587" s="5" t="s">
        <v>5854</v>
      </c>
      <c r="C1587" s="9">
        <v>43019</v>
      </c>
      <c r="D1587" s="5" t="s">
        <v>16</v>
      </c>
      <c r="E1587" s="5" t="s">
        <v>5855</v>
      </c>
      <c r="F1587" s="6">
        <v>450</v>
      </c>
    </row>
    <row r="1588" spans="1:6" x14ac:dyDescent="0.15">
      <c r="A1588" s="5" t="s">
        <v>37</v>
      </c>
      <c r="B1588" s="5" t="s">
        <v>6980</v>
      </c>
      <c r="C1588" s="9">
        <v>43019</v>
      </c>
      <c r="D1588" s="5" t="s">
        <v>16</v>
      </c>
      <c r="E1588" s="5" t="s">
        <v>5855</v>
      </c>
      <c r="F1588" s="6">
        <v>1170</v>
      </c>
    </row>
    <row r="1589" spans="1:6" x14ac:dyDescent="0.15">
      <c r="A1589" s="5" t="s">
        <v>37</v>
      </c>
      <c r="B1589" s="5" t="s">
        <v>6984</v>
      </c>
      <c r="C1589" s="9">
        <v>43020</v>
      </c>
      <c r="D1589" s="5" t="s">
        <v>16</v>
      </c>
      <c r="E1589" s="5" t="s">
        <v>6985</v>
      </c>
      <c r="F1589" s="6">
        <v>5850</v>
      </c>
    </row>
    <row r="1590" spans="1:6" x14ac:dyDescent="0.15">
      <c r="A1590" s="5" t="s">
        <v>37</v>
      </c>
      <c r="B1590" s="5" t="s">
        <v>6975</v>
      </c>
      <c r="C1590" s="9">
        <v>43018</v>
      </c>
      <c r="D1590" s="5" t="s">
        <v>16</v>
      </c>
      <c r="E1590" s="5" t="s">
        <v>6976</v>
      </c>
      <c r="F1590" s="6">
        <v>2242.5</v>
      </c>
    </row>
    <row r="1591" spans="1:6" x14ac:dyDescent="0.15">
      <c r="A1591" s="5" t="s">
        <v>37</v>
      </c>
      <c r="B1591" s="5" t="s">
        <v>6975</v>
      </c>
      <c r="C1591" s="9">
        <v>43018</v>
      </c>
      <c r="D1591" s="5" t="s">
        <v>16</v>
      </c>
      <c r="E1591" s="5" t="s">
        <v>6976</v>
      </c>
      <c r="F1591" s="6">
        <v>9067.5</v>
      </c>
    </row>
    <row r="1592" spans="1:6" x14ac:dyDescent="0.15">
      <c r="A1592" s="5" t="s">
        <v>37</v>
      </c>
      <c r="B1592" s="5" t="s">
        <v>6986</v>
      </c>
      <c r="C1592" s="9">
        <v>43020</v>
      </c>
      <c r="D1592" s="5" t="s">
        <v>16</v>
      </c>
      <c r="E1592" s="5" t="s">
        <v>6987</v>
      </c>
      <c r="F1592" s="6">
        <v>7507.5</v>
      </c>
    </row>
    <row r="1593" spans="1:6" x14ac:dyDescent="0.15">
      <c r="A1593" s="5" t="s">
        <v>43</v>
      </c>
      <c r="B1593" s="5" t="s">
        <v>4956</v>
      </c>
      <c r="C1593" s="9">
        <v>43019</v>
      </c>
      <c r="D1593" s="5" t="s">
        <v>16</v>
      </c>
      <c r="E1593" s="5" t="s">
        <v>4957</v>
      </c>
      <c r="F1593" s="6">
        <v>4365</v>
      </c>
    </row>
    <row r="1594" spans="1:6" x14ac:dyDescent="0.15">
      <c r="A1594" s="5" t="s">
        <v>42</v>
      </c>
      <c r="B1594" s="5" t="s">
        <v>5856</v>
      </c>
      <c r="C1594" s="9">
        <v>43019</v>
      </c>
      <c r="D1594" s="5" t="s">
        <v>16</v>
      </c>
      <c r="E1594" s="5" t="s">
        <v>4957</v>
      </c>
      <c r="F1594" s="6">
        <v>4500</v>
      </c>
    </row>
    <row r="1595" spans="1:6" x14ac:dyDescent="0.15">
      <c r="A1595" s="5" t="s">
        <v>37</v>
      </c>
      <c r="B1595" s="5" t="s">
        <v>6981</v>
      </c>
      <c r="C1595" s="9">
        <v>43019</v>
      </c>
      <c r="D1595" s="5" t="s">
        <v>16</v>
      </c>
      <c r="E1595" s="5" t="s">
        <v>4957</v>
      </c>
      <c r="F1595" s="6">
        <v>15600</v>
      </c>
    </row>
    <row r="1596" spans="1:6" x14ac:dyDescent="0.15">
      <c r="A1596" s="5" t="s">
        <v>37</v>
      </c>
      <c r="B1596" s="5" t="s">
        <v>6988</v>
      </c>
      <c r="C1596" s="9">
        <v>43020</v>
      </c>
      <c r="D1596" s="5" t="s">
        <v>16</v>
      </c>
      <c r="E1596" s="5" t="s">
        <v>6989</v>
      </c>
      <c r="F1596" s="6">
        <v>7020</v>
      </c>
    </row>
    <row r="1597" spans="1:6" x14ac:dyDescent="0.15">
      <c r="A1597" s="5" t="s">
        <v>37</v>
      </c>
      <c r="B1597" s="5" t="s">
        <v>6982</v>
      </c>
      <c r="C1597" s="9">
        <v>43019</v>
      </c>
      <c r="D1597" s="5" t="s">
        <v>16</v>
      </c>
      <c r="E1597" s="5" t="s">
        <v>6983</v>
      </c>
      <c r="F1597" s="6">
        <v>29250</v>
      </c>
    </row>
    <row r="1598" spans="1:6" x14ac:dyDescent="0.15">
      <c r="A1598" s="5" t="s">
        <v>35</v>
      </c>
      <c r="B1598" s="5" t="s">
        <v>3305</v>
      </c>
      <c r="C1598" s="9">
        <v>43019</v>
      </c>
      <c r="D1598" s="5" t="s">
        <v>16</v>
      </c>
      <c r="E1598" s="5" t="s">
        <v>1909</v>
      </c>
      <c r="F1598" s="6">
        <v>195</v>
      </c>
    </row>
    <row r="1599" spans="1:6" x14ac:dyDescent="0.15">
      <c r="A1599" s="5" t="s">
        <v>41</v>
      </c>
      <c r="B1599" s="5" t="s">
        <v>1908</v>
      </c>
      <c r="C1599" s="9">
        <v>43019</v>
      </c>
      <c r="D1599" s="5" t="s">
        <v>16</v>
      </c>
      <c r="E1599" s="5" t="s">
        <v>1909</v>
      </c>
      <c r="F1599" s="6">
        <v>48.5</v>
      </c>
    </row>
    <row r="1600" spans="1:6" x14ac:dyDescent="0.15">
      <c r="A1600" s="5" t="s">
        <v>35</v>
      </c>
      <c r="B1600" s="5" t="s">
        <v>3306</v>
      </c>
      <c r="C1600" s="9">
        <v>43020</v>
      </c>
      <c r="D1600" s="5" t="s">
        <v>16</v>
      </c>
      <c r="E1600" s="5" t="s">
        <v>3307</v>
      </c>
      <c r="F1600" s="6">
        <v>1950</v>
      </c>
    </row>
    <row r="1601" spans="1:6" x14ac:dyDescent="0.15">
      <c r="A1601" s="5" t="s">
        <v>35</v>
      </c>
      <c r="B1601" s="5" t="s">
        <v>3310</v>
      </c>
      <c r="C1601" s="9">
        <v>43024</v>
      </c>
      <c r="D1601" s="5" t="s">
        <v>16</v>
      </c>
      <c r="E1601" s="5" t="s">
        <v>3311</v>
      </c>
      <c r="F1601" s="6">
        <v>1462.5</v>
      </c>
    </row>
    <row r="1602" spans="1:6" x14ac:dyDescent="0.15">
      <c r="A1602" s="5" t="s">
        <v>35</v>
      </c>
      <c r="B1602" s="5" t="s">
        <v>3297</v>
      </c>
      <c r="C1602" s="9">
        <v>43017</v>
      </c>
      <c r="D1602" s="5" t="s">
        <v>16</v>
      </c>
      <c r="E1602" s="5" t="s">
        <v>3298</v>
      </c>
      <c r="F1602" s="6">
        <v>7020</v>
      </c>
    </row>
    <row r="1603" spans="1:6" x14ac:dyDescent="0.15">
      <c r="A1603" s="5" t="s">
        <v>37</v>
      </c>
      <c r="B1603" s="5" t="s">
        <v>6990</v>
      </c>
      <c r="C1603" s="9">
        <v>43025</v>
      </c>
      <c r="D1603" s="5" t="s">
        <v>16</v>
      </c>
      <c r="E1603" s="5" t="s">
        <v>6991</v>
      </c>
      <c r="F1603" s="6">
        <v>11700</v>
      </c>
    </row>
    <row r="1604" spans="1:6" x14ac:dyDescent="0.15">
      <c r="A1604" s="5" t="s">
        <v>35</v>
      </c>
      <c r="B1604" s="5" t="s">
        <v>3312</v>
      </c>
      <c r="C1604" s="9">
        <v>43025</v>
      </c>
      <c r="D1604" s="5" t="s">
        <v>16</v>
      </c>
      <c r="E1604" s="5" t="s">
        <v>3313</v>
      </c>
      <c r="F1604" s="6">
        <v>2827.5</v>
      </c>
    </row>
    <row r="1605" spans="1:6" x14ac:dyDescent="0.15">
      <c r="A1605" s="5" t="s">
        <v>37</v>
      </c>
      <c r="B1605" s="5" t="s">
        <v>6992</v>
      </c>
      <c r="C1605" s="9">
        <v>43026</v>
      </c>
      <c r="D1605" s="5" t="s">
        <v>16</v>
      </c>
      <c r="E1605" s="5" t="s">
        <v>6993</v>
      </c>
      <c r="F1605" s="6">
        <v>780</v>
      </c>
    </row>
    <row r="1606" spans="1:6" x14ac:dyDescent="0.15">
      <c r="A1606" s="5" t="s">
        <v>43</v>
      </c>
      <c r="B1606" s="5" t="s">
        <v>4959</v>
      </c>
      <c r="C1606" s="9">
        <v>43026</v>
      </c>
      <c r="D1606" s="5" t="s">
        <v>16</v>
      </c>
      <c r="E1606" s="5" t="s">
        <v>4960</v>
      </c>
      <c r="F1606" s="6">
        <v>1940</v>
      </c>
    </row>
    <row r="1607" spans="1:6" x14ac:dyDescent="0.15">
      <c r="A1607" s="5" t="s">
        <v>43</v>
      </c>
      <c r="B1607" s="5" t="s">
        <v>4961</v>
      </c>
      <c r="C1607" s="9">
        <v>43026</v>
      </c>
      <c r="D1607" s="5" t="s">
        <v>16</v>
      </c>
      <c r="E1607" s="5" t="s">
        <v>4962</v>
      </c>
      <c r="F1607" s="6">
        <v>4025.5</v>
      </c>
    </row>
    <row r="1608" spans="1:6" x14ac:dyDescent="0.15">
      <c r="A1608" s="5" t="s">
        <v>37</v>
      </c>
      <c r="B1608" s="5" t="s">
        <v>6994</v>
      </c>
      <c r="C1608" s="9">
        <v>43026</v>
      </c>
      <c r="D1608" s="5" t="s">
        <v>16</v>
      </c>
      <c r="E1608" s="5" t="s">
        <v>6995</v>
      </c>
      <c r="F1608" s="6">
        <v>3607.5</v>
      </c>
    </row>
    <row r="1609" spans="1:6" x14ac:dyDescent="0.15">
      <c r="A1609" s="5" t="s">
        <v>37</v>
      </c>
      <c r="B1609" s="5" t="s">
        <v>6996</v>
      </c>
      <c r="C1609" s="9">
        <v>43027</v>
      </c>
      <c r="D1609" s="5" t="s">
        <v>16</v>
      </c>
      <c r="E1609" s="5" t="s">
        <v>6997</v>
      </c>
      <c r="F1609" s="6">
        <v>8775</v>
      </c>
    </row>
    <row r="1610" spans="1:6" x14ac:dyDescent="0.15">
      <c r="A1610" s="5" t="s">
        <v>37</v>
      </c>
      <c r="B1610" s="5" t="s">
        <v>6998</v>
      </c>
      <c r="C1610" s="9">
        <v>43027</v>
      </c>
      <c r="D1610" s="5" t="s">
        <v>16</v>
      </c>
      <c r="E1610" s="5" t="s">
        <v>6999</v>
      </c>
      <c r="F1610" s="6">
        <v>975</v>
      </c>
    </row>
    <row r="1611" spans="1:6" x14ac:dyDescent="0.15">
      <c r="A1611" s="5" t="s">
        <v>49</v>
      </c>
      <c r="B1611" s="5" t="s">
        <v>8664</v>
      </c>
      <c r="C1611" s="9">
        <v>43026</v>
      </c>
      <c r="D1611" s="5" t="s">
        <v>16</v>
      </c>
      <c r="E1611" s="5" t="s">
        <v>8665</v>
      </c>
      <c r="F1611" s="6">
        <v>500</v>
      </c>
    </row>
    <row r="1612" spans="1:6" x14ac:dyDescent="0.15">
      <c r="A1612" s="5" t="s">
        <v>37</v>
      </c>
      <c r="B1612" s="5" t="s">
        <v>7000</v>
      </c>
      <c r="C1612" s="9">
        <v>43027</v>
      </c>
      <c r="D1612" s="5" t="s">
        <v>16</v>
      </c>
      <c r="E1612" s="5" t="s">
        <v>7001</v>
      </c>
      <c r="F1612" s="6">
        <v>1170</v>
      </c>
    </row>
    <row r="1613" spans="1:6" x14ac:dyDescent="0.15">
      <c r="A1613" s="5" t="s">
        <v>37</v>
      </c>
      <c r="B1613" s="5" t="s">
        <v>7002</v>
      </c>
      <c r="C1613" s="9">
        <v>43027</v>
      </c>
      <c r="D1613" s="5" t="s">
        <v>16</v>
      </c>
      <c r="E1613" s="5" t="s">
        <v>7003</v>
      </c>
      <c r="F1613" s="6">
        <v>2827.5</v>
      </c>
    </row>
    <row r="1614" spans="1:6" x14ac:dyDescent="0.15">
      <c r="A1614" s="5" t="s">
        <v>44</v>
      </c>
      <c r="B1614" s="5" t="s">
        <v>4364</v>
      </c>
      <c r="C1614" s="9">
        <v>43031</v>
      </c>
      <c r="D1614" s="5" t="s">
        <v>16</v>
      </c>
      <c r="E1614" s="5" t="s">
        <v>4365</v>
      </c>
      <c r="F1614" s="6">
        <v>12675</v>
      </c>
    </row>
    <row r="1615" spans="1:6" x14ac:dyDescent="0.15">
      <c r="A1615" s="5" t="s">
        <v>37</v>
      </c>
      <c r="B1615" s="5" t="s">
        <v>7007</v>
      </c>
      <c r="C1615" s="9">
        <v>43031</v>
      </c>
      <c r="D1615" s="5" t="s">
        <v>16</v>
      </c>
      <c r="E1615" s="5" t="s">
        <v>4365</v>
      </c>
      <c r="F1615" s="6">
        <v>9750</v>
      </c>
    </row>
    <row r="1616" spans="1:6" x14ac:dyDescent="0.15">
      <c r="A1616" s="5" t="s">
        <v>43</v>
      </c>
      <c r="B1616" s="5" t="s">
        <v>4963</v>
      </c>
      <c r="C1616" s="9">
        <v>43027</v>
      </c>
      <c r="D1616" s="5" t="s">
        <v>16</v>
      </c>
      <c r="E1616" s="5" t="s">
        <v>4964</v>
      </c>
      <c r="F1616" s="6">
        <v>194</v>
      </c>
    </row>
    <row r="1617" spans="1:6" x14ac:dyDescent="0.15">
      <c r="A1617" s="5" t="s">
        <v>41</v>
      </c>
      <c r="B1617" s="5" t="s">
        <v>1912</v>
      </c>
      <c r="C1617" s="9">
        <v>43028</v>
      </c>
      <c r="D1617" s="5" t="s">
        <v>16</v>
      </c>
      <c r="E1617" s="5" t="s">
        <v>1913</v>
      </c>
      <c r="F1617" s="6">
        <v>291</v>
      </c>
    </row>
    <row r="1618" spans="1:6" x14ac:dyDescent="0.15">
      <c r="A1618" s="5" t="s">
        <v>40</v>
      </c>
      <c r="B1618" s="5" t="s">
        <v>2422</v>
      </c>
      <c r="C1618" s="9">
        <v>43028</v>
      </c>
      <c r="D1618" s="5" t="s">
        <v>16</v>
      </c>
      <c r="E1618" s="5" t="s">
        <v>1913</v>
      </c>
      <c r="F1618" s="6">
        <v>2475</v>
      </c>
    </row>
    <row r="1619" spans="1:6" x14ac:dyDescent="0.15">
      <c r="A1619" s="5" t="s">
        <v>37</v>
      </c>
      <c r="B1619" s="5" t="s">
        <v>7005</v>
      </c>
      <c r="C1619" s="9">
        <v>43028</v>
      </c>
      <c r="D1619" s="5" t="s">
        <v>16</v>
      </c>
      <c r="E1619" s="5" t="s">
        <v>3317</v>
      </c>
      <c r="F1619" s="6">
        <v>25740</v>
      </c>
    </row>
    <row r="1620" spans="1:6" x14ac:dyDescent="0.15">
      <c r="A1620" s="5" t="s">
        <v>35</v>
      </c>
      <c r="B1620" s="5" t="s">
        <v>3316</v>
      </c>
      <c r="C1620" s="9">
        <v>43028</v>
      </c>
      <c r="D1620" s="5" t="s">
        <v>16</v>
      </c>
      <c r="E1620" s="5" t="s">
        <v>3317</v>
      </c>
      <c r="F1620" s="6">
        <v>2145</v>
      </c>
    </row>
    <row r="1621" spans="1:6" x14ac:dyDescent="0.15">
      <c r="A1621" s="5" t="s">
        <v>43</v>
      </c>
      <c r="B1621" s="5" t="s">
        <v>4967</v>
      </c>
      <c r="C1621" s="9">
        <v>43028</v>
      </c>
      <c r="D1621" s="5" t="s">
        <v>16</v>
      </c>
      <c r="E1621" s="5" t="s">
        <v>4968</v>
      </c>
      <c r="F1621" s="6">
        <v>5432</v>
      </c>
    </row>
    <row r="1622" spans="1:6" x14ac:dyDescent="0.15">
      <c r="A1622" s="5" t="s">
        <v>37</v>
      </c>
      <c r="B1622" s="5" t="s">
        <v>7006</v>
      </c>
      <c r="C1622" s="9">
        <v>43028</v>
      </c>
      <c r="D1622" s="5" t="s">
        <v>16</v>
      </c>
      <c r="E1622" s="5" t="s">
        <v>4970</v>
      </c>
      <c r="F1622" s="6">
        <v>975</v>
      </c>
    </row>
    <row r="1623" spans="1:6" x14ac:dyDescent="0.15">
      <c r="A1623" s="5" t="s">
        <v>42</v>
      </c>
      <c r="B1623" s="5" t="s">
        <v>5859</v>
      </c>
      <c r="C1623" s="9">
        <v>43028</v>
      </c>
      <c r="D1623" s="5" t="s">
        <v>16</v>
      </c>
      <c r="E1623" s="5" t="s">
        <v>4970</v>
      </c>
      <c r="F1623" s="6">
        <v>375</v>
      </c>
    </row>
    <row r="1624" spans="1:6" x14ac:dyDescent="0.15">
      <c r="A1624" s="5" t="s">
        <v>43</v>
      </c>
      <c r="B1624" s="5" t="s">
        <v>4969</v>
      </c>
      <c r="C1624" s="9">
        <v>43028</v>
      </c>
      <c r="D1624" s="5" t="s">
        <v>16</v>
      </c>
      <c r="E1624" s="5" t="s">
        <v>4970</v>
      </c>
      <c r="F1624" s="6">
        <v>242.5</v>
      </c>
    </row>
    <row r="1625" spans="1:6" x14ac:dyDescent="0.15">
      <c r="A1625" s="5" t="s">
        <v>35</v>
      </c>
      <c r="B1625" s="5" t="s">
        <v>3318</v>
      </c>
      <c r="C1625" s="9">
        <v>43031</v>
      </c>
      <c r="D1625" s="5" t="s">
        <v>16</v>
      </c>
      <c r="E1625" s="5" t="s">
        <v>3319</v>
      </c>
      <c r="F1625" s="6">
        <v>2535</v>
      </c>
    </row>
    <row r="1626" spans="1:6" x14ac:dyDescent="0.15">
      <c r="A1626" s="5" t="s">
        <v>174</v>
      </c>
      <c r="B1626" s="5" t="s">
        <v>2654</v>
      </c>
      <c r="C1626" s="9">
        <v>43042</v>
      </c>
      <c r="D1626" s="5" t="s">
        <v>16</v>
      </c>
      <c r="E1626" s="5" t="s">
        <v>2655</v>
      </c>
      <c r="F1626" s="6">
        <v>10500</v>
      </c>
    </row>
    <row r="1627" spans="1:6" x14ac:dyDescent="0.15">
      <c r="A1627" s="5" t="s">
        <v>51</v>
      </c>
      <c r="B1627" s="5" t="s">
        <v>4222</v>
      </c>
      <c r="C1627" s="9">
        <v>43046</v>
      </c>
      <c r="D1627" s="5" t="s">
        <v>16</v>
      </c>
      <c r="E1627" s="5" t="s">
        <v>2655</v>
      </c>
      <c r="F1627" s="6">
        <v>11700</v>
      </c>
    </row>
    <row r="1628" spans="1:6" x14ac:dyDescent="0.15">
      <c r="A1628" s="5" t="s">
        <v>57</v>
      </c>
      <c r="B1628" s="5" t="s">
        <v>5578</v>
      </c>
      <c r="C1628" s="9">
        <v>43042</v>
      </c>
      <c r="D1628" s="5" t="s">
        <v>16</v>
      </c>
      <c r="E1628" s="5" t="s">
        <v>5579</v>
      </c>
      <c r="F1628" s="6">
        <v>1940</v>
      </c>
    </row>
    <row r="1629" spans="1:6" x14ac:dyDescent="0.15">
      <c r="A1629" s="5" t="s">
        <v>57</v>
      </c>
      <c r="B1629" s="5" t="s">
        <v>5578</v>
      </c>
      <c r="C1629" s="9">
        <v>43046</v>
      </c>
      <c r="D1629" s="5" t="s">
        <v>16</v>
      </c>
      <c r="E1629" s="5" t="s">
        <v>5579</v>
      </c>
      <c r="F1629" s="6">
        <v>5820</v>
      </c>
    </row>
    <row r="1630" spans="1:6" x14ac:dyDescent="0.15">
      <c r="A1630" s="5" t="s">
        <v>64</v>
      </c>
      <c r="B1630" s="5" t="s">
        <v>6119</v>
      </c>
      <c r="C1630" s="9">
        <v>43046</v>
      </c>
      <c r="D1630" s="5" t="s">
        <v>16</v>
      </c>
      <c r="E1630" s="5" t="s">
        <v>5579</v>
      </c>
      <c r="F1630" s="6">
        <v>6000</v>
      </c>
    </row>
    <row r="1631" spans="1:6" x14ac:dyDescent="0.15">
      <c r="A1631" s="5" t="s">
        <v>53</v>
      </c>
      <c r="B1631" s="5" t="s">
        <v>8444</v>
      </c>
      <c r="C1631" s="9">
        <v>43042</v>
      </c>
      <c r="D1631" s="5" t="s">
        <v>16</v>
      </c>
      <c r="E1631" s="5" t="s">
        <v>5579</v>
      </c>
      <c r="F1631" s="6">
        <v>9750</v>
      </c>
    </row>
    <row r="1632" spans="1:6" x14ac:dyDescent="0.15">
      <c r="A1632" s="5" t="s">
        <v>42</v>
      </c>
      <c r="B1632" s="5" t="s">
        <v>5860</v>
      </c>
      <c r="C1632" s="9">
        <v>43033</v>
      </c>
      <c r="D1632" s="5" t="s">
        <v>16</v>
      </c>
      <c r="E1632" s="5" t="s">
        <v>5861</v>
      </c>
      <c r="F1632" s="6">
        <v>-450</v>
      </c>
    </row>
    <row r="1633" spans="1:6" x14ac:dyDescent="0.15">
      <c r="A1633" s="5" t="s">
        <v>37</v>
      </c>
      <c r="B1633" s="5" t="s">
        <v>7013</v>
      </c>
      <c r="C1633" s="9">
        <v>43033</v>
      </c>
      <c r="D1633" s="5" t="s">
        <v>16</v>
      </c>
      <c r="E1633" s="5" t="s">
        <v>5861</v>
      </c>
      <c r="F1633" s="6">
        <v>-1170</v>
      </c>
    </row>
    <row r="1634" spans="1:6" x14ac:dyDescent="0.15">
      <c r="A1634" s="5" t="s">
        <v>43</v>
      </c>
      <c r="B1634" s="5" t="s">
        <v>4972</v>
      </c>
      <c r="C1634" s="9">
        <v>43033</v>
      </c>
      <c r="D1634" s="5" t="s">
        <v>16</v>
      </c>
      <c r="E1634" s="5" t="s">
        <v>4973</v>
      </c>
      <c r="F1634" s="6">
        <v>533.5</v>
      </c>
    </row>
    <row r="1635" spans="1:6" x14ac:dyDescent="0.15">
      <c r="A1635" s="5" t="s">
        <v>42</v>
      </c>
      <c r="B1635" s="5" t="s">
        <v>5857</v>
      </c>
      <c r="C1635" s="9">
        <v>43026</v>
      </c>
      <c r="D1635" s="5" t="s">
        <v>16</v>
      </c>
      <c r="E1635" s="5" t="s">
        <v>5858</v>
      </c>
      <c r="F1635" s="6">
        <v>7350</v>
      </c>
    </row>
    <row r="1636" spans="1:6" x14ac:dyDescent="0.15">
      <c r="A1636" s="5" t="s">
        <v>35</v>
      </c>
      <c r="B1636" s="5" t="s">
        <v>3314</v>
      </c>
      <c r="C1636" s="9">
        <v>43025</v>
      </c>
      <c r="D1636" s="5" t="s">
        <v>16</v>
      </c>
      <c r="E1636" s="5" t="s">
        <v>3315</v>
      </c>
      <c r="F1636" s="6">
        <v>35002.5</v>
      </c>
    </row>
    <row r="1637" spans="1:6" x14ac:dyDescent="0.15">
      <c r="A1637" s="5" t="s">
        <v>43</v>
      </c>
      <c r="B1637" s="5" t="s">
        <v>4965</v>
      </c>
      <c r="C1637" s="9">
        <v>43027</v>
      </c>
      <c r="D1637" s="5" t="s">
        <v>16</v>
      </c>
      <c r="E1637" s="5" t="s">
        <v>4966</v>
      </c>
      <c r="F1637" s="6">
        <v>727.5</v>
      </c>
    </row>
    <row r="1638" spans="1:6" x14ac:dyDescent="0.15">
      <c r="A1638" s="5" t="s">
        <v>37</v>
      </c>
      <c r="B1638" s="5" t="s">
        <v>7004</v>
      </c>
      <c r="C1638" s="9">
        <v>43027</v>
      </c>
      <c r="D1638" s="5" t="s">
        <v>16</v>
      </c>
      <c r="E1638" s="5" t="s">
        <v>4966</v>
      </c>
      <c r="F1638" s="6">
        <v>12090</v>
      </c>
    </row>
    <row r="1639" spans="1:6" x14ac:dyDescent="0.15">
      <c r="A1639" s="5" t="s">
        <v>37</v>
      </c>
      <c r="B1639" s="5" t="s">
        <v>7008</v>
      </c>
      <c r="C1639" s="9">
        <v>43032</v>
      </c>
      <c r="D1639" s="5" t="s">
        <v>16</v>
      </c>
      <c r="E1639" s="5" t="s">
        <v>7009</v>
      </c>
      <c r="F1639" s="6">
        <v>7020</v>
      </c>
    </row>
    <row r="1640" spans="1:6" x14ac:dyDescent="0.15">
      <c r="A1640" s="5" t="s">
        <v>37</v>
      </c>
      <c r="B1640" s="5" t="s">
        <v>7010</v>
      </c>
      <c r="C1640" s="9">
        <v>43032</v>
      </c>
      <c r="D1640" s="5" t="s">
        <v>16</v>
      </c>
      <c r="E1640" s="5" t="s">
        <v>3321</v>
      </c>
      <c r="F1640" s="6">
        <v>7507.5</v>
      </c>
    </row>
    <row r="1641" spans="1:6" x14ac:dyDescent="0.15">
      <c r="A1641" s="5" t="s">
        <v>35</v>
      </c>
      <c r="B1641" s="5" t="s">
        <v>3320</v>
      </c>
      <c r="C1641" s="9">
        <v>43032</v>
      </c>
      <c r="D1641" s="5" t="s">
        <v>16</v>
      </c>
      <c r="E1641" s="5" t="s">
        <v>3321</v>
      </c>
      <c r="F1641" s="6">
        <v>1267.5</v>
      </c>
    </row>
    <row r="1642" spans="1:6" x14ac:dyDescent="0.15">
      <c r="A1642" s="5" t="s">
        <v>37</v>
      </c>
      <c r="B1642" s="5" t="s">
        <v>7011</v>
      </c>
      <c r="C1642" s="9">
        <v>43032</v>
      </c>
      <c r="D1642" s="5" t="s">
        <v>16</v>
      </c>
      <c r="E1642" s="5" t="s">
        <v>7012</v>
      </c>
      <c r="F1642" s="6">
        <v>195</v>
      </c>
    </row>
    <row r="1643" spans="1:6" x14ac:dyDescent="0.15">
      <c r="A1643" s="5" t="s">
        <v>43</v>
      </c>
      <c r="B1643" s="5" t="s">
        <v>4980</v>
      </c>
      <c r="C1643" s="9">
        <v>43045</v>
      </c>
      <c r="D1643" s="5" t="s">
        <v>16</v>
      </c>
      <c r="E1643" s="5" t="s">
        <v>4981</v>
      </c>
      <c r="F1643" s="6">
        <v>5820</v>
      </c>
    </row>
    <row r="1644" spans="1:6" x14ac:dyDescent="0.15">
      <c r="A1644" s="5" t="s">
        <v>35</v>
      </c>
      <c r="B1644" s="5" t="s">
        <v>3322</v>
      </c>
      <c r="C1644" s="9">
        <v>43034</v>
      </c>
      <c r="D1644" s="5" t="s">
        <v>16</v>
      </c>
      <c r="E1644" s="5" t="s">
        <v>1915</v>
      </c>
      <c r="F1644" s="6">
        <v>7020</v>
      </c>
    </row>
    <row r="1645" spans="1:6" x14ac:dyDescent="0.15">
      <c r="A1645" s="5" t="s">
        <v>40</v>
      </c>
      <c r="B1645" s="5" t="s">
        <v>2423</v>
      </c>
      <c r="C1645" s="9">
        <v>43034</v>
      </c>
      <c r="D1645" s="5" t="s">
        <v>16</v>
      </c>
      <c r="E1645" s="5" t="s">
        <v>1915</v>
      </c>
      <c r="F1645" s="6">
        <v>1350</v>
      </c>
    </row>
    <row r="1646" spans="1:6" x14ac:dyDescent="0.15">
      <c r="A1646" s="5" t="s">
        <v>41</v>
      </c>
      <c r="B1646" s="5" t="s">
        <v>1914</v>
      </c>
      <c r="C1646" s="9">
        <v>43034</v>
      </c>
      <c r="D1646" s="5" t="s">
        <v>16</v>
      </c>
      <c r="E1646" s="5" t="s">
        <v>1915</v>
      </c>
      <c r="F1646" s="6">
        <v>727.5</v>
      </c>
    </row>
    <row r="1647" spans="1:6" x14ac:dyDescent="0.15">
      <c r="A1647" s="5" t="s">
        <v>35</v>
      </c>
      <c r="B1647" s="5" t="s">
        <v>3323</v>
      </c>
      <c r="C1647" s="9">
        <v>43035</v>
      </c>
      <c r="D1647" s="5" t="s">
        <v>16</v>
      </c>
      <c r="E1647" s="5" t="s">
        <v>3324</v>
      </c>
      <c r="F1647" s="6">
        <v>15015</v>
      </c>
    </row>
    <row r="1648" spans="1:6" x14ac:dyDescent="0.15">
      <c r="A1648" s="5" t="s">
        <v>35</v>
      </c>
      <c r="B1648" s="5" t="s">
        <v>3325</v>
      </c>
      <c r="C1648" s="9">
        <v>43035</v>
      </c>
      <c r="D1648" s="5" t="s">
        <v>16</v>
      </c>
      <c r="E1648" s="5" t="s">
        <v>3326</v>
      </c>
      <c r="F1648" s="6">
        <v>2730</v>
      </c>
    </row>
    <row r="1649" spans="1:6" x14ac:dyDescent="0.15">
      <c r="A1649" s="5" t="s">
        <v>53</v>
      </c>
      <c r="B1649" s="5" t="s">
        <v>8442</v>
      </c>
      <c r="C1649" s="9">
        <v>43041</v>
      </c>
      <c r="D1649" s="5" t="s">
        <v>16</v>
      </c>
      <c r="E1649" s="5" t="s">
        <v>8443</v>
      </c>
      <c r="F1649" s="6">
        <v>682.5</v>
      </c>
    </row>
    <row r="1650" spans="1:6" x14ac:dyDescent="0.15">
      <c r="A1650" s="5" t="s">
        <v>37</v>
      </c>
      <c r="B1650" s="5" t="s">
        <v>7014</v>
      </c>
      <c r="C1650" s="9">
        <v>43041</v>
      </c>
      <c r="D1650" s="5" t="s">
        <v>16</v>
      </c>
      <c r="E1650" s="5" t="s">
        <v>7015</v>
      </c>
      <c r="F1650" s="6">
        <v>2632.5</v>
      </c>
    </row>
    <row r="1651" spans="1:6" x14ac:dyDescent="0.15">
      <c r="A1651" s="5" t="s">
        <v>41</v>
      </c>
      <c r="B1651" s="5" t="s">
        <v>1916</v>
      </c>
      <c r="C1651" s="9">
        <v>43041</v>
      </c>
      <c r="D1651" s="5" t="s">
        <v>16</v>
      </c>
      <c r="E1651" s="5" t="s">
        <v>1917</v>
      </c>
      <c r="F1651" s="6">
        <v>2376.5</v>
      </c>
    </row>
    <row r="1652" spans="1:6" x14ac:dyDescent="0.15">
      <c r="A1652" s="5" t="s">
        <v>35</v>
      </c>
      <c r="B1652" s="5" t="s">
        <v>3327</v>
      </c>
      <c r="C1652" s="9">
        <v>43041</v>
      </c>
      <c r="D1652" s="5" t="s">
        <v>16</v>
      </c>
      <c r="E1652" s="5" t="s">
        <v>1917</v>
      </c>
      <c r="F1652" s="6">
        <v>13942.5</v>
      </c>
    </row>
    <row r="1653" spans="1:6" x14ac:dyDescent="0.15">
      <c r="A1653" s="5" t="s">
        <v>43</v>
      </c>
      <c r="B1653" s="5" t="s">
        <v>4974</v>
      </c>
      <c r="C1653" s="9">
        <v>43041</v>
      </c>
      <c r="D1653" s="5" t="s">
        <v>16</v>
      </c>
      <c r="E1653" s="5" t="s">
        <v>4975</v>
      </c>
      <c r="F1653" s="6">
        <v>7566</v>
      </c>
    </row>
    <row r="1654" spans="1:6" x14ac:dyDescent="0.15">
      <c r="A1654" s="5" t="s">
        <v>35</v>
      </c>
      <c r="B1654" s="5" t="s">
        <v>3328</v>
      </c>
      <c r="C1654" s="9">
        <v>43041</v>
      </c>
      <c r="D1654" s="5" t="s">
        <v>16</v>
      </c>
      <c r="E1654" s="5" t="s">
        <v>3329</v>
      </c>
      <c r="F1654" s="6">
        <v>10042.5</v>
      </c>
    </row>
    <row r="1655" spans="1:6" x14ac:dyDescent="0.15">
      <c r="A1655" s="5" t="s">
        <v>43</v>
      </c>
      <c r="B1655" s="5" t="s">
        <v>4976</v>
      </c>
      <c r="C1655" s="9">
        <v>43041</v>
      </c>
      <c r="D1655" s="5" t="s">
        <v>16</v>
      </c>
      <c r="E1655" s="5" t="s">
        <v>4977</v>
      </c>
      <c r="F1655" s="6">
        <v>242.5</v>
      </c>
    </row>
    <row r="1656" spans="1:6" x14ac:dyDescent="0.15">
      <c r="A1656" s="5" t="s">
        <v>37</v>
      </c>
      <c r="B1656" s="5" t="s">
        <v>7016</v>
      </c>
      <c r="C1656" s="9">
        <v>43041</v>
      </c>
      <c r="D1656" s="5" t="s">
        <v>16</v>
      </c>
      <c r="E1656" s="5" t="s">
        <v>4977</v>
      </c>
      <c r="F1656" s="6">
        <v>585</v>
      </c>
    </row>
    <row r="1657" spans="1:6" x14ac:dyDescent="0.15">
      <c r="A1657" s="5" t="s">
        <v>37</v>
      </c>
      <c r="B1657" s="5" t="s">
        <v>7017</v>
      </c>
      <c r="C1657" s="9">
        <v>43041</v>
      </c>
      <c r="D1657" s="5" t="s">
        <v>16</v>
      </c>
      <c r="E1657" s="5" t="s">
        <v>7018</v>
      </c>
      <c r="F1657" s="6">
        <v>3022.5</v>
      </c>
    </row>
    <row r="1658" spans="1:6" x14ac:dyDescent="0.15">
      <c r="A1658" s="5" t="s">
        <v>37</v>
      </c>
      <c r="B1658" s="5" t="s">
        <v>7019</v>
      </c>
      <c r="C1658" s="9">
        <v>43041</v>
      </c>
      <c r="D1658" s="5" t="s">
        <v>16</v>
      </c>
      <c r="E1658" s="5" t="s">
        <v>7020</v>
      </c>
      <c r="F1658" s="6">
        <v>4875</v>
      </c>
    </row>
    <row r="1659" spans="1:6" x14ac:dyDescent="0.15">
      <c r="A1659" s="5" t="s">
        <v>37</v>
      </c>
      <c r="B1659" s="5" t="s">
        <v>7021</v>
      </c>
      <c r="C1659" s="9">
        <v>43041</v>
      </c>
      <c r="D1659" s="5" t="s">
        <v>16</v>
      </c>
      <c r="E1659" s="5" t="s">
        <v>7022</v>
      </c>
      <c r="F1659" s="6">
        <v>1560</v>
      </c>
    </row>
    <row r="1660" spans="1:6" x14ac:dyDescent="0.15">
      <c r="A1660" s="5" t="s">
        <v>37</v>
      </c>
      <c r="B1660" s="5" t="s">
        <v>7023</v>
      </c>
      <c r="C1660" s="9">
        <v>43041</v>
      </c>
      <c r="D1660" s="5" t="s">
        <v>16</v>
      </c>
      <c r="E1660" s="5" t="s">
        <v>7024</v>
      </c>
      <c r="F1660" s="6">
        <v>7020</v>
      </c>
    </row>
    <row r="1661" spans="1:6" x14ac:dyDescent="0.15">
      <c r="A1661" s="5" t="s">
        <v>37</v>
      </c>
      <c r="B1661" s="5" t="s">
        <v>7025</v>
      </c>
      <c r="C1661" s="9">
        <v>43041</v>
      </c>
      <c r="D1661" s="5" t="s">
        <v>16</v>
      </c>
      <c r="E1661" s="5" t="s">
        <v>7026</v>
      </c>
      <c r="F1661" s="6">
        <v>6825</v>
      </c>
    </row>
    <row r="1662" spans="1:6" x14ac:dyDescent="0.15">
      <c r="A1662" s="5" t="s">
        <v>43</v>
      </c>
      <c r="B1662" s="5" t="s">
        <v>4978</v>
      </c>
      <c r="C1662" s="9">
        <v>43042</v>
      </c>
      <c r="D1662" s="5" t="s">
        <v>16</v>
      </c>
      <c r="E1662" s="5" t="s">
        <v>4979</v>
      </c>
      <c r="F1662" s="6">
        <v>1067</v>
      </c>
    </row>
    <row r="1663" spans="1:6" x14ac:dyDescent="0.15">
      <c r="A1663" s="5" t="s">
        <v>37</v>
      </c>
      <c r="B1663" s="5" t="s">
        <v>7027</v>
      </c>
      <c r="C1663" s="9">
        <v>43042</v>
      </c>
      <c r="D1663" s="5" t="s">
        <v>16</v>
      </c>
      <c r="E1663" s="5" t="s">
        <v>4979</v>
      </c>
      <c r="F1663" s="6">
        <v>2145</v>
      </c>
    </row>
    <row r="1664" spans="1:6" x14ac:dyDescent="0.15">
      <c r="A1664" s="5" t="s">
        <v>49</v>
      </c>
      <c r="B1664" s="5" t="s">
        <v>8666</v>
      </c>
      <c r="C1664" s="9">
        <v>43042</v>
      </c>
      <c r="D1664" s="5" t="s">
        <v>16</v>
      </c>
      <c r="E1664" s="5" t="s">
        <v>8667</v>
      </c>
      <c r="F1664" s="6">
        <v>-1000</v>
      </c>
    </row>
    <row r="1665" spans="1:6" x14ac:dyDescent="0.15">
      <c r="A1665" s="5" t="s">
        <v>42</v>
      </c>
      <c r="B1665" s="5" t="s">
        <v>5862</v>
      </c>
      <c r="C1665" s="9">
        <v>43046</v>
      </c>
      <c r="D1665" s="5" t="s">
        <v>16</v>
      </c>
      <c r="E1665" s="5" t="s">
        <v>5863</v>
      </c>
      <c r="F1665" s="6">
        <v>150</v>
      </c>
    </row>
    <row r="1666" spans="1:6" x14ac:dyDescent="0.15">
      <c r="A1666" s="5" t="s">
        <v>35</v>
      </c>
      <c r="B1666" s="5" t="s">
        <v>3330</v>
      </c>
      <c r="C1666" s="9">
        <v>43045</v>
      </c>
      <c r="D1666" s="5" t="s">
        <v>16</v>
      </c>
      <c r="E1666" s="5" t="s">
        <v>3331</v>
      </c>
      <c r="F1666" s="6">
        <v>25350</v>
      </c>
    </row>
    <row r="1667" spans="1:6" x14ac:dyDescent="0.15">
      <c r="A1667" s="5" t="s">
        <v>37</v>
      </c>
      <c r="B1667" s="5" t="s">
        <v>7028</v>
      </c>
      <c r="C1667" s="9">
        <v>43045</v>
      </c>
      <c r="D1667" s="5" t="s">
        <v>16</v>
      </c>
      <c r="E1667" s="5" t="s">
        <v>7029</v>
      </c>
      <c r="F1667" s="6">
        <v>5070</v>
      </c>
    </row>
    <row r="1668" spans="1:6" x14ac:dyDescent="0.15">
      <c r="A1668" s="5" t="s">
        <v>35</v>
      </c>
      <c r="B1668" s="5" t="s">
        <v>3334</v>
      </c>
      <c r="C1668" s="9">
        <v>43046</v>
      </c>
      <c r="D1668" s="5" t="s">
        <v>16</v>
      </c>
      <c r="E1668" s="5" t="s">
        <v>3335</v>
      </c>
      <c r="F1668" s="6">
        <v>195</v>
      </c>
    </row>
    <row r="1669" spans="1:6" x14ac:dyDescent="0.15">
      <c r="A1669" s="5" t="s">
        <v>35</v>
      </c>
      <c r="B1669" s="5" t="s">
        <v>3332</v>
      </c>
      <c r="C1669" s="9">
        <v>43045</v>
      </c>
      <c r="D1669" s="5" t="s">
        <v>16</v>
      </c>
      <c r="E1669" s="5" t="s">
        <v>3333</v>
      </c>
      <c r="F1669" s="6">
        <v>2535</v>
      </c>
    </row>
    <row r="1670" spans="1:6" x14ac:dyDescent="0.15">
      <c r="A1670" s="5" t="s">
        <v>44</v>
      </c>
      <c r="B1670" s="5" t="s">
        <v>4366</v>
      </c>
      <c r="C1670" s="9">
        <v>43048</v>
      </c>
      <c r="D1670" s="5" t="s">
        <v>16</v>
      </c>
      <c r="E1670" s="5" t="s">
        <v>4367</v>
      </c>
      <c r="F1670" s="6">
        <v>19500</v>
      </c>
    </row>
    <row r="1671" spans="1:6" x14ac:dyDescent="0.15">
      <c r="A1671" s="5" t="s">
        <v>35</v>
      </c>
      <c r="B1671" s="5" t="s">
        <v>3336</v>
      </c>
      <c r="C1671" s="9">
        <v>43046</v>
      </c>
      <c r="D1671" s="5" t="s">
        <v>16</v>
      </c>
      <c r="E1671" s="5" t="s">
        <v>3337</v>
      </c>
      <c r="F1671" s="6">
        <v>975</v>
      </c>
    </row>
    <row r="1672" spans="1:6" x14ac:dyDescent="0.15">
      <c r="A1672" s="5" t="s">
        <v>57</v>
      </c>
      <c r="B1672" s="5" t="s">
        <v>5580</v>
      </c>
      <c r="C1672" s="9">
        <v>43046</v>
      </c>
      <c r="D1672" s="5" t="s">
        <v>16</v>
      </c>
      <c r="E1672" s="5" t="s">
        <v>5581</v>
      </c>
      <c r="F1672" s="6">
        <v>3007</v>
      </c>
    </row>
    <row r="1673" spans="1:6" x14ac:dyDescent="0.15">
      <c r="A1673" s="5" t="s">
        <v>57</v>
      </c>
      <c r="B1673" s="5" t="s">
        <v>5582</v>
      </c>
      <c r="C1673" s="9">
        <v>43046</v>
      </c>
      <c r="D1673" s="5" t="s">
        <v>16</v>
      </c>
      <c r="E1673" s="5" t="s">
        <v>5583</v>
      </c>
      <c r="F1673" s="6">
        <v>2037</v>
      </c>
    </row>
    <row r="1674" spans="1:6" x14ac:dyDescent="0.15">
      <c r="A1674" s="5" t="s">
        <v>41</v>
      </c>
      <c r="B1674" s="5" t="s">
        <v>1924</v>
      </c>
      <c r="C1674" s="9">
        <v>43053</v>
      </c>
      <c r="D1674" s="5" t="s">
        <v>16</v>
      </c>
      <c r="E1674" s="5" t="s">
        <v>1925</v>
      </c>
      <c r="F1674" s="6">
        <v>1600.5</v>
      </c>
    </row>
    <row r="1675" spans="1:6" x14ac:dyDescent="0.15">
      <c r="A1675" s="5" t="s">
        <v>35</v>
      </c>
      <c r="B1675" s="5" t="s">
        <v>3341</v>
      </c>
      <c r="C1675" s="9">
        <v>43053</v>
      </c>
      <c r="D1675" s="5" t="s">
        <v>16</v>
      </c>
      <c r="E1675" s="5" t="s">
        <v>1925</v>
      </c>
      <c r="F1675" s="6">
        <v>3900</v>
      </c>
    </row>
    <row r="1676" spans="1:6" x14ac:dyDescent="0.15">
      <c r="A1676" s="5" t="s">
        <v>53</v>
      </c>
      <c r="B1676" s="5" t="s">
        <v>8446</v>
      </c>
      <c r="C1676" s="9">
        <v>43061</v>
      </c>
      <c r="D1676" s="5" t="s">
        <v>16</v>
      </c>
      <c r="E1676" s="5" t="s">
        <v>6121</v>
      </c>
      <c r="F1676" s="6">
        <v>18720</v>
      </c>
    </row>
    <row r="1677" spans="1:6" x14ac:dyDescent="0.15">
      <c r="A1677" s="5" t="s">
        <v>64</v>
      </c>
      <c r="B1677" s="5" t="s">
        <v>6120</v>
      </c>
      <c r="C1677" s="9">
        <v>43061</v>
      </c>
      <c r="D1677" s="5" t="s">
        <v>16</v>
      </c>
      <c r="E1677" s="5" t="s">
        <v>6121</v>
      </c>
      <c r="F1677" s="6">
        <v>9000</v>
      </c>
    </row>
    <row r="1678" spans="1:6" x14ac:dyDescent="0.15">
      <c r="A1678" s="5" t="s">
        <v>37</v>
      </c>
      <c r="B1678" s="5" t="s">
        <v>7033</v>
      </c>
      <c r="C1678" s="9">
        <v>43048</v>
      </c>
      <c r="D1678" s="5" t="s">
        <v>16</v>
      </c>
      <c r="E1678" s="5" t="s">
        <v>7034</v>
      </c>
      <c r="F1678" s="6">
        <v>585</v>
      </c>
    </row>
    <row r="1679" spans="1:6" x14ac:dyDescent="0.15">
      <c r="A1679" s="5" t="s">
        <v>49</v>
      </c>
      <c r="B1679" s="5" t="s">
        <v>8668</v>
      </c>
      <c r="C1679" s="9">
        <v>43048</v>
      </c>
      <c r="D1679" s="5" t="s">
        <v>16</v>
      </c>
      <c r="E1679" s="5" t="s">
        <v>8669</v>
      </c>
      <c r="F1679" s="6">
        <v>3500</v>
      </c>
    </row>
    <row r="1680" spans="1:6" x14ac:dyDescent="0.15">
      <c r="A1680" s="5" t="s">
        <v>41</v>
      </c>
      <c r="B1680" s="5" t="s">
        <v>1920</v>
      </c>
      <c r="C1680" s="9">
        <v>43048</v>
      </c>
      <c r="D1680" s="5" t="s">
        <v>16</v>
      </c>
      <c r="E1680" s="5" t="s">
        <v>1921</v>
      </c>
      <c r="F1680" s="6">
        <v>242.5</v>
      </c>
    </row>
    <row r="1681" spans="1:6" x14ac:dyDescent="0.15">
      <c r="A1681" s="5" t="s">
        <v>40</v>
      </c>
      <c r="B1681" s="5" t="s">
        <v>2425</v>
      </c>
      <c r="C1681" s="9">
        <v>43048</v>
      </c>
      <c r="D1681" s="5" t="s">
        <v>16</v>
      </c>
      <c r="E1681" s="5" t="s">
        <v>1921</v>
      </c>
      <c r="F1681" s="6">
        <v>900</v>
      </c>
    </row>
    <row r="1682" spans="1:6" x14ac:dyDescent="0.15">
      <c r="A1682" s="5" t="s">
        <v>41</v>
      </c>
      <c r="B1682" s="5" t="s">
        <v>1922</v>
      </c>
      <c r="C1682" s="9">
        <v>43048</v>
      </c>
      <c r="D1682" s="5" t="s">
        <v>16</v>
      </c>
      <c r="E1682" s="5" t="s">
        <v>1923</v>
      </c>
      <c r="F1682" s="6">
        <v>242.5</v>
      </c>
    </row>
    <row r="1683" spans="1:6" x14ac:dyDescent="0.15">
      <c r="A1683" s="5" t="s">
        <v>40</v>
      </c>
      <c r="B1683" s="5" t="s">
        <v>2426</v>
      </c>
      <c r="C1683" s="9">
        <v>43048</v>
      </c>
      <c r="D1683" s="5" t="s">
        <v>16</v>
      </c>
      <c r="E1683" s="5" t="s">
        <v>1923</v>
      </c>
      <c r="F1683" s="6">
        <v>825</v>
      </c>
    </row>
    <row r="1684" spans="1:6" x14ac:dyDescent="0.15">
      <c r="A1684" s="5" t="s">
        <v>37</v>
      </c>
      <c r="B1684" s="5" t="s">
        <v>7030</v>
      </c>
      <c r="C1684" s="9">
        <v>43047</v>
      </c>
      <c r="D1684" s="5" t="s">
        <v>16</v>
      </c>
      <c r="E1684" s="5" t="s">
        <v>4983</v>
      </c>
      <c r="F1684" s="6">
        <v>7215</v>
      </c>
    </row>
    <row r="1685" spans="1:6" x14ac:dyDescent="0.15">
      <c r="A1685" s="5" t="s">
        <v>43</v>
      </c>
      <c r="B1685" s="5" t="s">
        <v>4982</v>
      </c>
      <c r="C1685" s="9">
        <v>43047</v>
      </c>
      <c r="D1685" s="5" t="s">
        <v>16</v>
      </c>
      <c r="E1685" s="5" t="s">
        <v>4983</v>
      </c>
      <c r="F1685" s="6">
        <v>1018.5</v>
      </c>
    </row>
    <row r="1686" spans="1:6" x14ac:dyDescent="0.15">
      <c r="A1686" s="5" t="s">
        <v>37</v>
      </c>
      <c r="B1686" s="5" t="s">
        <v>7031</v>
      </c>
      <c r="C1686" s="9">
        <v>43047</v>
      </c>
      <c r="D1686" s="5" t="s">
        <v>16</v>
      </c>
      <c r="E1686" s="5" t="s">
        <v>7032</v>
      </c>
      <c r="F1686" s="6">
        <v>682.5</v>
      </c>
    </row>
    <row r="1687" spans="1:6" x14ac:dyDescent="0.15">
      <c r="A1687" s="5" t="s">
        <v>35</v>
      </c>
      <c r="B1687" s="5" t="s">
        <v>3338</v>
      </c>
      <c r="C1687" s="9">
        <v>43047</v>
      </c>
      <c r="D1687" s="5" t="s">
        <v>16</v>
      </c>
      <c r="E1687" s="5" t="s">
        <v>1919</v>
      </c>
      <c r="F1687" s="6">
        <v>3120</v>
      </c>
    </row>
    <row r="1688" spans="1:6" x14ac:dyDescent="0.15">
      <c r="A1688" s="5" t="s">
        <v>40</v>
      </c>
      <c r="B1688" s="5" t="s">
        <v>2424</v>
      </c>
      <c r="C1688" s="9">
        <v>43047</v>
      </c>
      <c r="D1688" s="5" t="s">
        <v>16</v>
      </c>
      <c r="E1688" s="5" t="s">
        <v>1919</v>
      </c>
      <c r="F1688" s="6">
        <v>75</v>
      </c>
    </row>
    <row r="1689" spans="1:6" x14ac:dyDescent="0.15">
      <c r="A1689" s="5" t="s">
        <v>41</v>
      </c>
      <c r="B1689" s="5" t="s">
        <v>1918</v>
      </c>
      <c r="C1689" s="9">
        <v>43047</v>
      </c>
      <c r="D1689" s="5" t="s">
        <v>16</v>
      </c>
      <c r="E1689" s="5" t="s">
        <v>1919</v>
      </c>
      <c r="F1689" s="6">
        <v>727.5</v>
      </c>
    </row>
    <row r="1690" spans="1:6" x14ac:dyDescent="0.15">
      <c r="A1690" s="5" t="s">
        <v>42</v>
      </c>
      <c r="B1690" s="5" t="s">
        <v>5864</v>
      </c>
      <c r="C1690" s="9">
        <v>43047</v>
      </c>
      <c r="D1690" s="5" t="s">
        <v>16</v>
      </c>
      <c r="E1690" s="5" t="s">
        <v>5865</v>
      </c>
      <c r="F1690" s="6">
        <v>1425</v>
      </c>
    </row>
    <row r="1691" spans="1:6" x14ac:dyDescent="0.15">
      <c r="A1691" s="5" t="s">
        <v>43</v>
      </c>
      <c r="B1691" s="5" t="s">
        <v>4984</v>
      </c>
      <c r="C1691" s="9">
        <v>43047</v>
      </c>
      <c r="D1691" s="5" t="s">
        <v>16</v>
      </c>
      <c r="E1691" s="5" t="s">
        <v>4985</v>
      </c>
      <c r="F1691" s="6">
        <v>3589</v>
      </c>
    </row>
    <row r="1692" spans="1:6" x14ac:dyDescent="0.15">
      <c r="A1692" s="5" t="s">
        <v>37</v>
      </c>
      <c r="B1692" s="5" t="s">
        <v>7040</v>
      </c>
      <c r="C1692" s="9">
        <v>43052</v>
      </c>
      <c r="D1692" s="5" t="s">
        <v>16</v>
      </c>
      <c r="E1692" s="5" t="s">
        <v>7041</v>
      </c>
      <c r="F1692" s="6">
        <v>97.5</v>
      </c>
    </row>
    <row r="1693" spans="1:6" x14ac:dyDescent="0.15">
      <c r="A1693" s="5" t="s">
        <v>37</v>
      </c>
      <c r="B1693" s="5" t="s">
        <v>7046</v>
      </c>
      <c r="C1693" s="9">
        <v>43053</v>
      </c>
      <c r="D1693" s="5" t="s">
        <v>16</v>
      </c>
      <c r="E1693" s="5" t="s">
        <v>7047</v>
      </c>
      <c r="F1693" s="6">
        <v>10725</v>
      </c>
    </row>
    <row r="1694" spans="1:6" x14ac:dyDescent="0.15">
      <c r="A1694" s="5" t="s">
        <v>53</v>
      </c>
      <c r="B1694" s="5" t="s">
        <v>8445</v>
      </c>
      <c r="C1694" s="9">
        <v>43053</v>
      </c>
      <c r="D1694" s="5" t="s">
        <v>16</v>
      </c>
      <c r="E1694" s="5" t="s">
        <v>7047</v>
      </c>
      <c r="F1694" s="6">
        <v>3510</v>
      </c>
    </row>
    <row r="1695" spans="1:6" x14ac:dyDescent="0.15">
      <c r="A1695" s="5" t="s">
        <v>37</v>
      </c>
      <c r="B1695" s="5" t="s">
        <v>7048</v>
      </c>
      <c r="C1695" s="9">
        <v>43053</v>
      </c>
      <c r="D1695" s="5" t="s">
        <v>16</v>
      </c>
      <c r="E1695" s="5" t="s">
        <v>3343</v>
      </c>
      <c r="F1695" s="6">
        <v>585</v>
      </c>
    </row>
    <row r="1696" spans="1:6" x14ac:dyDescent="0.15">
      <c r="A1696" s="5" t="s">
        <v>35</v>
      </c>
      <c r="B1696" s="5" t="s">
        <v>3342</v>
      </c>
      <c r="C1696" s="9">
        <v>43053</v>
      </c>
      <c r="D1696" s="5" t="s">
        <v>16</v>
      </c>
      <c r="E1696" s="5" t="s">
        <v>3343</v>
      </c>
      <c r="F1696" s="6">
        <v>585</v>
      </c>
    </row>
    <row r="1697" spans="1:6" x14ac:dyDescent="0.15">
      <c r="A1697" s="5" t="s">
        <v>37</v>
      </c>
      <c r="B1697" s="5" t="s">
        <v>7042</v>
      </c>
      <c r="C1697" s="9">
        <v>43052</v>
      </c>
      <c r="D1697" s="5" t="s">
        <v>16</v>
      </c>
      <c r="E1697" s="5" t="s">
        <v>7043</v>
      </c>
      <c r="F1697" s="6">
        <v>12967.5</v>
      </c>
    </row>
    <row r="1698" spans="1:6" x14ac:dyDescent="0.15">
      <c r="A1698" s="5" t="s">
        <v>41</v>
      </c>
      <c r="B1698" s="5" t="s">
        <v>1926</v>
      </c>
      <c r="C1698" s="9">
        <v>43053</v>
      </c>
      <c r="D1698" s="5" t="s">
        <v>16</v>
      </c>
      <c r="E1698" s="5" t="s">
        <v>1927</v>
      </c>
      <c r="F1698" s="6">
        <v>5820</v>
      </c>
    </row>
    <row r="1699" spans="1:6" x14ac:dyDescent="0.15">
      <c r="A1699" s="5" t="s">
        <v>35</v>
      </c>
      <c r="B1699" s="5" t="s">
        <v>3344</v>
      </c>
      <c r="C1699" s="9">
        <v>43053</v>
      </c>
      <c r="D1699" s="5" t="s">
        <v>16</v>
      </c>
      <c r="E1699" s="5" t="s">
        <v>1927</v>
      </c>
      <c r="F1699" s="6">
        <v>11895</v>
      </c>
    </row>
    <row r="1700" spans="1:6" x14ac:dyDescent="0.15">
      <c r="A1700" s="5" t="s">
        <v>37</v>
      </c>
      <c r="B1700" s="5" t="s">
        <v>7035</v>
      </c>
      <c r="C1700" s="9">
        <v>43049</v>
      </c>
      <c r="D1700" s="5" t="s">
        <v>16</v>
      </c>
      <c r="E1700" s="5" t="s">
        <v>7036</v>
      </c>
      <c r="F1700" s="6">
        <v>2047.5</v>
      </c>
    </row>
    <row r="1701" spans="1:6" x14ac:dyDescent="0.15">
      <c r="A1701" s="5" t="s">
        <v>57</v>
      </c>
      <c r="B1701" s="5" t="s">
        <v>5584</v>
      </c>
      <c r="C1701" s="9">
        <v>43049</v>
      </c>
      <c r="D1701" s="5" t="s">
        <v>16</v>
      </c>
      <c r="E1701" s="5" t="s">
        <v>5585</v>
      </c>
      <c r="F1701" s="6">
        <v>291</v>
      </c>
    </row>
    <row r="1702" spans="1:6" x14ac:dyDescent="0.15">
      <c r="A1702" s="5" t="s">
        <v>37</v>
      </c>
      <c r="B1702" s="5" t="s">
        <v>7037</v>
      </c>
      <c r="C1702" s="9">
        <v>43049</v>
      </c>
      <c r="D1702" s="5" t="s">
        <v>16</v>
      </c>
      <c r="E1702" s="5" t="s">
        <v>5585</v>
      </c>
      <c r="F1702" s="6">
        <v>585</v>
      </c>
    </row>
    <row r="1703" spans="1:6" x14ac:dyDescent="0.15">
      <c r="A1703" s="5" t="s">
        <v>37</v>
      </c>
      <c r="B1703" s="5" t="s">
        <v>7044</v>
      </c>
      <c r="C1703" s="9">
        <v>43052</v>
      </c>
      <c r="D1703" s="5" t="s">
        <v>16</v>
      </c>
      <c r="E1703" s="5" t="s">
        <v>7045</v>
      </c>
      <c r="F1703" s="6">
        <v>1657.5</v>
      </c>
    </row>
    <row r="1704" spans="1:6" x14ac:dyDescent="0.15">
      <c r="A1704" s="5" t="s">
        <v>37</v>
      </c>
      <c r="B1704" s="5" t="s">
        <v>7038</v>
      </c>
      <c r="C1704" s="9">
        <v>43049</v>
      </c>
      <c r="D1704" s="5" t="s">
        <v>16</v>
      </c>
      <c r="E1704" s="5" t="s">
        <v>7039</v>
      </c>
      <c r="F1704" s="6">
        <v>585</v>
      </c>
    </row>
    <row r="1705" spans="1:6" x14ac:dyDescent="0.15">
      <c r="A1705" s="5" t="s">
        <v>37</v>
      </c>
      <c r="B1705" s="5" t="s">
        <v>7049</v>
      </c>
      <c r="C1705" s="9">
        <v>43054</v>
      </c>
      <c r="D1705" s="5" t="s">
        <v>16</v>
      </c>
      <c r="E1705" s="5" t="s">
        <v>7050</v>
      </c>
      <c r="F1705" s="6">
        <v>-2242.5</v>
      </c>
    </row>
    <row r="1706" spans="1:6" x14ac:dyDescent="0.15">
      <c r="A1706" s="5" t="s">
        <v>37</v>
      </c>
      <c r="B1706" s="5" t="s">
        <v>7054</v>
      </c>
      <c r="C1706" s="9">
        <v>43055</v>
      </c>
      <c r="D1706" s="5" t="s">
        <v>16</v>
      </c>
      <c r="E1706" s="5" t="s">
        <v>4989</v>
      </c>
      <c r="F1706" s="6">
        <v>-975</v>
      </c>
    </row>
    <row r="1707" spans="1:6" x14ac:dyDescent="0.15">
      <c r="A1707" s="5" t="s">
        <v>42</v>
      </c>
      <c r="B1707" s="5" t="s">
        <v>5866</v>
      </c>
      <c r="C1707" s="9">
        <v>43055</v>
      </c>
      <c r="D1707" s="5" t="s">
        <v>16</v>
      </c>
      <c r="E1707" s="5" t="s">
        <v>4989</v>
      </c>
      <c r="F1707" s="6">
        <v>-375</v>
      </c>
    </row>
    <row r="1708" spans="1:6" x14ac:dyDescent="0.15">
      <c r="A1708" s="5" t="s">
        <v>43</v>
      </c>
      <c r="B1708" s="5" t="s">
        <v>4988</v>
      </c>
      <c r="C1708" s="9">
        <v>43055</v>
      </c>
      <c r="D1708" s="5" t="s">
        <v>16</v>
      </c>
      <c r="E1708" s="5" t="s">
        <v>4989</v>
      </c>
      <c r="F1708" s="6">
        <v>-242.5</v>
      </c>
    </row>
    <row r="1709" spans="1:6" x14ac:dyDescent="0.15">
      <c r="A1709" s="5" t="s">
        <v>37</v>
      </c>
      <c r="B1709" s="5" t="s">
        <v>7055</v>
      </c>
      <c r="C1709" s="9">
        <v>43055</v>
      </c>
      <c r="D1709" s="5" t="s">
        <v>16</v>
      </c>
      <c r="E1709" s="5" t="s">
        <v>4991</v>
      </c>
      <c r="F1709" s="6">
        <v>975</v>
      </c>
    </row>
    <row r="1710" spans="1:6" x14ac:dyDescent="0.15">
      <c r="A1710" s="5" t="s">
        <v>42</v>
      </c>
      <c r="B1710" s="5" t="s">
        <v>5867</v>
      </c>
      <c r="C1710" s="9">
        <v>43055</v>
      </c>
      <c r="D1710" s="5" t="s">
        <v>16</v>
      </c>
      <c r="E1710" s="5" t="s">
        <v>4991</v>
      </c>
      <c r="F1710" s="6">
        <v>375</v>
      </c>
    </row>
    <row r="1711" spans="1:6" x14ac:dyDescent="0.15">
      <c r="A1711" s="5" t="s">
        <v>43</v>
      </c>
      <c r="B1711" s="5" t="s">
        <v>4990</v>
      </c>
      <c r="C1711" s="9">
        <v>43055</v>
      </c>
      <c r="D1711" s="5" t="s">
        <v>16</v>
      </c>
      <c r="E1711" s="5" t="s">
        <v>4991</v>
      </c>
      <c r="F1711" s="6">
        <v>242.5</v>
      </c>
    </row>
    <row r="1712" spans="1:6" x14ac:dyDescent="0.15">
      <c r="A1712" s="5" t="s">
        <v>57</v>
      </c>
      <c r="B1712" s="5" t="s">
        <v>5586</v>
      </c>
      <c r="C1712" s="9">
        <v>43054</v>
      </c>
      <c r="D1712" s="5" t="s">
        <v>16</v>
      </c>
      <c r="E1712" s="5" t="s">
        <v>5587</v>
      </c>
      <c r="F1712" s="6">
        <v>388</v>
      </c>
    </row>
    <row r="1713" spans="1:6" x14ac:dyDescent="0.15">
      <c r="A1713" s="5" t="s">
        <v>37</v>
      </c>
      <c r="B1713" s="5" t="s">
        <v>7051</v>
      </c>
      <c r="C1713" s="9">
        <v>43054</v>
      </c>
      <c r="D1713" s="5" t="s">
        <v>16</v>
      </c>
      <c r="E1713" s="5" t="s">
        <v>4987</v>
      </c>
      <c r="F1713" s="6">
        <v>1950</v>
      </c>
    </row>
    <row r="1714" spans="1:6" x14ac:dyDescent="0.15">
      <c r="A1714" s="5" t="s">
        <v>43</v>
      </c>
      <c r="B1714" s="5" t="s">
        <v>4986</v>
      </c>
      <c r="C1714" s="9">
        <v>43054</v>
      </c>
      <c r="D1714" s="5" t="s">
        <v>16</v>
      </c>
      <c r="E1714" s="5" t="s">
        <v>4987</v>
      </c>
      <c r="F1714" s="6">
        <v>970</v>
      </c>
    </row>
    <row r="1715" spans="1:6" x14ac:dyDescent="0.15">
      <c r="A1715" s="5" t="s">
        <v>37</v>
      </c>
      <c r="B1715" s="5" t="s">
        <v>7052</v>
      </c>
      <c r="C1715" s="9">
        <v>43054</v>
      </c>
      <c r="D1715" s="5" t="s">
        <v>16</v>
      </c>
      <c r="E1715" s="5" t="s">
        <v>7053</v>
      </c>
      <c r="F1715" s="6">
        <v>5850</v>
      </c>
    </row>
    <row r="1716" spans="1:6" x14ac:dyDescent="0.15">
      <c r="A1716" s="5" t="s">
        <v>35</v>
      </c>
      <c r="B1716" s="5" t="s">
        <v>3345</v>
      </c>
      <c r="C1716" s="9">
        <v>43054</v>
      </c>
      <c r="D1716" s="5" t="s">
        <v>16</v>
      </c>
      <c r="E1716" s="5" t="s">
        <v>3346</v>
      </c>
      <c r="F1716" s="6">
        <v>1170</v>
      </c>
    </row>
    <row r="1717" spans="1:6" x14ac:dyDescent="0.15">
      <c r="A1717" s="5" t="s">
        <v>35</v>
      </c>
      <c r="B1717" s="5" t="s">
        <v>3347</v>
      </c>
      <c r="C1717" s="9">
        <v>43055</v>
      </c>
      <c r="D1717" s="5" t="s">
        <v>16</v>
      </c>
      <c r="E1717" s="5" t="s">
        <v>3348</v>
      </c>
      <c r="F1717" s="6">
        <v>195</v>
      </c>
    </row>
    <row r="1718" spans="1:6" x14ac:dyDescent="0.15">
      <c r="A1718" s="5" t="s">
        <v>37</v>
      </c>
      <c r="B1718" s="5" t="s">
        <v>7056</v>
      </c>
      <c r="C1718" s="9">
        <v>43055</v>
      </c>
      <c r="D1718" s="5" t="s">
        <v>16</v>
      </c>
      <c r="E1718" s="5" t="s">
        <v>7057</v>
      </c>
      <c r="F1718" s="6">
        <v>1560</v>
      </c>
    </row>
    <row r="1719" spans="1:6" x14ac:dyDescent="0.15">
      <c r="A1719" s="5" t="s">
        <v>35</v>
      </c>
      <c r="B1719" s="5" t="s">
        <v>3350</v>
      </c>
      <c r="C1719" s="9">
        <v>43056</v>
      </c>
      <c r="D1719" s="5" t="s">
        <v>16</v>
      </c>
      <c r="E1719" s="5" t="s">
        <v>3351</v>
      </c>
      <c r="F1719" s="6">
        <v>1170</v>
      </c>
    </row>
    <row r="1720" spans="1:6" x14ac:dyDescent="0.15">
      <c r="A1720" s="5" t="s">
        <v>37</v>
      </c>
      <c r="B1720" s="5" t="s">
        <v>7058</v>
      </c>
      <c r="C1720" s="9">
        <v>43055</v>
      </c>
      <c r="D1720" s="5" t="s">
        <v>16</v>
      </c>
      <c r="E1720" s="5" t="s">
        <v>7059</v>
      </c>
      <c r="F1720" s="6">
        <v>5362.5</v>
      </c>
    </row>
    <row r="1721" spans="1:6" x14ac:dyDescent="0.15">
      <c r="A1721" s="5" t="s">
        <v>35</v>
      </c>
      <c r="B1721" s="5" t="s">
        <v>3352</v>
      </c>
      <c r="C1721" s="9">
        <v>43058</v>
      </c>
      <c r="D1721" s="5" t="s">
        <v>16</v>
      </c>
      <c r="E1721" s="5" t="s">
        <v>3353</v>
      </c>
      <c r="F1721" s="6">
        <v>1170</v>
      </c>
    </row>
    <row r="1722" spans="1:6" x14ac:dyDescent="0.15">
      <c r="A1722" s="5" t="s">
        <v>41</v>
      </c>
      <c r="B1722" s="5" t="s">
        <v>1928</v>
      </c>
      <c r="C1722" s="9">
        <v>43055</v>
      </c>
      <c r="D1722" s="5" t="s">
        <v>16</v>
      </c>
      <c r="E1722" s="5" t="s">
        <v>1929</v>
      </c>
      <c r="F1722" s="6">
        <v>48.5</v>
      </c>
    </row>
    <row r="1723" spans="1:6" x14ac:dyDescent="0.15">
      <c r="A1723" s="5" t="s">
        <v>35</v>
      </c>
      <c r="B1723" s="5" t="s">
        <v>3349</v>
      </c>
      <c r="C1723" s="9">
        <v>43055</v>
      </c>
      <c r="D1723" s="5" t="s">
        <v>16</v>
      </c>
      <c r="E1723" s="5" t="s">
        <v>1929</v>
      </c>
      <c r="F1723" s="6">
        <v>1462.5</v>
      </c>
    </row>
    <row r="1724" spans="1:6" x14ac:dyDescent="0.15">
      <c r="A1724" s="5" t="s">
        <v>37</v>
      </c>
      <c r="B1724" s="5" t="s">
        <v>7060</v>
      </c>
      <c r="C1724" s="9">
        <v>43056</v>
      </c>
      <c r="D1724" s="5" t="s">
        <v>16</v>
      </c>
      <c r="E1724" s="5" t="s">
        <v>7061</v>
      </c>
      <c r="F1724" s="6">
        <v>4875</v>
      </c>
    </row>
    <row r="1725" spans="1:6" x14ac:dyDescent="0.15">
      <c r="A1725" s="5" t="s">
        <v>35</v>
      </c>
      <c r="B1725" s="5" t="s">
        <v>3339</v>
      </c>
      <c r="C1725" s="9">
        <v>43049</v>
      </c>
      <c r="D1725" s="5" t="s">
        <v>16</v>
      </c>
      <c r="E1725" s="5" t="s">
        <v>3340</v>
      </c>
      <c r="F1725" s="6">
        <v>97.5</v>
      </c>
    </row>
    <row r="1726" spans="1:6" x14ac:dyDescent="0.15">
      <c r="A1726" s="5" t="s">
        <v>35</v>
      </c>
      <c r="B1726" s="5" t="s">
        <v>3339</v>
      </c>
      <c r="C1726" s="9">
        <v>43049</v>
      </c>
      <c r="D1726" s="5" t="s">
        <v>16</v>
      </c>
      <c r="E1726" s="5" t="s">
        <v>3340</v>
      </c>
      <c r="F1726" s="6">
        <v>390</v>
      </c>
    </row>
    <row r="1727" spans="1:6" x14ac:dyDescent="0.15">
      <c r="A1727" s="5" t="s">
        <v>37</v>
      </c>
      <c r="B1727" s="5" t="s">
        <v>7063</v>
      </c>
      <c r="C1727" s="9">
        <v>43060</v>
      </c>
      <c r="D1727" s="5" t="s">
        <v>16</v>
      </c>
      <c r="E1727" s="5" t="s">
        <v>3357</v>
      </c>
      <c r="F1727" s="6">
        <v>3900</v>
      </c>
    </row>
    <row r="1728" spans="1:6" x14ac:dyDescent="0.15">
      <c r="A1728" s="5" t="s">
        <v>35</v>
      </c>
      <c r="B1728" s="5" t="s">
        <v>3356</v>
      </c>
      <c r="C1728" s="9">
        <v>43060</v>
      </c>
      <c r="D1728" s="5" t="s">
        <v>16</v>
      </c>
      <c r="E1728" s="5" t="s">
        <v>3357</v>
      </c>
      <c r="F1728" s="6">
        <v>2730</v>
      </c>
    </row>
    <row r="1729" spans="1:6" x14ac:dyDescent="0.15">
      <c r="A1729" s="5" t="s">
        <v>57</v>
      </c>
      <c r="B1729" s="5" t="s">
        <v>5588</v>
      </c>
      <c r="C1729" s="9">
        <v>43059</v>
      </c>
      <c r="D1729" s="5" t="s">
        <v>16</v>
      </c>
      <c r="E1729" s="5" t="s">
        <v>5589</v>
      </c>
      <c r="F1729" s="6">
        <v>97</v>
      </c>
    </row>
    <row r="1730" spans="1:6" x14ac:dyDescent="0.15">
      <c r="A1730" s="5" t="s">
        <v>43</v>
      </c>
      <c r="B1730" s="5" t="s">
        <v>4992</v>
      </c>
      <c r="C1730" s="9">
        <v>43059</v>
      </c>
      <c r="D1730" s="5" t="s">
        <v>16</v>
      </c>
      <c r="E1730" s="5" t="s">
        <v>3355</v>
      </c>
      <c r="F1730" s="6">
        <v>1552</v>
      </c>
    </row>
    <row r="1731" spans="1:6" x14ac:dyDescent="0.15">
      <c r="A1731" s="5" t="s">
        <v>37</v>
      </c>
      <c r="B1731" s="5" t="s">
        <v>7062</v>
      </c>
      <c r="C1731" s="9">
        <v>43059</v>
      </c>
      <c r="D1731" s="5" t="s">
        <v>16</v>
      </c>
      <c r="E1731" s="5" t="s">
        <v>3355</v>
      </c>
      <c r="F1731" s="6">
        <v>4582.5</v>
      </c>
    </row>
    <row r="1732" spans="1:6" x14ac:dyDescent="0.15">
      <c r="A1732" s="5" t="s">
        <v>35</v>
      </c>
      <c r="B1732" s="5" t="s">
        <v>3354</v>
      </c>
      <c r="C1732" s="9">
        <v>43059</v>
      </c>
      <c r="D1732" s="5" t="s">
        <v>16</v>
      </c>
      <c r="E1732" s="5" t="s">
        <v>3355</v>
      </c>
      <c r="F1732" s="6">
        <v>3022.5</v>
      </c>
    </row>
    <row r="1733" spans="1:6" x14ac:dyDescent="0.15">
      <c r="A1733" s="5" t="s">
        <v>43</v>
      </c>
      <c r="B1733" s="5" t="s">
        <v>4993</v>
      </c>
      <c r="C1733" s="9">
        <v>43061</v>
      </c>
      <c r="D1733" s="5" t="s">
        <v>16</v>
      </c>
      <c r="E1733" s="5" t="s">
        <v>4994</v>
      </c>
      <c r="F1733" s="6">
        <v>339.5</v>
      </c>
    </row>
    <row r="1734" spans="1:6" x14ac:dyDescent="0.15">
      <c r="A1734" s="5" t="s">
        <v>40</v>
      </c>
      <c r="B1734" s="5" t="s">
        <v>2427</v>
      </c>
      <c r="C1734" s="9">
        <v>43062</v>
      </c>
      <c r="D1734" s="5" t="s">
        <v>16</v>
      </c>
      <c r="E1734" s="5" t="s">
        <v>2428</v>
      </c>
      <c r="F1734" s="6">
        <v>-2775</v>
      </c>
    </row>
    <row r="1735" spans="1:6" x14ac:dyDescent="0.15">
      <c r="A1735" s="5" t="s">
        <v>35</v>
      </c>
      <c r="B1735" s="5" t="s">
        <v>3360</v>
      </c>
      <c r="C1735" s="9">
        <v>43062</v>
      </c>
      <c r="D1735" s="5" t="s">
        <v>16</v>
      </c>
      <c r="E1735" s="5" t="s">
        <v>2428</v>
      </c>
      <c r="F1735" s="6">
        <v>-3607.5</v>
      </c>
    </row>
    <row r="1736" spans="1:6" x14ac:dyDescent="0.15">
      <c r="A1736" s="5" t="s">
        <v>40</v>
      </c>
      <c r="B1736" s="5" t="s">
        <v>2429</v>
      </c>
      <c r="C1736" s="9">
        <v>43062</v>
      </c>
      <c r="D1736" s="5" t="s">
        <v>16</v>
      </c>
      <c r="E1736" s="5" t="s">
        <v>2430</v>
      </c>
      <c r="F1736" s="6">
        <v>2775</v>
      </c>
    </row>
    <row r="1737" spans="1:6" x14ac:dyDescent="0.15">
      <c r="A1737" s="5" t="s">
        <v>35</v>
      </c>
      <c r="B1737" s="5" t="s">
        <v>3361</v>
      </c>
      <c r="C1737" s="9">
        <v>43062</v>
      </c>
      <c r="D1737" s="5" t="s">
        <v>16</v>
      </c>
      <c r="E1737" s="5" t="s">
        <v>2430</v>
      </c>
      <c r="F1737" s="6">
        <v>3607.5</v>
      </c>
    </row>
    <row r="1738" spans="1:6" x14ac:dyDescent="0.15">
      <c r="A1738" s="5" t="s">
        <v>37</v>
      </c>
      <c r="B1738" s="5" t="s">
        <v>7064</v>
      </c>
      <c r="C1738" s="9">
        <v>43060</v>
      </c>
      <c r="D1738" s="5" t="s">
        <v>16</v>
      </c>
      <c r="E1738" s="5" t="s">
        <v>7065</v>
      </c>
      <c r="F1738" s="6">
        <v>6337.5</v>
      </c>
    </row>
    <row r="1739" spans="1:6" x14ac:dyDescent="0.15">
      <c r="A1739" s="5" t="s">
        <v>37</v>
      </c>
      <c r="B1739" s="5" t="s">
        <v>7066</v>
      </c>
      <c r="C1739" s="9">
        <v>43061</v>
      </c>
      <c r="D1739" s="5" t="s">
        <v>16</v>
      </c>
      <c r="E1739" s="5" t="s">
        <v>7067</v>
      </c>
      <c r="F1739" s="6">
        <v>4777.5</v>
      </c>
    </row>
    <row r="1740" spans="1:6" x14ac:dyDescent="0.15">
      <c r="A1740" s="5" t="s">
        <v>37</v>
      </c>
      <c r="B1740" s="5" t="s">
        <v>7068</v>
      </c>
      <c r="C1740" s="9">
        <v>43061</v>
      </c>
      <c r="D1740" s="5" t="s">
        <v>16</v>
      </c>
      <c r="E1740" s="5" t="s">
        <v>7069</v>
      </c>
      <c r="F1740" s="6">
        <v>2047.5</v>
      </c>
    </row>
    <row r="1741" spans="1:6" x14ac:dyDescent="0.15">
      <c r="A1741" s="5" t="s">
        <v>37</v>
      </c>
      <c r="B1741" s="5" t="s">
        <v>7070</v>
      </c>
      <c r="C1741" s="9">
        <v>43061</v>
      </c>
      <c r="D1741" s="5" t="s">
        <v>16</v>
      </c>
      <c r="E1741" s="5" t="s">
        <v>7071</v>
      </c>
      <c r="F1741" s="6">
        <v>1950</v>
      </c>
    </row>
    <row r="1742" spans="1:6" x14ac:dyDescent="0.15">
      <c r="A1742" s="5" t="s">
        <v>37</v>
      </c>
      <c r="B1742" s="5" t="s">
        <v>7072</v>
      </c>
      <c r="C1742" s="9">
        <v>43061</v>
      </c>
      <c r="D1742" s="5" t="s">
        <v>16</v>
      </c>
      <c r="E1742" s="5" t="s">
        <v>7073</v>
      </c>
      <c r="F1742" s="6">
        <v>292.5</v>
      </c>
    </row>
    <row r="1743" spans="1:6" x14ac:dyDescent="0.15">
      <c r="A1743" s="5" t="s">
        <v>43</v>
      </c>
      <c r="B1743" s="5" t="s">
        <v>4995</v>
      </c>
      <c r="C1743" s="9">
        <v>43062</v>
      </c>
      <c r="D1743" s="5" t="s">
        <v>16</v>
      </c>
      <c r="E1743" s="5" t="s">
        <v>4996</v>
      </c>
      <c r="F1743" s="6">
        <v>1115.5</v>
      </c>
    </row>
    <row r="1744" spans="1:6" x14ac:dyDescent="0.15">
      <c r="A1744" s="5" t="s">
        <v>35</v>
      </c>
      <c r="B1744" s="5" t="s">
        <v>3358</v>
      </c>
      <c r="C1744" s="9">
        <v>43061</v>
      </c>
      <c r="D1744" s="5" t="s">
        <v>16</v>
      </c>
      <c r="E1744" s="5" t="s">
        <v>3359</v>
      </c>
      <c r="F1744" s="6">
        <v>5070</v>
      </c>
    </row>
    <row r="1745" spans="1:6" x14ac:dyDescent="0.15">
      <c r="A1745" s="5" t="s">
        <v>37</v>
      </c>
      <c r="B1745" s="5" t="s">
        <v>7074</v>
      </c>
      <c r="C1745" s="9">
        <v>43066</v>
      </c>
      <c r="D1745" s="5" t="s">
        <v>16</v>
      </c>
      <c r="E1745" s="5" t="s">
        <v>7075</v>
      </c>
      <c r="F1745" s="6">
        <v>2047.5</v>
      </c>
    </row>
    <row r="1746" spans="1:6" x14ac:dyDescent="0.15">
      <c r="A1746" s="5" t="s">
        <v>35</v>
      </c>
      <c r="B1746" s="5" t="s">
        <v>3364</v>
      </c>
      <c r="C1746" s="9">
        <v>43067</v>
      </c>
      <c r="D1746" s="5" t="s">
        <v>16</v>
      </c>
      <c r="E1746" s="5" t="s">
        <v>3365</v>
      </c>
      <c r="F1746" s="6">
        <v>5850</v>
      </c>
    </row>
    <row r="1747" spans="1:6" x14ac:dyDescent="0.15">
      <c r="A1747" s="5" t="s">
        <v>37</v>
      </c>
      <c r="B1747" s="5" t="s">
        <v>7078</v>
      </c>
      <c r="C1747" s="9">
        <v>43067</v>
      </c>
      <c r="D1747" s="5" t="s">
        <v>16</v>
      </c>
      <c r="E1747" s="5" t="s">
        <v>7079</v>
      </c>
      <c r="F1747" s="6">
        <v>4095</v>
      </c>
    </row>
    <row r="1748" spans="1:6" x14ac:dyDescent="0.15">
      <c r="A1748" s="5" t="s">
        <v>37</v>
      </c>
      <c r="B1748" s="5" t="s">
        <v>7076</v>
      </c>
      <c r="C1748" s="9">
        <v>43066</v>
      </c>
      <c r="D1748" s="5" t="s">
        <v>16</v>
      </c>
      <c r="E1748" s="5" t="s">
        <v>7077</v>
      </c>
      <c r="F1748" s="6">
        <v>5070</v>
      </c>
    </row>
    <row r="1749" spans="1:6" x14ac:dyDescent="0.15">
      <c r="A1749" s="5" t="s">
        <v>37</v>
      </c>
      <c r="B1749" s="5" t="s">
        <v>7080</v>
      </c>
      <c r="C1749" s="9">
        <v>43067</v>
      </c>
      <c r="D1749" s="5" t="s">
        <v>16</v>
      </c>
      <c r="E1749" s="5" t="s">
        <v>7081</v>
      </c>
      <c r="F1749" s="6">
        <v>2047.5</v>
      </c>
    </row>
    <row r="1750" spans="1:6" x14ac:dyDescent="0.15">
      <c r="A1750" s="5" t="s">
        <v>35</v>
      </c>
      <c r="B1750" s="5" t="s">
        <v>3362</v>
      </c>
      <c r="C1750" s="9">
        <v>43062</v>
      </c>
      <c r="D1750" s="5" t="s">
        <v>16</v>
      </c>
      <c r="E1750" s="5" t="s">
        <v>3363</v>
      </c>
      <c r="F1750" s="6">
        <v>6240</v>
      </c>
    </row>
    <row r="1751" spans="1:6" x14ac:dyDescent="0.15">
      <c r="A1751" s="5" t="s">
        <v>35</v>
      </c>
      <c r="B1751" s="5" t="s">
        <v>3366</v>
      </c>
      <c r="C1751" s="9">
        <v>43068</v>
      </c>
      <c r="D1751" s="5" t="s">
        <v>16</v>
      </c>
      <c r="E1751" s="5" t="s">
        <v>3367</v>
      </c>
      <c r="F1751" s="6">
        <v>6142.5</v>
      </c>
    </row>
    <row r="1752" spans="1:6" x14ac:dyDescent="0.15">
      <c r="A1752" s="5" t="s">
        <v>43</v>
      </c>
      <c r="B1752" s="5" t="s">
        <v>4997</v>
      </c>
      <c r="C1752" s="9">
        <v>43068</v>
      </c>
      <c r="D1752" s="5" t="s">
        <v>16</v>
      </c>
      <c r="E1752" s="5" t="s">
        <v>4998</v>
      </c>
      <c r="F1752" s="6">
        <v>2037</v>
      </c>
    </row>
    <row r="1753" spans="1:6" x14ac:dyDescent="0.15">
      <c r="A1753" s="5" t="s">
        <v>51</v>
      </c>
      <c r="B1753" s="5" t="s">
        <v>4223</v>
      </c>
      <c r="C1753" s="9">
        <v>43068</v>
      </c>
      <c r="D1753" s="5" t="s">
        <v>16</v>
      </c>
      <c r="E1753" s="5" t="s">
        <v>4224</v>
      </c>
      <c r="F1753" s="6">
        <v>1950</v>
      </c>
    </row>
    <row r="1754" spans="1:6" x14ac:dyDescent="0.15">
      <c r="A1754" s="5" t="s">
        <v>37</v>
      </c>
      <c r="B1754" s="5" t="s">
        <v>7082</v>
      </c>
      <c r="C1754" s="9">
        <v>43068</v>
      </c>
      <c r="D1754" s="5" t="s">
        <v>16</v>
      </c>
      <c r="E1754" s="5" t="s">
        <v>7083</v>
      </c>
      <c r="F1754" s="6">
        <v>5850</v>
      </c>
    </row>
    <row r="1755" spans="1:6" x14ac:dyDescent="0.15">
      <c r="A1755" s="5" t="s">
        <v>43</v>
      </c>
      <c r="B1755" s="5" t="s">
        <v>4999</v>
      </c>
      <c r="C1755" s="9">
        <v>43068</v>
      </c>
      <c r="D1755" s="5" t="s">
        <v>16</v>
      </c>
      <c r="E1755" s="5" t="s">
        <v>5000</v>
      </c>
      <c r="F1755" s="6">
        <v>145.5</v>
      </c>
    </row>
    <row r="1756" spans="1:6" x14ac:dyDescent="0.15">
      <c r="A1756" s="5" t="s">
        <v>37</v>
      </c>
      <c r="B1756" s="5" t="s">
        <v>7084</v>
      </c>
      <c r="C1756" s="9">
        <v>43068</v>
      </c>
      <c r="D1756" s="5" t="s">
        <v>16</v>
      </c>
      <c r="E1756" s="5" t="s">
        <v>5000</v>
      </c>
      <c r="F1756" s="6">
        <v>292.5</v>
      </c>
    </row>
    <row r="1757" spans="1:6" x14ac:dyDescent="0.15">
      <c r="A1757" s="5" t="s">
        <v>37</v>
      </c>
      <c r="B1757" s="5" t="s">
        <v>7085</v>
      </c>
      <c r="C1757" s="9">
        <v>43069</v>
      </c>
      <c r="D1757" s="5" t="s">
        <v>16</v>
      </c>
      <c r="E1757" s="5" t="s">
        <v>7086</v>
      </c>
      <c r="F1757" s="6">
        <v>6825</v>
      </c>
    </row>
    <row r="1758" spans="1:6" x14ac:dyDescent="0.15">
      <c r="A1758" s="5" t="s">
        <v>43</v>
      </c>
      <c r="B1758" s="5" t="s">
        <v>5001</v>
      </c>
      <c r="C1758" s="9">
        <v>43069</v>
      </c>
      <c r="D1758" s="5" t="s">
        <v>16</v>
      </c>
      <c r="E1758" s="5" t="s">
        <v>5002</v>
      </c>
      <c r="F1758" s="6">
        <v>242.5</v>
      </c>
    </row>
    <row r="1759" spans="1:6" x14ac:dyDescent="0.15">
      <c r="A1759" s="5" t="s">
        <v>37</v>
      </c>
      <c r="B1759" s="5" t="s">
        <v>7087</v>
      </c>
      <c r="C1759" s="9">
        <v>43069</v>
      </c>
      <c r="D1759" s="5" t="s">
        <v>16</v>
      </c>
      <c r="E1759" s="5" t="s">
        <v>5002</v>
      </c>
      <c r="F1759" s="6">
        <v>487.5</v>
      </c>
    </row>
    <row r="1760" spans="1:6" x14ac:dyDescent="0.15">
      <c r="A1760" s="5" t="s">
        <v>41</v>
      </c>
      <c r="B1760" s="5" t="s">
        <v>1930</v>
      </c>
      <c r="C1760" s="9">
        <v>43069</v>
      </c>
      <c r="D1760" s="5" t="s">
        <v>16</v>
      </c>
      <c r="E1760" s="5" t="s">
        <v>1931</v>
      </c>
      <c r="F1760" s="6">
        <v>388</v>
      </c>
    </row>
    <row r="1761" spans="1:6" x14ac:dyDescent="0.15">
      <c r="A1761" s="5" t="s">
        <v>43</v>
      </c>
      <c r="B1761" s="5" t="s">
        <v>5003</v>
      </c>
      <c r="C1761" s="9">
        <v>43070</v>
      </c>
      <c r="D1761" s="5" t="s">
        <v>16</v>
      </c>
      <c r="E1761" s="5" t="s">
        <v>5004</v>
      </c>
      <c r="F1761" s="6">
        <v>-2037</v>
      </c>
    </row>
    <row r="1762" spans="1:6" x14ac:dyDescent="0.15">
      <c r="A1762" s="5" t="s">
        <v>35</v>
      </c>
      <c r="B1762" s="5" t="s">
        <v>3368</v>
      </c>
      <c r="C1762" s="9">
        <v>43069</v>
      </c>
      <c r="D1762" s="5" t="s">
        <v>16</v>
      </c>
      <c r="E1762" s="5" t="s">
        <v>3369</v>
      </c>
      <c r="F1762" s="6">
        <v>585</v>
      </c>
    </row>
    <row r="1763" spans="1:6" x14ac:dyDescent="0.15">
      <c r="A1763" s="5" t="s">
        <v>37</v>
      </c>
      <c r="B1763" s="5" t="s">
        <v>7090</v>
      </c>
      <c r="C1763" s="9">
        <v>43074</v>
      </c>
      <c r="D1763" s="5" t="s">
        <v>16</v>
      </c>
      <c r="E1763" s="5" t="s">
        <v>7091</v>
      </c>
      <c r="F1763" s="6">
        <v>975</v>
      </c>
    </row>
    <row r="1764" spans="1:6" x14ac:dyDescent="0.15">
      <c r="A1764" s="5" t="s">
        <v>37</v>
      </c>
      <c r="B1764" s="5" t="s">
        <v>7092</v>
      </c>
      <c r="C1764" s="9">
        <v>43075</v>
      </c>
      <c r="D1764" s="5" t="s">
        <v>16</v>
      </c>
      <c r="E1764" s="5" t="s">
        <v>7093</v>
      </c>
      <c r="F1764" s="6">
        <v>6045</v>
      </c>
    </row>
    <row r="1765" spans="1:6" x14ac:dyDescent="0.15">
      <c r="A1765" s="5" t="s">
        <v>35</v>
      </c>
      <c r="B1765" s="5" t="s">
        <v>3372</v>
      </c>
      <c r="C1765" s="9">
        <v>43074</v>
      </c>
      <c r="D1765" s="5" t="s">
        <v>16</v>
      </c>
      <c r="E1765" s="5" t="s">
        <v>3373</v>
      </c>
      <c r="F1765" s="6">
        <v>7410</v>
      </c>
    </row>
    <row r="1766" spans="1:6" x14ac:dyDescent="0.15">
      <c r="A1766" s="5" t="s">
        <v>37</v>
      </c>
      <c r="B1766" s="5" t="s">
        <v>7088</v>
      </c>
      <c r="C1766" s="9">
        <v>43070</v>
      </c>
      <c r="D1766" s="5" t="s">
        <v>16</v>
      </c>
      <c r="E1766" s="5" t="s">
        <v>7089</v>
      </c>
      <c r="F1766" s="6">
        <v>390</v>
      </c>
    </row>
    <row r="1767" spans="1:6" x14ac:dyDescent="0.15">
      <c r="A1767" s="5" t="s">
        <v>35</v>
      </c>
      <c r="B1767" s="5" t="s">
        <v>3374</v>
      </c>
      <c r="C1767" s="9">
        <v>43075</v>
      </c>
      <c r="D1767" s="5" t="s">
        <v>16</v>
      </c>
      <c r="E1767" s="5" t="s">
        <v>3375</v>
      </c>
      <c r="F1767" s="6">
        <v>97.5</v>
      </c>
    </row>
    <row r="1768" spans="1:6" x14ac:dyDescent="0.15">
      <c r="A1768" s="5" t="s">
        <v>41</v>
      </c>
      <c r="B1768" s="5" t="s">
        <v>1932</v>
      </c>
      <c r="C1768" s="9">
        <v>43080</v>
      </c>
      <c r="D1768" s="5" t="s">
        <v>16</v>
      </c>
      <c r="E1768" s="5" t="s">
        <v>1933</v>
      </c>
      <c r="F1768" s="6">
        <v>-291</v>
      </c>
    </row>
    <row r="1769" spans="1:6" x14ac:dyDescent="0.15">
      <c r="A1769" s="5" t="s">
        <v>40</v>
      </c>
      <c r="B1769" s="5" t="s">
        <v>2431</v>
      </c>
      <c r="C1769" s="9">
        <v>43080</v>
      </c>
      <c r="D1769" s="5" t="s">
        <v>16</v>
      </c>
      <c r="E1769" s="5" t="s">
        <v>1933</v>
      </c>
      <c r="F1769" s="6">
        <v>-2325</v>
      </c>
    </row>
    <row r="1770" spans="1:6" x14ac:dyDescent="0.15">
      <c r="A1770" s="5" t="s">
        <v>40</v>
      </c>
      <c r="B1770" s="5" t="s">
        <v>2431</v>
      </c>
      <c r="C1770" s="9">
        <v>43080</v>
      </c>
      <c r="D1770" s="5" t="s">
        <v>16</v>
      </c>
      <c r="E1770" s="5" t="s">
        <v>1933</v>
      </c>
      <c r="F1770" s="6">
        <v>-150</v>
      </c>
    </row>
    <row r="1771" spans="1:6" x14ac:dyDescent="0.15">
      <c r="A1771" s="5" t="s">
        <v>43</v>
      </c>
      <c r="B1771" s="5" t="s">
        <v>5005</v>
      </c>
      <c r="C1771" s="9">
        <v>43080</v>
      </c>
      <c r="D1771" s="5" t="s">
        <v>16</v>
      </c>
      <c r="E1771" s="5" t="s">
        <v>5006</v>
      </c>
      <c r="F1771" s="6">
        <v>533.5</v>
      </c>
    </row>
    <row r="1772" spans="1:6" x14ac:dyDescent="0.15">
      <c r="A1772" s="5" t="s">
        <v>41</v>
      </c>
      <c r="B1772" s="5" t="s">
        <v>1934</v>
      </c>
      <c r="C1772" s="9">
        <v>43080</v>
      </c>
      <c r="D1772" s="5" t="s">
        <v>16</v>
      </c>
      <c r="E1772" s="5" t="s">
        <v>1935</v>
      </c>
      <c r="F1772" s="6">
        <v>291</v>
      </c>
    </row>
    <row r="1773" spans="1:6" x14ac:dyDescent="0.15">
      <c r="A1773" s="5" t="s">
        <v>40</v>
      </c>
      <c r="B1773" s="5" t="s">
        <v>2432</v>
      </c>
      <c r="C1773" s="9">
        <v>43080</v>
      </c>
      <c r="D1773" s="5" t="s">
        <v>16</v>
      </c>
      <c r="E1773" s="5" t="s">
        <v>1935</v>
      </c>
      <c r="F1773" s="6">
        <v>2475</v>
      </c>
    </row>
    <row r="1774" spans="1:6" x14ac:dyDescent="0.15">
      <c r="A1774" s="5" t="s">
        <v>37</v>
      </c>
      <c r="B1774" s="5" t="s">
        <v>7094</v>
      </c>
      <c r="C1774" s="9">
        <v>43080</v>
      </c>
      <c r="D1774" s="5" t="s">
        <v>16</v>
      </c>
      <c r="E1774" s="5" t="s">
        <v>7095</v>
      </c>
      <c r="F1774" s="6">
        <v>682.5</v>
      </c>
    </row>
    <row r="1775" spans="1:6" x14ac:dyDescent="0.15">
      <c r="A1775" s="5" t="s">
        <v>35</v>
      </c>
      <c r="B1775" s="5" t="s">
        <v>3370</v>
      </c>
      <c r="C1775" s="9">
        <v>43070</v>
      </c>
      <c r="D1775" s="5" t="s">
        <v>16</v>
      </c>
      <c r="E1775" s="5" t="s">
        <v>3371</v>
      </c>
      <c r="F1775" s="6">
        <v>7410</v>
      </c>
    </row>
    <row r="1776" spans="1:6" x14ac:dyDescent="0.15">
      <c r="A1776" s="5" t="s">
        <v>41</v>
      </c>
      <c r="B1776" s="5" t="s">
        <v>1936</v>
      </c>
      <c r="C1776" s="9">
        <v>43081</v>
      </c>
      <c r="D1776" s="5" t="s">
        <v>16</v>
      </c>
      <c r="E1776" s="5" t="s">
        <v>1937</v>
      </c>
      <c r="F1776" s="6">
        <v>1649</v>
      </c>
    </row>
    <row r="1777" spans="1:6" x14ac:dyDescent="0.15">
      <c r="A1777" s="5" t="s">
        <v>37</v>
      </c>
      <c r="B1777" s="5" t="s">
        <v>7096</v>
      </c>
      <c r="C1777" s="9">
        <v>43082</v>
      </c>
      <c r="D1777" s="5" t="s">
        <v>16</v>
      </c>
      <c r="E1777" s="5" t="s">
        <v>7097</v>
      </c>
      <c r="F1777" s="6">
        <v>975</v>
      </c>
    </row>
    <row r="1778" spans="1:6" x14ac:dyDescent="0.15">
      <c r="A1778" s="5" t="s">
        <v>37</v>
      </c>
      <c r="B1778" s="5" t="s">
        <v>7098</v>
      </c>
      <c r="C1778" s="9">
        <v>43082</v>
      </c>
      <c r="D1778" s="5" t="s">
        <v>16</v>
      </c>
      <c r="E1778" s="5" t="s">
        <v>7099</v>
      </c>
      <c r="F1778" s="6">
        <v>27787.5</v>
      </c>
    </row>
    <row r="1779" spans="1:6" x14ac:dyDescent="0.15">
      <c r="A1779" s="5" t="s">
        <v>37</v>
      </c>
      <c r="B1779" s="5" t="s">
        <v>7100</v>
      </c>
      <c r="C1779" s="9">
        <v>43083</v>
      </c>
      <c r="D1779" s="5" t="s">
        <v>16</v>
      </c>
      <c r="E1779" s="5" t="s">
        <v>7101</v>
      </c>
      <c r="F1779" s="6">
        <v>3412.5</v>
      </c>
    </row>
    <row r="1780" spans="1:6" x14ac:dyDescent="0.15">
      <c r="A1780" s="5" t="s">
        <v>37</v>
      </c>
      <c r="B1780" s="5" t="s">
        <v>7102</v>
      </c>
      <c r="C1780" s="9">
        <v>43087</v>
      </c>
      <c r="D1780" s="5" t="s">
        <v>16</v>
      </c>
      <c r="E1780" s="5" t="s">
        <v>7103</v>
      </c>
      <c r="F1780" s="6">
        <v>4875</v>
      </c>
    </row>
    <row r="1781" spans="1:6" x14ac:dyDescent="0.15">
      <c r="A1781" s="5" t="s">
        <v>43</v>
      </c>
      <c r="B1781" s="5" t="s">
        <v>5007</v>
      </c>
      <c r="C1781" s="9">
        <v>43087</v>
      </c>
      <c r="D1781" s="5" t="s">
        <v>16</v>
      </c>
      <c r="E1781" s="5" t="s">
        <v>5008</v>
      </c>
      <c r="F1781" s="6">
        <v>291</v>
      </c>
    </row>
    <row r="1782" spans="1:6" x14ac:dyDescent="0.15">
      <c r="A1782" s="5" t="s">
        <v>37</v>
      </c>
      <c r="B1782" s="5" t="s">
        <v>7104</v>
      </c>
      <c r="C1782" s="9">
        <v>43087</v>
      </c>
      <c r="D1782" s="5" t="s">
        <v>16</v>
      </c>
      <c r="E1782" s="5" t="s">
        <v>5008</v>
      </c>
      <c r="F1782" s="6">
        <v>1072.5</v>
      </c>
    </row>
    <row r="1783" spans="1:6" x14ac:dyDescent="0.15">
      <c r="A1783" s="5" t="s">
        <v>35</v>
      </c>
      <c r="B1783" s="5" t="s">
        <v>3376</v>
      </c>
      <c r="C1783" s="9">
        <v>43088</v>
      </c>
      <c r="D1783" s="5" t="s">
        <v>16</v>
      </c>
      <c r="E1783" s="5" t="s">
        <v>3377</v>
      </c>
      <c r="F1783" s="6">
        <v>3997.5</v>
      </c>
    </row>
    <row r="1784" spans="1:6" x14ac:dyDescent="0.15">
      <c r="A1784" s="5" t="s">
        <v>37</v>
      </c>
      <c r="B1784" s="5" t="s">
        <v>7105</v>
      </c>
      <c r="C1784" s="9">
        <v>43091</v>
      </c>
      <c r="D1784" s="5" t="s">
        <v>16</v>
      </c>
      <c r="E1784" s="5" t="s">
        <v>7106</v>
      </c>
      <c r="F1784" s="6">
        <v>-27787.5</v>
      </c>
    </row>
    <row r="1785" spans="1:6" x14ac:dyDescent="0.15">
      <c r="A1785" s="5" t="s">
        <v>37</v>
      </c>
      <c r="B1785" s="5" t="s">
        <v>7107</v>
      </c>
      <c r="C1785" s="9">
        <v>43091</v>
      </c>
      <c r="D1785" s="5" t="s">
        <v>16</v>
      </c>
      <c r="E1785" s="5" t="s">
        <v>7108</v>
      </c>
      <c r="F1785" s="6">
        <v>27787.5</v>
      </c>
    </row>
    <row r="1786" spans="1:6" x14ac:dyDescent="0.15">
      <c r="A1786" s="5" t="s">
        <v>41</v>
      </c>
      <c r="B1786" s="5" t="s">
        <v>1938</v>
      </c>
      <c r="C1786" s="9">
        <v>43091</v>
      </c>
      <c r="D1786" s="5" t="s">
        <v>16</v>
      </c>
      <c r="E1786" s="5" t="s">
        <v>1939</v>
      </c>
      <c r="F1786" s="6">
        <v>-1649</v>
      </c>
    </row>
    <row r="1787" spans="1:6" x14ac:dyDescent="0.15">
      <c r="A1787" s="5" t="s">
        <v>41</v>
      </c>
      <c r="B1787" s="5" t="s">
        <v>1940</v>
      </c>
      <c r="C1787" s="9">
        <v>43091</v>
      </c>
      <c r="D1787" s="5" t="s">
        <v>16</v>
      </c>
      <c r="E1787" s="5" t="s">
        <v>1941</v>
      </c>
      <c r="F1787" s="6">
        <v>1649</v>
      </c>
    </row>
    <row r="1788" spans="1:6" x14ac:dyDescent="0.15">
      <c r="A1788" s="5" t="s">
        <v>43</v>
      </c>
      <c r="B1788" s="5" t="s">
        <v>5009</v>
      </c>
      <c r="C1788" s="9">
        <v>43110</v>
      </c>
      <c r="D1788" s="5" t="s">
        <v>16</v>
      </c>
      <c r="E1788" s="5" t="s">
        <v>1943</v>
      </c>
      <c r="F1788" s="6">
        <v>11640</v>
      </c>
    </row>
    <row r="1789" spans="1:6" x14ac:dyDescent="0.15">
      <c r="A1789" s="5" t="s">
        <v>41</v>
      </c>
      <c r="B1789" s="5" t="s">
        <v>1942</v>
      </c>
      <c r="C1789" s="9">
        <v>43110</v>
      </c>
      <c r="D1789" s="5" t="s">
        <v>16</v>
      </c>
      <c r="E1789" s="5" t="s">
        <v>1943</v>
      </c>
      <c r="F1789" s="6">
        <v>1940</v>
      </c>
    </row>
    <row r="1790" spans="1:6" x14ac:dyDescent="0.15">
      <c r="A1790" s="5" t="s">
        <v>35</v>
      </c>
      <c r="B1790" s="5" t="s">
        <v>3378</v>
      </c>
      <c r="C1790" s="9">
        <v>43110</v>
      </c>
      <c r="D1790" s="5" t="s">
        <v>16</v>
      </c>
      <c r="E1790" s="5" t="s">
        <v>1943</v>
      </c>
      <c r="F1790" s="6">
        <v>1950</v>
      </c>
    </row>
    <row r="1791" spans="1:6" x14ac:dyDescent="0.15">
      <c r="A1791" s="5" t="s">
        <v>43</v>
      </c>
      <c r="B1791" s="5" t="s">
        <v>5010</v>
      </c>
      <c r="C1791" s="9">
        <v>43116</v>
      </c>
      <c r="D1791" s="5" t="s">
        <v>16</v>
      </c>
      <c r="E1791" s="5" t="s">
        <v>5011</v>
      </c>
      <c r="F1791" s="6">
        <v>2134</v>
      </c>
    </row>
    <row r="1792" spans="1:6" x14ac:dyDescent="0.15">
      <c r="A1792" s="5" t="s">
        <v>37</v>
      </c>
      <c r="B1792" s="5" t="s">
        <v>7111</v>
      </c>
      <c r="C1792" s="9">
        <v>43116</v>
      </c>
      <c r="D1792" s="5" t="s">
        <v>16</v>
      </c>
      <c r="E1792" s="5" t="s">
        <v>5011</v>
      </c>
      <c r="F1792" s="6">
        <v>23400</v>
      </c>
    </row>
    <row r="1793" spans="1:6" x14ac:dyDescent="0.15">
      <c r="A1793" s="5" t="s">
        <v>44</v>
      </c>
      <c r="B1793" s="5" t="s">
        <v>4370</v>
      </c>
      <c r="C1793" s="9">
        <v>43150</v>
      </c>
      <c r="D1793" s="5" t="s">
        <v>16</v>
      </c>
      <c r="E1793" s="5" t="s">
        <v>4371</v>
      </c>
      <c r="F1793" s="6">
        <v>25350</v>
      </c>
    </row>
    <row r="1794" spans="1:6" x14ac:dyDescent="0.15">
      <c r="A1794" s="5" t="s">
        <v>44</v>
      </c>
      <c r="B1794" s="5" t="s">
        <v>4368</v>
      </c>
      <c r="C1794" s="9">
        <v>43129</v>
      </c>
      <c r="D1794" s="5" t="s">
        <v>16</v>
      </c>
      <c r="E1794" s="5" t="s">
        <v>4369</v>
      </c>
      <c r="F1794" s="6">
        <v>25350</v>
      </c>
    </row>
    <row r="1795" spans="1:6" x14ac:dyDescent="0.15">
      <c r="A1795" s="5" t="s">
        <v>53</v>
      </c>
      <c r="B1795" s="5" t="s">
        <v>8447</v>
      </c>
      <c r="C1795" s="9">
        <v>43111</v>
      </c>
      <c r="D1795" s="5" t="s">
        <v>16</v>
      </c>
      <c r="E1795" s="5" t="s">
        <v>8448</v>
      </c>
      <c r="F1795" s="6">
        <v>28080</v>
      </c>
    </row>
    <row r="1796" spans="1:6" x14ac:dyDescent="0.15">
      <c r="A1796" s="5" t="s">
        <v>35</v>
      </c>
      <c r="B1796" s="5" t="s">
        <v>3381</v>
      </c>
      <c r="C1796" s="9">
        <v>43123</v>
      </c>
      <c r="D1796" s="5" t="s">
        <v>16</v>
      </c>
      <c r="E1796" s="5" t="s">
        <v>3382</v>
      </c>
      <c r="F1796" s="6">
        <v>5850</v>
      </c>
    </row>
    <row r="1797" spans="1:6" x14ac:dyDescent="0.15">
      <c r="A1797" s="5" t="s">
        <v>43</v>
      </c>
      <c r="B1797" s="5" t="s">
        <v>5012</v>
      </c>
      <c r="C1797" s="9">
        <v>43123</v>
      </c>
      <c r="D1797" s="5" t="s">
        <v>16</v>
      </c>
      <c r="E1797" s="5" t="s">
        <v>3382</v>
      </c>
      <c r="F1797" s="6">
        <v>13871</v>
      </c>
    </row>
    <row r="1798" spans="1:6" x14ac:dyDescent="0.15">
      <c r="A1798" s="5" t="s">
        <v>63</v>
      </c>
      <c r="B1798" s="5" t="s">
        <v>2267</v>
      </c>
      <c r="C1798" s="9">
        <v>43153</v>
      </c>
      <c r="D1798" s="5" t="s">
        <v>16</v>
      </c>
      <c r="E1798" s="5" t="s">
        <v>2268</v>
      </c>
      <c r="F1798" s="6">
        <v>15520</v>
      </c>
    </row>
    <row r="1799" spans="1:6" x14ac:dyDescent="0.15">
      <c r="A1799" s="5" t="s">
        <v>174</v>
      </c>
      <c r="B1799" s="5" t="s">
        <v>2656</v>
      </c>
      <c r="C1799" s="9">
        <v>43153</v>
      </c>
      <c r="D1799" s="5" t="s">
        <v>16</v>
      </c>
      <c r="E1799" s="5" t="s">
        <v>2268</v>
      </c>
      <c r="F1799" s="6">
        <v>7500</v>
      </c>
    </row>
    <row r="1800" spans="1:6" x14ac:dyDescent="0.15">
      <c r="A1800" s="5" t="s">
        <v>40</v>
      </c>
      <c r="B1800" s="5" t="s">
        <v>2433</v>
      </c>
      <c r="C1800" s="9">
        <v>43123</v>
      </c>
      <c r="D1800" s="5" t="s">
        <v>16</v>
      </c>
      <c r="E1800" s="5" t="s">
        <v>2434</v>
      </c>
      <c r="F1800" s="6">
        <v>12000</v>
      </c>
    </row>
    <row r="1801" spans="1:6" x14ac:dyDescent="0.15">
      <c r="A1801" s="5" t="s">
        <v>158</v>
      </c>
      <c r="B1801" s="5" t="s">
        <v>8557</v>
      </c>
      <c r="C1801" s="9">
        <v>43123</v>
      </c>
      <c r="D1801" s="5" t="s">
        <v>16</v>
      </c>
      <c r="E1801" s="5" t="s">
        <v>2434</v>
      </c>
      <c r="F1801" s="6">
        <v>7800</v>
      </c>
    </row>
    <row r="1802" spans="1:6" x14ac:dyDescent="0.15">
      <c r="A1802" s="5" t="s">
        <v>35</v>
      </c>
      <c r="B1802" s="5" t="s">
        <v>3379</v>
      </c>
      <c r="C1802" s="9">
        <v>43122</v>
      </c>
      <c r="D1802" s="5" t="s">
        <v>16</v>
      </c>
      <c r="E1802" s="5" t="s">
        <v>3380</v>
      </c>
      <c r="F1802" s="6">
        <v>25350</v>
      </c>
    </row>
    <row r="1803" spans="1:6" x14ac:dyDescent="0.15">
      <c r="A1803" s="5" t="s">
        <v>51</v>
      </c>
      <c r="B1803" s="5" t="s">
        <v>4225</v>
      </c>
      <c r="C1803" s="9">
        <v>43154</v>
      </c>
      <c r="D1803" s="5" t="s">
        <v>16</v>
      </c>
      <c r="E1803" s="5" t="s">
        <v>4226</v>
      </c>
      <c r="F1803" s="6">
        <v>25350</v>
      </c>
    </row>
    <row r="1804" spans="1:6" x14ac:dyDescent="0.15">
      <c r="A1804" s="5" t="s">
        <v>43</v>
      </c>
      <c r="B1804" s="5" t="s">
        <v>5015</v>
      </c>
      <c r="C1804" s="9">
        <v>43151</v>
      </c>
      <c r="D1804" s="5" t="s">
        <v>16</v>
      </c>
      <c r="E1804" s="5" t="s">
        <v>5016</v>
      </c>
      <c r="F1804" s="6">
        <v>11640</v>
      </c>
    </row>
    <row r="1805" spans="1:6" x14ac:dyDescent="0.15">
      <c r="A1805" s="5" t="s">
        <v>148</v>
      </c>
      <c r="B1805" s="5" t="s">
        <v>5636</v>
      </c>
      <c r="C1805" s="9">
        <v>43151</v>
      </c>
      <c r="D1805" s="5" t="s">
        <v>16</v>
      </c>
      <c r="E1805" s="5" t="s">
        <v>5016</v>
      </c>
      <c r="F1805" s="6">
        <v>10185</v>
      </c>
    </row>
    <row r="1806" spans="1:6" x14ac:dyDescent="0.15">
      <c r="A1806" s="5" t="s">
        <v>42</v>
      </c>
      <c r="B1806" s="5" t="s">
        <v>5868</v>
      </c>
      <c r="C1806" s="9">
        <v>43122</v>
      </c>
      <c r="D1806" s="5" t="s">
        <v>16</v>
      </c>
      <c r="E1806" s="5" t="s">
        <v>5869</v>
      </c>
      <c r="F1806" s="6">
        <v>19500</v>
      </c>
    </row>
    <row r="1807" spans="1:6" x14ac:dyDescent="0.15">
      <c r="A1807" s="5" t="s">
        <v>64</v>
      </c>
      <c r="B1807" s="5" t="s">
        <v>6122</v>
      </c>
      <c r="C1807" s="9">
        <v>43137</v>
      </c>
      <c r="D1807" s="5" t="s">
        <v>16</v>
      </c>
      <c r="E1807" s="5" t="s">
        <v>6123</v>
      </c>
      <c r="F1807" s="6">
        <v>19500</v>
      </c>
    </row>
    <row r="1808" spans="1:6" x14ac:dyDescent="0.15">
      <c r="A1808" s="5" t="s">
        <v>37</v>
      </c>
      <c r="B1808" s="5" t="s">
        <v>7109</v>
      </c>
      <c r="C1808" s="9">
        <v>43112</v>
      </c>
      <c r="D1808" s="5" t="s">
        <v>16</v>
      </c>
      <c r="E1808" s="5" t="s">
        <v>7110</v>
      </c>
      <c r="F1808" s="6">
        <v>25350</v>
      </c>
    </row>
    <row r="1809" spans="1:6" x14ac:dyDescent="0.15">
      <c r="A1809" s="5" t="s">
        <v>53</v>
      </c>
      <c r="B1809" s="5" t="s">
        <v>8449</v>
      </c>
      <c r="C1809" s="9">
        <v>43136</v>
      </c>
      <c r="D1809" s="5" t="s">
        <v>16</v>
      </c>
      <c r="E1809" s="5" t="s">
        <v>8450</v>
      </c>
      <c r="F1809" s="6">
        <v>25350</v>
      </c>
    </row>
    <row r="1810" spans="1:6" x14ac:dyDescent="0.15">
      <c r="A1810" s="5" t="s">
        <v>58</v>
      </c>
      <c r="B1810" s="5" t="s">
        <v>6178</v>
      </c>
      <c r="C1810" s="9">
        <v>43124</v>
      </c>
      <c r="D1810" s="5" t="s">
        <v>16</v>
      </c>
      <c r="E1810" s="5" t="s">
        <v>6179</v>
      </c>
      <c r="F1810" s="6">
        <v>14625</v>
      </c>
    </row>
    <row r="1811" spans="1:6" x14ac:dyDescent="0.15">
      <c r="A1811" s="5" t="s">
        <v>37</v>
      </c>
      <c r="B1811" s="5" t="s">
        <v>7112</v>
      </c>
      <c r="C1811" s="9">
        <v>43126</v>
      </c>
      <c r="D1811" s="5" t="s">
        <v>16</v>
      </c>
      <c r="E1811" s="5" t="s">
        <v>7113</v>
      </c>
      <c r="F1811" s="6">
        <v>2925</v>
      </c>
    </row>
    <row r="1812" spans="1:6" x14ac:dyDescent="0.15">
      <c r="A1812" s="5" t="s">
        <v>35</v>
      </c>
      <c r="B1812" s="5" t="s">
        <v>3383</v>
      </c>
      <c r="C1812" s="9">
        <v>43131</v>
      </c>
      <c r="D1812" s="5" t="s">
        <v>16</v>
      </c>
      <c r="E1812" s="5" t="s">
        <v>3384</v>
      </c>
      <c r="F1812" s="6">
        <v>3997.5</v>
      </c>
    </row>
    <row r="1813" spans="1:6" x14ac:dyDescent="0.15">
      <c r="A1813" s="5" t="s">
        <v>35</v>
      </c>
      <c r="B1813" s="5" t="s">
        <v>3385</v>
      </c>
      <c r="C1813" s="9">
        <v>43133</v>
      </c>
      <c r="D1813" s="5" t="s">
        <v>16</v>
      </c>
      <c r="E1813" s="5" t="s">
        <v>3386</v>
      </c>
      <c r="F1813" s="6">
        <v>585</v>
      </c>
    </row>
    <row r="1814" spans="1:6" x14ac:dyDescent="0.15">
      <c r="A1814" s="5" t="s">
        <v>53</v>
      </c>
      <c r="B1814" s="5" t="s">
        <v>8451</v>
      </c>
      <c r="C1814" s="9">
        <v>43150</v>
      </c>
      <c r="D1814" s="5" t="s">
        <v>16</v>
      </c>
      <c r="E1814" s="5" t="s">
        <v>6125</v>
      </c>
      <c r="F1814" s="6">
        <v>11700</v>
      </c>
    </row>
    <row r="1815" spans="1:6" x14ac:dyDescent="0.15">
      <c r="A1815" s="5" t="s">
        <v>64</v>
      </c>
      <c r="B1815" s="5" t="s">
        <v>6124</v>
      </c>
      <c r="C1815" s="9">
        <v>43150</v>
      </c>
      <c r="D1815" s="5" t="s">
        <v>16</v>
      </c>
      <c r="E1815" s="5" t="s">
        <v>6125</v>
      </c>
      <c r="F1815" s="6">
        <v>14400</v>
      </c>
    </row>
    <row r="1816" spans="1:6" x14ac:dyDescent="0.15">
      <c r="A1816" s="5" t="s">
        <v>43</v>
      </c>
      <c r="B1816" s="5" t="s">
        <v>5013</v>
      </c>
      <c r="C1816" s="9">
        <v>43146</v>
      </c>
      <c r="D1816" s="5" t="s">
        <v>16</v>
      </c>
      <c r="E1816" s="5" t="s">
        <v>5014</v>
      </c>
      <c r="F1816" s="6">
        <v>11640</v>
      </c>
    </row>
    <row r="1817" spans="1:6" x14ac:dyDescent="0.15">
      <c r="A1817" s="5" t="s">
        <v>41</v>
      </c>
      <c r="B1817" s="5" t="s">
        <v>1944</v>
      </c>
      <c r="C1817" s="9">
        <v>43153</v>
      </c>
      <c r="D1817" s="5" t="s">
        <v>16</v>
      </c>
      <c r="E1817" s="5" t="s">
        <v>1945</v>
      </c>
      <c r="F1817" s="6">
        <v>5335</v>
      </c>
    </row>
    <row r="1818" spans="1:6" x14ac:dyDescent="0.15">
      <c r="A1818" s="5" t="s">
        <v>35</v>
      </c>
      <c r="B1818" s="5" t="s">
        <v>3387</v>
      </c>
      <c r="C1818" s="9">
        <v>43153</v>
      </c>
      <c r="D1818" s="5" t="s">
        <v>16</v>
      </c>
      <c r="E1818" s="5" t="s">
        <v>1945</v>
      </c>
      <c r="F1818" s="6">
        <v>11700</v>
      </c>
    </row>
    <row r="1819" spans="1:6" x14ac:dyDescent="0.15">
      <c r="A1819" s="5" t="s">
        <v>37</v>
      </c>
      <c r="B1819" s="5" t="s">
        <v>7114</v>
      </c>
      <c r="C1819" s="9">
        <v>43153</v>
      </c>
      <c r="D1819" s="5" t="s">
        <v>16</v>
      </c>
      <c r="E1819" s="5" t="s">
        <v>1945</v>
      </c>
      <c r="F1819" s="6">
        <v>5850</v>
      </c>
    </row>
    <row r="1820" spans="1:6" x14ac:dyDescent="0.15">
      <c r="A1820" s="5" t="s">
        <v>5725</v>
      </c>
      <c r="B1820" s="5" t="s">
        <v>5726</v>
      </c>
      <c r="C1820" s="9">
        <v>43164</v>
      </c>
      <c r="D1820" s="5" t="s">
        <v>16</v>
      </c>
      <c r="E1820" s="5" t="s">
        <v>5727</v>
      </c>
      <c r="F1820" s="6">
        <v>29000</v>
      </c>
    </row>
    <row r="1821" spans="1:6" x14ac:dyDescent="0.15">
      <c r="A1821" s="5" t="s">
        <v>41</v>
      </c>
      <c r="B1821" s="5" t="s">
        <v>1946</v>
      </c>
      <c r="C1821" s="9">
        <v>43161</v>
      </c>
      <c r="D1821" s="5" t="s">
        <v>16</v>
      </c>
      <c r="E1821" s="5" t="s">
        <v>1947</v>
      </c>
      <c r="F1821" s="6">
        <v>3880</v>
      </c>
    </row>
    <row r="1822" spans="1:6" x14ac:dyDescent="0.15">
      <c r="A1822" s="5" t="s">
        <v>35</v>
      </c>
      <c r="B1822" s="5" t="s">
        <v>3388</v>
      </c>
      <c r="C1822" s="9">
        <v>43161</v>
      </c>
      <c r="D1822" s="5" t="s">
        <v>16</v>
      </c>
      <c r="E1822" s="5" t="s">
        <v>1947</v>
      </c>
      <c r="F1822" s="6">
        <v>3900</v>
      </c>
    </row>
    <row r="1823" spans="1:6" x14ac:dyDescent="0.15">
      <c r="A1823" s="5" t="s">
        <v>64</v>
      </c>
      <c r="B1823" s="5" t="s">
        <v>6126</v>
      </c>
      <c r="C1823" s="9">
        <v>43185</v>
      </c>
      <c r="D1823" s="5" t="s">
        <v>16</v>
      </c>
      <c r="E1823" s="5" t="s">
        <v>6127</v>
      </c>
      <c r="F1823" s="6">
        <v>19500</v>
      </c>
    </row>
    <row r="1824" spans="1:6" x14ac:dyDescent="0.15">
      <c r="A1824" s="5" t="s">
        <v>41</v>
      </c>
      <c r="B1824" s="5" t="s">
        <v>1948</v>
      </c>
      <c r="C1824" s="9">
        <v>43167</v>
      </c>
      <c r="D1824" s="5" t="s">
        <v>16</v>
      </c>
      <c r="E1824" s="5" t="s">
        <v>1949</v>
      </c>
      <c r="F1824" s="6">
        <v>1018.5</v>
      </c>
    </row>
    <row r="1825" spans="1:6" x14ac:dyDescent="0.15">
      <c r="A1825" s="5" t="s">
        <v>35</v>
      </c>
      <c r="B1825" s="5" t="s">
        <v>3389</v>
      </c>
      <c r="C1825" s="9">
        <v>43167</v>
      </c>
      <c r="D1825" s="5" t="s">
        <v>16</v>
      </c>
      <c r="E1825" s="5" t="s">
        <v>3390</v>
      </c>
      <c r="F1825" s="6">
        <v>390</v>
      </c>
    </row>
    <row r="1826" spans="1:6" x14ac:dyDescent="0.15">
      <c r="A1826" s="5" t="s">
        <v>148</v>
      </c>
      <c r="B1826" s="5" t="s">
        <v>5637</v>
      </c>
      <c r="C1826" s="9">
        <v>43171</v>
      </c>
      <c r="D1826" s="5" t="s">
        <v>16</v>
      </c>
      <c r="E1826" s="5" t="s">
        <v>5638</v>
      </c>
      <c r="F1826" s="6">
        <v>18915</v>
      </c>
    </row>
    <row r="1827" spans="1:6" x14ac:dyDescent="0.15">
      <c r="A1827" s="5" t="s">
        <v>41</v>
      </c>
      <c r="B1827" s="5" t="s">
        <v>1950</v>
      </c>
      <c r="C1827" s="9">
        <v>43171</v>
      </c>
      <c r="D1827" s="5" t="s">
        <v>16</v>
      </c>
      <c r="E1827" s="5" t="s">
        <v>1951</v>
      </c>
      <c r="F1827" s="6">
        <v>5335</v>
      </c>
    </row>
    <row r="1828" spans="1:6" x14ac:dyDescent="0.15">
      <c r="A1828" s="5" t="s">
        <v>43</v>
      </c>
      <c r="B1828" s="5" t="s">
        <v>5017</v>
      </c>
      <c r="C1828" s="9">
        <v>43171</v>
      </c>
      <c r="D1828" s="5" t="s">
        <v>16</v>
      </c>
      <c r="E1828" s="5" t="s">
        <v>1951</v>
      </c>
      <c r="F1828" s="6">
        <v>5335</v>
      </c>
    </row>
    <row r="1829" spans="1:6" x14ac:dyDescent="0.15">
      <c r="A1829" s="5" t="s">
        <v>35</v>
      </c>
      <c r="B1829" s="5" t="s">
        <v>3391</v>
      </c>
      <c r="C1829" s="9">
        <v>43171</v>
      </c>
      <c r="D1829" s="5" t="s">
        <v>16</v>
      </c>
      <c r="E1829" s="5" t="s">
        <v>1951</v>
      </c>
      <c r="F1829" s="6">
        <v>9750</v>
      </c>
    </row>
    <row r="1830" spans="1:6" x14ac:dyDescent="0.15">
      <c r="A1830" s="5" t="s">
        <v>49</v>
      </c>
      <c r="B1830" s="5" t="s">
        <v>8670</v>
      </c>
      <c r="C1830" s="9">
        <v>43174</v>
      </c>
      <c r="D1830" s="5" t="s">
        <v>16</v>
      </c>
      <c r="E1830" s="5" t="s">
        <v>8671</v>
      </c>
      <c r="F1830" s="6">
        <v>2000</v>
      </c>
    </row>
    <row r="1831" spans="1:6" x14ac:dyDescent="0.15">
      <c r="A1831" s="5" t="s">
        <v>43</v>
      </c>
      <c r="B1831" s="5" t="s">
        <v>5018</v>
      </c>
      <c r="C1831" s="9">
        <v>43175</v>
      </c>
      <c r="D1831" s="5" t="s">
        <v>16</v>
      </c>
      <c r="E1831" s="5" t="s">
        <v>5019</v>
      </c>
      <c r="F1831" s="6">
        <v>97</v>
      </c>
    </row>
    <row r="1832" spans="1:6" x14ac:dyDescent="0.15">
      <c r="A1832" s="5" t="s">
        <v>37</v>
      </c>
      <c r="B1832" s="5" t="s">
        <v>7115</v>
      </c>
      <c r="C1832" s="9">
        <v>43175</v>
      </c>
      <c r="D1832" s="5" t="s">
        <v>16</v>
      </c>
      <c r="E1832" s="5" t="s">
        <v>5019</v>
      </c>
      <c r="F1832" s="6">
        <v>487.5</v>
      </c>
    </row>
    <row r="1833" spans="1:6" x14ac:dyDescent="0.15">
      <c r="A1833" s="5" t="s">
        <v>35</v>
      </c>
      <c r="B1833" s="5" t="s">
        <v>3392</v>
      </c>
      <c r="C1833" s="9">
        <v>43182</v>
      </c>
      <c r="D1833" s="5" t="s">
        <v>16</v>
      </c>
      <c r="E1833" s="5" t="s">
        <v>3393</v>
      </c>
      <c r="F1833" s="6">
        <v>5850</v>
      </c>
    </row>
    <row r="1834" spans="1:6" x14ac:dyDescent="0.15">
      <c r="A1834" s="5" t="s">
        <v>35</v>
      </c>
      <c r="B1834" s="5" t="s">
        <v>3394</v>
      </c>
      <c r="C1834" s="9">
        <v>43182</v>
      </c>
      <c r="D1834" s="5" t="s">
        <v>16</v>
      </c>
      <c r="E1834" s="5" t="s">
        <v>3395</v>
      </c>
      <c r="F1834" s="6">
        <v>1072.5</v>
      </c>
    </row>
    <row r="1835" spans="1:6" x14ac:dyDescent="0.15">
      <c r="A1835" s="5" t="s">
        <v>44</v>
      </c>
      <c r="B1835" s="5" t="s">
        <v>4372</v>
      </c>
      <c r="C1835" s="9">
        <v>43206</v>
      </c>
      <c r="D1835" s="5" t="s">
        <v>16</v>
      </c>
      <c r="E1835" s="5" t="s">
        <v>4373</v>
      </c>
      <c r="F1835" s="6">
        <v>19500</v>
      </c>
    </row>
    <row r="1836" spans="1:6" x14ac:dyDescent="0.15">
      <c r="A1836" s="5" t="s">
        <v>44</v>
      </c>
      <c r="B1836" s="5" t="s">
        <v>4372</v>
      </c>
      <c r="C1836" s="9">
        <v>43220</v>
      </c>
      <c r="D1836" s="5" t="s">
        <v>16</v>
      </c>
      <c r="E1836" s="5" t="s">
        <v>4373</v>
      </c>
      <c r="F1836" s="6">
        <v>19500</v>
      </c>
    </row>
    <row r="1837" spans="1:6" x14ac:dyDescent="0.15">
      <c r="A1837" s="5" t="s">
        <v>37</v>
      </c>
      <c r="B1837" s="5" t="s">
        <v>7136</v>
      </c>
      <c r="C1837" s="9">
        <v>43206</v>
      </c>
      <c r="D1837" s="5" t="s">
        <v>16</v>
      </c>
      <c r="E1837" s="5" t="s">
        <v>4373</v>
      </c>
      <c r="F1837" s="6">
        <v>5850</v>
      </c>
    </row>
    <row r="1838" spans="1:6" x14ac:dyDescent="0.15">
      <c r="A1838" s="5" t="s">
        <v>37</v>
      </c>
      <c r="B1838" s="5" t="s">
        <v>7136</v>
      </c>
      <c r="C1838" s="9">
        <v>43220</v>
      </c>
      <c r="D1838" s="5" t="s">
        <v>16</v>
      </c>
      <c r="E1838" s="5" t="s">
        <v>4373</v>
      </c>
      <c r="F1838" s="6">
        <v>5850</v>
      </c>
    </row>
    <row r="1839" spans="1:6" x14ac:dyDescent="0.15">
      <c r="A1839" s="5" t="s">
        <v>37</v>
      </c>
      <c r="B1839" s="5" t="s">
        <v>7116</v>
      </c>
      <c r="C1839" s="9">
        <v>43182</v>
      </c>
      <c r="D1839" s="5" t="s">
        <v>16</v>
      </c>
      <c r="E1839" s="5" t="s">
        <v>7117</v>
      </c>
      <c r="F1839" s="6">
        <v>18622.5</v>
      </c>
    </row>
    <row r="1840" spans="1:6" x14ac:dyDescent="0.15">
      <c r="A1840" s="5" t="s">
        <v>49</v>
      </c>
      <c r="B1840" s="5" t="s">
        <v>8672</v>
      </c>
      <c r="C1840" s="9">
        <v>43182</v>
      </c>
      <c r="D1840" s="5" t="s">
        <v>16</v>
      </c>
      <c r="E1840" s="5" t="s">
        <v>8673</v>
      </c>
      <c r="F1840" s="6">
        <v>300</v>
      </c>
    </row>
    <row r="1841" spans="1:6" x14ac:dyDescent="0.15">
      <c r="A1841" s="5" t="s">
        <v>35</v>
      </c>
      <c r="B1841" s="5" t="s">
        <v>3396</v>
      </c>
      <c r="C1841" s="9">
        <v>43185</v>
      </c>
      <c r="D1841" s="5" t="s">
        <v>16</v>
      </c>
      <c r="E1841" s="5" t="s">
        <v>3397</v>
      </c>
      <c r="F1841" s="6">
        <v>1852.5</v>
      </c>
    </row>
    <row r="1842" spans="1:6" x14ac:dyDescent="0.15">
      <c r="A1842" s="5" t="s">
        <v>37</v>
      </c>
      <c r="B1842" s="5" t="s">
        <v>7118</v>
      </c>
      <c r="C1842" s="9">
        <v>43185</v>
      </c>
      <c r="D1842" s="5" t="s">
        <v>16</v>
      </c>
      <c r="E1842" s="5" t="s">
        <v>7119</v>
      </c>
      <c r="F1842" s="6">
        <v>2925</v>
      </c>
    </row>
    <row r="1843" spans="1:6" x14ac:dyDescent="0.15">
      <c r="A1843" s="5" t="s">
        <v>35</v>
      </c>
      <c r="B1843" s="5" t="s">
        <v>3398</v>
      </c>
      <c r="C1843" s="9">
        <v>43186</v>
      </c>
      <c r="D1843" s="5" t="s">
        <v>16</v>
      </c>
      <c r="E1843" s="5" t="s">
        <v>3399</v>
      </c>
      <c r="F1843" s="6">
        <v>-1852.5</v>
      </c>
    </row>
    <row r="1844" spans="1:6" x14ac:dyDescent="0.15">
      <c r="A1844" s="5" t="s">
        <v>35</v>
      </c>
      <c r="B1844" s="5" t="s">
        <v>3400</v>
      </c>
      <c r="C1844" s="9">
        <v>43186</v>
      </c>
      <c r="D1844" s="5" t="s">
        <v>16</v>
      </c>
      <c r="E1844" s="5" t="s">
        <v>3401</v>
      </c>
      <c r="F1844" s="6">
        <v>1852.5</v>
      </c>
    </row>
    <row r="1845" spans="1:6" x14ac:dyDescent="0.15">
      <c r="A1845" s="5" t="s">
        <v>35</v>
      </c>
      <c r="B1845" s="5" t="s">
        <v>3402</v>
      </c>
      <c r="C1845" s="9">
        <v>43187</v>
      </c>
      <c r="D1845" s="5" t="s">
        <v>16</v>
      </c>
      <c r="E1845" s="5" t="s">
        <v>3403</v>
      </c>
      <c r="F1845" s="6">
        <v>-5850</v>
      </c>
    </row>
    <row r="1846" spans="1:6" x14ac:dyDescent="0.15">
      <c r="A1846" s="5" t="s">
        <v>37</v>
      </c>
      <c r="B1846" s="5" t="s">
        <v>7120</v>
      </c>
      <c r="C1846" s="9">
        <v>43187</v>
      </c>
      <c r="D1846" s="5" t="s">
        <v>16</v>
      </c>
      <c r="E1846" s="5" t="s">
        <v>7121</v>
      </c>
      <c r="F1846" s="6">
        <v>2925</v>
      </c>
    </row>
    <row r="1847" spans="1:6" x14ac:dyDescent="0.15">
      <c r="A1847" s="5" t="s">
        <v>35</v>
      </c>
      <c r="B1847" s="5" t="s">
        <v>3404</v>
      </c>
      <c r="C1847" s="9">
        <v>43187</v>
      </c>
      <c r="D1847" s="5" t="s">
        <v>16</v>
      </c>
      <c r="E1847" s="5" t="s">
        <v>3405</v>
      </c>
      <c r="F1847" s="6">
        <v>13650</v>
      </c>
    </row>
    <row r="1848" spans="1:6" x14ac:dyDescent="0.15">
      <c r="A1848" s="5" t="s">
        <v>35</v>
      </c>
      <c r="B1848" s="5" t="s">
        <v>3406</v>
      </c>
      <c r="C1848" s="9">
        <v>43187</v>
      </c>
      <c r="D1848" s="5" t="s">
        <v>16</v>
      </c>
      <c r="E1848" s="5" t="s">
        <v>3407</v>
      </c>
      <c r="F1848" s="6">
        <v>2047.5</v>
      </c>
    </row>
    <row r="1849" spans="1:6" x14ac:dyDescent="0.15">
      <c r="A1849" s="5" t="s">
        <v>35</v>
      </c>
      <c r="B1849" s="5" t="s">
        <v>3408</v>
      </c>
      <c r="C1849" s="9">
        <v>43193</v>
      </c>
      <c r="D1849" s="5" t="s">
        <v>16</v>
      </c>
      <c r="E1849" s="5" t="s">
        <v>3409</v>
      </c>
      <c r="F1849" s="6">
        <v>5850</v>
      </c>
    </row>
    <row r="1850" spans="1:6" x14ac:dyDescent="0.15">
      <c r="A1850" s="5" t="s">
        <v>148</v>
      </c>
      <c r="B1850" s="5" t="s">
        <v>5639</v>
      </c>
      <c r="C1850" s="9">
        <v>43196</v>
      </c>
      <c r="D1850" s="5" t="s">
        <v>16</v>
      </c>
      <c r="E1850" s="5" t="s">
        <v>5640</v>
      </c>
      <c r="F1850" s="6">
        <v>18915</v>
      </c>
    </row>
    <row r="1851" spans="1:6" x14ac:dyDescent="0.15">
      <c r="A1851" s="5" t="s">
        <v>148</v>
      </c>
      <c r="B1851" s="5" t="s">
        <v>5641</v>
      </c>
      <c r="C1851" s="9">
        <v>43196</v>
      </c>
      <c r="D1851" s="5" t="s">
        <v>16</v>
      </c>
      <c r="E1851" s="5" t="s">
        <v>5642</v>
      </c>
      <c r="F1851" s="6">
        <v>18915</v>
      </c>
    </row>
    <row r="1852" spans="1:6" x14ac:dyDescent="0.15">
      <c r="A1852" s="5" t="s">
        <v>148</v>
      </c>
      <c r="B1852" s="5" t="s">
        <v>5643</v>
      </c>
      <c r="C1852" s="9">
        <v>43196</v>
      </c>
      <c r="D1852" s="5" t="s">
        <v>16</v>
      </c>
      <c r="E1852" s="5" t="s">
        <v>5644</v>
      </c>
      <c r="F1852" s="6">
        <v>13095</v>
      </c>
    </row>
    <row r="1853" spans="1:6" x14ac:dyDescent="0.15">
      <c r="A1853" s="5" t="s">
        <v>58</v>
      </c>
      <c r="B1853" s="5" t="s">
        <v>6180</v>
      </c>
      <c r="C1853" s="9">
        <v>43196</v>
      </c>
      <c r="D1853" s="5" t="s">
        <v>16</v>
      </c>
      <c r="E1853" s="5" t="s">
        <v>5644</v>
      </c>
      <c r="F1853" s="6">
        <v>4500</v>
      </c>
    </row>
    <row r="1854" spans="1:6" x14ac:dyDescent="0.15">
      <c r="A1854" s="5" t="s">
        <v>37</v>
      </c>
      <c r="B1854" s="5" t="s">
        <v>7122</v>
      </c>
      <c r="C1854" s="9">
        <v>43193</v>
      </c>
      <c r="D1854" s="5" t="s">
        <v>16</v>
      </c>
      <c r="E1854" s="5" t="s">
        <v>7123</v>
      </c>
      <c r="F1854" s="6">
        <v>5265</v>
      </c>
    </row>
    <row r="1855" spans="1:6" x14ac:dyDescent="0.15">
      <c r="A1855" s="5" t="s">
        <v>63</v>
      </c>
      <c r="B1855" s="5" t="s">
        <v>2269</v>
      </c>
      <c r="C1855" s="9">
        <v>43194</v>
      </c>
      <c r="D1855" s="5" t="s">
        <v>16</v>
      </c>
      <c r="E1855" s="5" t="s">
        <v>2270</v>
      </c>
      <c r="F1855" s="6">
        <v>4074</v>
      </c>
    </row>
    <row r="1856" spans="1:6" x14ac:dyDescent="0.15">
      <c r="A1856" s="5" t="s">
        <v>51</v>
      </c>
      <c r="B1856" s="5" t="s">
        <v>4227</v>
      </c>
      <c r="C1856" s="9">
        <v>43194</v>
      </c>
      <c r="D1856" s="5" t="s">
        <v>16</v>
      </c>
      <c r="E1856" s="5" t="s">
        <v>4228</v>
      </c>
      <c r="F1856" s="6">
        <v>1170</v>
      </c>
    </row>
    <row r="1857" spans="1:6" x14ac:dyDescent="0.15">
      <c r="A1857" s="5" t="s">
        <v>43</v>
      </c>
      <c r="B1857" s="5" t="s">
        <v>5020</v>
      </c>
      <c r="C1857" s="9">
        <v>43193</v>
      </c>
      <c r="D1857" s="5" t="s">
        <v>16</v>
      </c>
      <c r="E1857" s="5" t="s">
        <v>5021</v>
      </c>
      <c r="F1857" s="6">
        <v>1455</v>
      </c>
    </row>
    <row r="1858" spans="1:6" x14ac:dyDescent="0.15">
      <c r="A1858" s="5" t="s">
        <v>37</v>
      </c>
      <c r="B1858" s="5" t="s">
        <v>7124</v>
      </c>
      <c r="C1858" s="9">
        <v>43193</v>
      </c>
      <c r="D1858" s="5" t="s">
        <v>16</v>
      </c>
      <c r="E1858" s="5" t="s">
        <v>5021</v>
      </c>
      <c r="F1858" s="6">
        <v>682.5</v>
      </c>
    </row>
    <row r="1859" spans="1:6" x14ac:dyDescent="0.15">
      <c r="A1859" s="5" t="s">
        <v>53</v>
      </c>
      <c r="B1859" s="5" t="s">
        <v>8452</v>
      </c>
      <c r="C1859" s="9">
        <v>43194</v>
      </c>
      <c r="D1859" s="5" t="s">
        <v>16</v>
      </c>
      <c r="E1859" s="5" t="s">
        <v>8453</v>
      </c>
      <c r="F1859" s="6">
        <v>1072.5</v>
      </c>
    </row>
    <row r="1860" spans="1:6" x14ac:dyDescent="0.15">
      <c r="A1860" s="5" t="s">
        <v>43</v>
      </c>
      <c r="B1860" s="5" t="s">
        <v>5022</v>
      </c>
      <c r="C1860" s="9">
        <v>43196</v>
      </c>
      <c r="D1860" s="5" t="s">
        <v>16</v>
      </c>
      <c r="E1860" s="5" t="s">
        <v>5023</v>
      </c>
      <c r="F1860" s="6">
        <v>11640</v>
      </c>
    </row>
    <row r="1861" spans="1:6" x14ac:dyDescent="0.15">
      <c r="A1861" s="5" t="s">
        <v>43</v>
      </c>
      <c r="B1861" s="5" t="s">
        <v>5024</v>
      </c>
      <c r="C1861" s="9">
        <v>43196</v>
      </c>
      <c r="D1861" s="5" t="s">
        <v>16</v>
      </c>
      <c r="E1861" s="5" t="s">
        <v>5025</v>
      </c>
      <c r="F1861" s="6">
        <v>5820</v>
      </c>
    </row>
    <row r="1862" spans="1:6" x14ac:dyDescent="0.15">
      <c r="A1862" s="5" t="s">
        <v>37</v>
      </c>
      <c r="B1862" s="5" t="s">
        <v>7125</v>
      </c>
      <c r="C1862" s="9">
        <v>43196</v>
      </c>
      <c r="D1862" s="5" t="s">
        <v>16</v>
      </c>
      <c r="E1862" s="5" t="s">
        <v>7126</v>
      </c>
      <c r="F1862" s="6">
        <v>6825</v>
      </c>
    </row>
    <row r="1863" spans="1:6" x14ac:dyDescent="0.15">
      <c r="A1863" s="5" t="s">
        <v>37</v>
      </c>
      <c r="B1863" s="5" t="s">
        <v>7127</v>
      </c>
      <c r="C1863" s="9">
        <v>43196</v>
      </c>
      <c r="D1863" s="5" t="s">
        <v>16</v>
      </c>
      <c r="E1863" s="5" t="s">
        <v>5027</v>
      </c>
      <c r="F1863" s="6">
        <v>8287.5</v>
      </c>
    </row>
    <row r="1864" spans="1:6" x14ac:dyDescent="0.15">
      <c r="A1864" s="5" t="s">
        <v>43</v>
      </c>
      <c r="B1864" s="5" t="s">
        <v>5026</v>
      </c>
      <c r="C1864" s="9">
        <v>43196</v>
      </c>
      <c r="D1864" s="5" t="s">
        <v>16</v>
      </c>
      <c r="E1864" s="5" t="s">
        <v>5027</v>
      </c>
      <c r="F1864" s="6">
        <v>727.5</v>
      </c>
    </row>
    <row r="1865" spans="1:6" x14ac:dyDescent="0.15">
      <c r="A1865" s="5" t="s">
        <v>42</v>
      </c>
      <c r="B1865" s="5" t="s">
        <v>5870</v>
      </c>
      <c r="C1865" s="9">
        <v>43199</v>
      </c>
      <c r="D1865" s="5" t="s">
        <v>16</v>
      </c>
      <c r="E1865" s="5" t="s">
        <v>5871</v>
      </c>
      <c r="F1865" s="6">
        <v>1350</v>
      </c>
    </row>
    <row r="1866" spans="1:6" x14ac:dyDescent="0.15">
      <c r="A1866" s="5" t="s">
        <v>37</v>
      </c>
      <c r="B1866" s="5" t="s">
        <v>7128</v>
      </c>
      <c r="C1866" s="9">
        <v>43199</v>
      </c>
      <c r="D1866" s="5" t="s">
        <v>16</v>
      </c>
      <c r="E1866" s="5" t="s">
        <v>5871</v>
      </c>
      <c r="F1866" s="6">
        <v>1755</v>
      </c>
    </row>
    <row r="1867" spans="1:6" x14ac:dyDescent="0.15">
      <c r="A1867" s="5" t="s">
        <v>42</v>
      </c>
      <c r="B1867" s="5" t="s">
        <v>5872</v>
      </c>
      <c r="C1867" s="9">
        <v>43199</v>
      </c>
      <c r="D1867" s="5" t="s">
        <v>16</v>
      </c>
      <c r="E1867" s="5" t="s">
        <v>5873</v>
      </c>
      <c r="F1867" s="6">
        <v>1950</v>
      </c>
    </row>
    <row r="1868" spans="1:6" x14ac:dyDescent="0.15">
      <c r="A1868" s="5" t="s">
        <v>37</v>
      </c>
      <c r="B1868" s="5" t="s">
        <v>7129</v>
      </c>
      <c r="C1868" s="9">
        <v>43199</v>
      </c>
      <c r="D1868" s="5" t="s">
        <v>16</v>
      </c>
      <c r="E1868" s="5" t="s">
        <v>5873</v>
      </c>
      <c r="F1868" s="6">
        <v>3022.5</v>
      </c>
    </row>
    <row r="1869" spans="1:6" x14ac:dyDescent="0.15">
      <c r="A1869" s="5" t="s">
        <v>43</v>
      </c>
      <c r="B1869" s="5" t="s">
        <v>5028</v>
      </c>
      <c r="C1869" s="9">
        <v>43199</v>
      </c>
      <c r="D1869" s="5" t="s">
        <v>16</v>
      </c>
      <c r="E1869" s="5" t="s">
        <v>5029</v>
      </c>
      <c r="F1869" s="6">
        <v>1940</v>
      </c>
    </row>
    <row r="1870" spans="1:6" x14ac:dyDescent="0.15">
      <c r="A1870" s="5" t="s">
        <v>37</v>
      </c>
      <c r="B1870" s="5" t="s">
        <v>7130</v>
      </c>
      <c r="C1870" s="9">
        <v>43199</v>
      </c>
      <c r="D1870" s="5" t="s">
        <v>16</v>
      </c>
      <c r="E1870" s="5" t="s">
        <v>5029</v>
      </c>
      <c r="F1870" s="6">
        <v>19500</v>
      </c>
    </row>
    <row r="1871" spans="1:6" x14ac:dyDescent="0.15">
      <c r="A1871" s="5" t="s">
        <v>37</v>
      </c>
      <c r="B1871" s="5" t="s">
        <v>7131</v>
      </c>
      <c r="C1871" s="9">
        <v>43199</v>
      </c>
      <c r="D1871" s="5" t="s">
        <v>16</v>
      </c>
      <c r="E1871" s="5" t="s">
        <v>7132</v>
      </c>
      <c r="F1871" s="6">
        <v>292.5</v>
      </c>
    </row>
    <row r="1872" spans="1:6" x14ac:dyDescent="0.15">
      <c r="A1872" s="5" t="s">
        <v>35</v>
      </c>
      <c r="B1872" s="5" t="s">
        <v>3410</v>
      </c>
      <c r="C1872" s="9">
        <v>43199</v>
      </c>
      <c r="D1872" s="5" t="s">
        <v>16</v>
      </c>
      <c r="E1872" s="5" t="s">
        <v>3411</v>
      </c>
      <c r="F1872" s="6">
        <v>2047.5</v>
      </c>
    </row>
    <row r="1873" spans="1:6" x14ac:dyDescent="0.15">
      <c r="A1873" s="5" t="s">
        <v>43</v>
      </c>
      <c r="B1873" s="5" t="s">
        <v>5030</v>
      </c>
      <c r="C1873" s="9">
        <v>43199</v>
      </c>
      <c r="D1873" s="5" t="s">
        <v>16</v>
      </c>
      <c r="E1873" s="5" t="s">
        <v>5031</v>
      </c>
      <c r="F1873" s="6">
        <v>1649</v>
      </c>
    </row>
    <row r="1874" spans="1:6" x14ac:dyDescent="0.15">
      <c r="A1874" s="5" t="s">
        <v>37</v>
      </c>
      <c r="B1874" s="5" t="s">
        <v>7133</v>
      </c>
      <c r="C1874" s="9">
        <v>43199</v>
      </c>
      <c r="D1874" s="5" t="s">
        <v>16</v>
      </c>
      <c r="E1874" s="5" t="s">
        <v>5031</v>
      </c>
      <c r="F1874" s="6">
        <v>11115</v>
      </c>
    </row>
    <row r="1875" spans="1:6" x14ac:dyDescent="0.15">
      <c r="A1875" s="5" t="s">
        <v>37</v>
      </c>
      <c r="B1875" s="5" t="s">
        <v>7134</v>
      </c>
      <c r="C1875" s="9">
        <v>43199</v>
      </c>
      <c r="D1875" s="5" t="s">
        <v>16</v>
      </c>
      <c r="E1875" s="5" t="s">
        <v>7135</v>
      </c>
      <c r="F1875" s="6">
        <v>682.5</v>
      </c>
    </row>
    <row r="1876" spans="1:6" x14ac:dyDescent="0.15">
      <c r="A1876" s="5" t="s">
        <v>43</v>
      </c>
      <c r="B1876" s="5" t="s">
        <v>5038</v>
      </c>
      <c r="C1876" s="9">
        <v>43217</v>
      </c>
      <c r="D1876" s="5" t="s">
        <v>16</v>
      </c>
      <c r="E1876" s="5" t="s">
        <v>2195</v>
      </c>
      <c r="F1876" s="6">
        <v>13580</v>
      </c>
    </row>
    <row r="1877" spans="1:6" x14ac:dyDescent="0.15">
      <c r="A1877" s="5" t="s">
        <v>46</v>
      </c>
      <c r="B1877" s="5" t="s">
        <v>2194</v>
      </c>
      <c r="C1877" s="9">
        <v>43217</v>
      </c>
      <c r="D1877" s="5" t="s">
        <v>16</v>
      </c>
      <c r="E1877" s="5" t="s">
        <v>2195</v>
      </c>
      <c r="F1877" s="6">
        <v>11640</v>
      </c>
    </row>
    <row r="1878" spans="1:6" x14ac:dyDescent="0.15">
      <c r="A1878" s="5" t="s">
        <v>148</v>
      </c>
      <c r="B1878" s="5" t="s">
        <v>5645</v>
      </c>
      <c r="C1878" s="9">
        <v>43227</v>
      </c>
      <c r="D1878" s="5" t="s">
        <v>16</v>
      </c>
      <c r="E1878" s="5" t="s">
        <v>5646</v>
      </c>
      <c r="F1878" s="6">
        <v>13095</v>
      </c>
    </row>
    <row r="1879" spans="1:6" x14ac:dyDescent="0.15">
      <c r="A1879" s="5" t="s">
        <v>58</v>
      </c>
      <c r="B1879" s="5" t="s">
        <v>6182</v>
      </c>
      <c r="C1879" s="9">
        <v>43227</v>
      </c>
      <c r="D1879" s="5" t="s">
        <v>16</v>
      </c>
      <c r="E1879" s="5" t="s">
        <v>5646</v>
      </c>
      <c r="F1879" s="6">
        <v>4500</v>
      </c>
    </row>
    <row r="1880" spans="1:6" x14ac:dyDescent="0.15">
      <c r="A1880" s="5" t="s">
        <v>148</v>
      </c>
      <c r="B1880" s="5" t="s">
        <v>5651</v>
      </c>
      <c r="C1880" s="9">
        <v>43236</v>
      </c>
      <c r="D1880" s="5" t="s">
        <v>16</v>
      </c>
      <c r="E1880" s="5" t="s">
        <v>5652</v>
      </c>
      <c r="F1880" s="6">
        <v>18915</v>
      </c>
    </row>
    <row r="1881" spans="1:6" x14ac:dyDescent="0.15">
      <c r="A1881" s="5" t="s">
        <v>37</v>
      </c>
      <c r="B1881" s="5" t="s">
        <v>7137</v>
      </c>
      <c r="C1881" s="9">
        <v>43206</v>
      </c>
      <c r="D1881" s="5" t="s">
        <v>16</v>
      </c>
      <c r="E1881" s="5" t="s">
        <v>2197</v>
      </c>
      <c r="F1881" s="6">
        <v>25350</v>
      </c>
    </row>
    <row r="1882" spans="1:6" x14ac:dyDescent="0.15">
      <c r="A1882" s="5" t="s">
        <v>44</v>
      </c>
      <c r="B1882" s="5" t="s">
        <v>4378</v>
      </c>
      <c r="C1882" s="9">
        <v>43234</v>
      </c>
      <c r="D1882" s="5" t="s">
        <v>16</v>
      </c>
      <c r="E1882" s="5" t="s">
        <v>2197</v>
      </c>
      <c r="F1882" s="6">
        <v>25350</v>
      </c>
    </row>
    <row r="1883" spans="1:6" x14ac:dyDescent="0.15">
      <c r="A1883" s="5" t="s">
        <v>43</v>
      </c>
      <c r="B1883" s="5" t="s">
        <v>5039</v>
      </c>
      <c r="C1883" s="9">
        <v>43217</v>
      </c>
      <c r="D1883" s="5" t="s">
        <v>16</v>
      </c>
      <c r="E1883" s="5" t="s">
        <v>2197</v>
      </c>
      <c r="F1883" s="6">
        <v>13580</v>
      </c>
    </row>
    <row r="1884" spans="1:6" x14ac:dyDescent="0.15">
      <c r="A1884" s="5" t="s">
        <v>46</v>
      </c>
      <c r="B1884" s="5" t="s">
        <v>2196</v>
      </c>
      <c r="C1884" s="9">
        <v>43217</v>
      </c>
      <c r="D1884" s="5" t="s">
        <v>16</v>
      </c>
      <c r="E1884" s="5" t="s">
        <v>2197</v>
      </c>
      <c r="F1884" s="6">
        <v>11640</v>
      </c>
    </row>
    <row r="1885" spans="1:6" x14ac:dyDescent="0.15">
      <c r="A1885" s="5" t="s">
        <v>35</v>
      </c>
      <c r="B1885" s="5" t="s">
        <v>3412</v>
      </c>
      <c r="C1885" s="9">
        <v>43206</v>
      </c>
      <c r="D1885" s="5" t="s">
        <v>16</v>
      </c>
      <c r="E1885" s="5" t="s">
        <v>3413</v>
      </c>
      <c r="F1885" s="6">
        <v>975</v>
      </c>
    </row>
    <row r="1886" spans="1:6" x14ac:dyDescent="0.15">
      <c r="A1886" s="5" t="s">
        <v>37</v>
      </c>
      <c r="B1886" s="5" t="s">
        <v>7144</v>
      </c>
      <c r="C1886" s="9">
        <v>43207</v>
      </c>
      <c r="D1886" s="5" t="s">
        <v>16</v>
      </c>
      <c r="E1886" s="5" t="s">
        <v>7145</v>
      </c>
      <c r="F1886" s="6">
        <v>2145</v>
      </c>
    </row>
    <row r="1887" spans="1:6" x14ac:dyDescent="0.15">
      <c r="A1887" s="5" t="s">
        <v>37</v>
      </c>
      <c r="B1887" s="5" t="s">
        <v>7138</v>
      </c>
      <c r="C1887" s="9">
        <v>43206</v>
      </c>
      <c r="D1887" s="5" t="s">
        <v>16</v>
      </c>
      <c r="E1887" s="5" t="s">
        <v>7139</v>
      </c>
      <c r="F1887" s="6">
        <v>1560</v>
      </c>
    </row>
    <row r="1888" spans="1:6" x14ac:dyDescent="0.15">
      <c r="A1888" s="5" t="s">
        <v>43</v>
      </c>
      <c r="B1888" s="5" t="s">
        <v>5032</v>
      </c>
      <c r="C1888" s="9">
        <v>43206</v>
      </c>
      <c r="D1888" s="5" t="s">
        <v>16</v>
      </c>
      <c r="E1888" s="5" t="s">
        <v>5033</v>
      </c>
      <c r="F1888" s="6">
        <v>194</v>
      </c>
    </row>
    <row r="1889" spans="1:6" x14ac:dyDescent="0.15">
      <c r="A1889" s="5" t="s">
        <v>37</v>
      </c>
      <c r="B1889" s="5" t="s">
        <v>7140</v>
      </c>
      <c r="C1889" s="9">
        <v>43206</v>
      </c>
      <c r="D1889" s="5" t="s">
        <v>16</v>
      </c>
      <c r="E1889" s="5" t="s">
        <v>5033</v>
      </c>
      <c r="F1889" s="6">
        <v>1755</v>
      </c>
    </row>
    <row r="1890" spans="1:6" x14ac:dyDescent="0.15">
      <c r="A1890" s="5" t="s">
        <v>42</v>
      </c>
      <c r="B1890" s="5" t="s">
        <v>5874</v>
      </c>
      <c r="C1890" s="9">
        <v>43206</v>
      </c>
      <c r="D1890" s="5" t="s">
        <v>16</v>
      </c>
      <c r="E1890" s="5" t="s">
        <v>5875</v>
      </c>
      <c r="F1890" s="6">
        <v>2850</v>
      </c>
    </row>
    <row r="1891" spans="1:6" x14ac:dyDescent="0.15">
      <c r="A1891" s="5" t="s">
        <v>37</v>
      </c>
      <c r="B1891" s="5" t="s">
        <v>7141</v>
      </c>
      <c r="C1891" s="9">
        <v>43206</v>
      </c>
      <c r="D1891" s="5" t="s">
        <v>16</v>
      </c>
      <c r="E1891" s="5" t="s">
        <v>5875</v>
      </c>
      <c r="F1891" s="6">
        <v>195</v>
      </c>
    </row>
    <row r="1892" spans="1:6" x14ac:dyDescent="0.15">
      <c r="A1892" s="5" t="s">
        <v>35</v>
      </c>
      <c r="B1892" s="5" t="s">
        <v>3414</v>
      </c>
      <c r="C1892" s="9">
        <v>43207</v>
      </c>
      <c r="D1892" s="5" t="s">
        <v>16</v>
      </c>
      <c r="E1892" s="5" t="s">
        <v>3415</v>
      </c>
      <c r="F1892" s="6">
        <v>2730</v>
      </c>
    </row>
    <row r="1893" spans="1:6" x14ac:dyDescent="0.15">
      <c r="A1893" s="5" t="s">
        <v>37</v>
      </c>
      <c r="B1893" s="5" t="s">
        <v>7142</v>
      </c>
      <c r="C1893" s="9">
        <v>43206</v>
      </c>
      <c r="D1893" s="5" t="s">
        <v>16</v>
      </c>
      <c r="E1893" s="5" t="s">
        <v>7143</v>
      </c>
      <c r="F1893" s="6">
        <v>1950</v>
      </c>
    </row>
    <row r="1894" spans="1:6" x14ac:dyDescent="0.15">
      <c r="A1894" s="5" t="s">
        <v>37</v>
      </c>
      <c r="B1894" s="5" t="s">
        <v>7146</v>
      </c>
      <c r="C1894" s="9">
        <v>43208</v>
      </c>
      <c r="D1894" s="5" t="s">
        <v>16</v>
      </c>
      <c r="E1894" s="5" t="s">
        <v>7147</v>
      </c>
      <c r="F1894" s="6">
        <v>2925</v>
      </c>
    </row>
    <row r="1895" spans="1:6" x14ac:dyDescent="0.15">
      <c r="A1895" s="5" t="s">
        <v>37</v>
      </c>
      <c r="B1895" s="5" t="s">
        <v>7148</v>
      </c>
      <c r="C1895" s="9">
        <v>43208</v>
      </c>
      <c r="D1895" s="5" t="s">
        <v>16</v>
      </c>
      <c r="E1895" s="5" t="s">
        <v>7149</v>
      </c>
      <c r="F1895" s="6">
        <v>3900</v>
      </c>
    </row>
    <row r="1896" spans="1:6" x14ac:dyDescent="0.15">
      <c r="A1896" s="5" t="s">
        <v>37</v>
      </c>
      <c r="B1896" s="5" t="s">
        <v>7150</v>
      </c>
      <c r="C1896" s="9">
        <v>43209</v>
      </c>
      <c r="D1896" s="5" t="s">
        <v>16</v>
      </c>
      <c r="E1896" s="5" t="s">
        <v>7151</v>
      </c>
      <c r="F1896" s="6">
        <v>6787.5</v>
      </c>
    </row>
    <row r="1897" spans="1:6" x14ac:dyDescent="0.15">
      <c r="A1897" s="5" t="s">
        <v>37</v>
      </c>
      <c r="B1897" s="5" t="s">
        <v>7152</v>
      </c>
      <c r="C1897" s="9">
        <v>43209</v>
      </c>
      <c r="D1897" s="5" t="s">
        <v>16</v>
      </c>
      <c r="E1897" s="5" t="s">
        <v>7153</v>
      </c>
      <c r="F1897" s="6">
        <v>1380</v>
      </c>
    </row>
    <row r="1898" spans="1:6" x14ac:dyDescent="0.15">
      <c r="A1898" s="5" t="s">
        <v>35</v>
      </c>
      <c r="B1898" s="5" t="s">
        <v>3428</v>
      </c>
      <c r="C1898" s="9">
        <v>43220</v>
      </c>
      <c r="D1898" s="5" t="s">
        <v>16</v>
      </c>
      <c r="E1898" s="5" t="s">
        <v>3429</v>
      </c>
      <c r="F1898" s="6">
        <v>13650</v>
      </c>
    </row>
    <row r="1899" spans="1:6" x14ac:dyDescent="0.15">
      <c r="A1899" s="5" t="s">
        <v>158</v>
      </c>
      <c r="B1899" s="5" t="s">
        <v>8558</v>
      </c>
      <c r="C1899" s="9">
        <v>43220</v>
      </c>
      <c r="D1899" s="5" t="s">
        <v>16</v>
      </c>
      <c r="E1899" s="5" t="s">
        <v>3429</v>
      </c>
      <c r="F1899" s="6">
        <v>7020</v>
      </c>
    </row>
    <row r="1900" spans="1:6" x14ac:dyDescent="0.15">
      <c r="A1900" s="5" t="s">
        <v>53</v>
      </c>
      <c r="B1900" s="5" t="s">
        <v>8454</v>
      </c>
      <c r="C1900" s="9">
        <v>43209</v>
      </c>
      <c r="D1900" s="5" t="s">
        <v>16</v>
      </c>
      <c r="E1900" s="5" t="s">
        <v>8455</v>
      </c>
      <c r="F1900" s="6">
        <v>195</v>
      </c>
    </row>
    <row r="1901" spans="1:6" x14ac:dyDescent="0.15">
      <c r="A1901" s="5" t="s">
        <v>148</v>
      </c>
      <c r="B1901" s="5" t="s">
        <v>5653</v>
      </c>
      <c r="C1901" s="9">
        <v>43236</v>
      </c>
      <c r="D1901" s="5" t="s">
        <v>16</v>
      </c>
      <c r="E1901" s="5" t="s">
        <v>5654</v>
      </c>
      <c r="F1901" s="6">
        <v>18915</v>
      </c>
    </row>
    <row r="1902" spans="1:6" x14ac:dyDescent="0.15">
      <c r="A1902" s="5" t="s">
        <v>148</v>
      </c>
      <c r="B1902" s="5" t="s">
        <v>5655</v>
      </c>
      <c r="C1902" s="9">
        <v>43236</v>
      </c>
      <c r="D1902" s="5" t="s">
        <v>16</v>
      </c>
      <c r="E1902" s="5" t="s">
        <v>5656</v>
      </c>
      <c r="F1902" s="6">
        <v>18915</v>
      </c>
    </row>
    <row r="1903" spans="1:6" x14ac:dyDescent="0.15">
      <c r="A1903" s="5" t="s">
        <v>148</v>
      </c>
      <c r="B1903" s="5" t="s">
        <v>5647</v>
      </c>
      <c r="C1903" s="9">
        <v>43227</v>
      </c>
      <c r="D1903" s="5" t="s">
        <v>16</v>
      </c>
      <c r="E1903" s="5" t="s">
        <v>5648</v>
      </c>
      <c r="F1903" s="6">
        <v>18915</v>
      </c>
    </row>
    <row r="1904" spans="1:6" x14ac:dyDescent="0.15">
      <c r="A1904" s="5" t="s">
        <v>148</v>
      </c>
      <c r="B1904" s="5" t="s">
        <v>5649</v>
      </c>
      <c r="C1904" s="9">
        <v>43227</v>
      </c>
      <c r="D1904" s="5" t="s">
        <v>16</v>
      </c>
      <c r="E1904" s="5" t="s">
        <v>5650</v>
      </c>
      <c r="F1904" s="6">
        <v>18915</v>
      </c>
    </row>
    <row r="1905" spans="1:6" x14ac:dyDescent="0.15">
      <c r="A1905" s="5" t="s">
        <v>35</v>
      </c>
      <c r="B1905" s="5" t="s">
        <v>3416</v>
      </c>
      <c r="C1905" s="9">
        <v>43210</v>
      </c>
      <c r="D1905" s="5" t="s">
        <v>16</v>
      </c>
      <c r="E1905" s="5" t="s">
        <v>3417</v>
      </c>
      <c r="F1905" s="6">
        <v>15600</v>
      </c>
    </row>
    <row r="1906" spans="1:6" x14ac:dyDescent="0.15">
      <c r="A1906" s="5" t="s">
        <v>58</v>
      </c>
      <c r="B1906" s="5" t="s">
        <v>6181</v>
      </c>
      <c r="C1906" s="9">
        <v>43210</v>
      </c>
      <c r="D1906" s="5" t="s">
        <v>16</v>
      </c>
      <c r="E1906" s="5" t="s">
        <v>3417</v>
      </c>
      <c r="F1906" s="6">
        <v>4500</v>
      </c>
    </row>
    <row r="1907" spans="1:6" x14ac:dyDescent="0.15">
      <c r="A1907" s="5" t="s">
        <v>43</v>
      </c>
      <c r="B1907" s="5" t="s">
        <v>5034</v>
      </c>
      <c r="C1907" s="9">
        <v>43210</v>
      </c>
      <c r="D1907" s="5" t="s">
        <v>16</v>
      </c>
      <c r="E1907" s="5" t="s">
        <v>5035</v>
      </c>
      <c r="F1907" s="6">
        <v>1697.5</v>
      </c>
    </row>
    <row r="1908" spans="1:6" x14ac:dyDescent="0.15">
      <c r="A1908" s="5" t="s">
        <v>37</v>
      </c>
      <c r="B1908" s="5" t="s">
        <v>7154</v>
      </c>
      <c r="C1908" s="9">
        <v>43210</v>
      </c>
      <c r="D1908" s="5" t="s">
        <v>16</v>
      </c>
      <c r="E1908" s="5" t="s">
        <v>5035</v>
      </c>
      <c r="F1908" s="6">
        <v>3480</v>
      </c>
    </row>
    <row r="1909" spans="1:6" x14ac:dyDescent="0.15">
      <c r="A1909" s="5" t="s">
        <v>35</v>
      </c>
      <c r="B1909" s="5" t="s">
        <v>3418</v>
      </c>
      <c r="C1909" s="9">
        <v>43213</v>
      </c>
      <c r="D1909" s="5" t="s">
        <v>16</v>
      </c>
      <c r="E1909" s="5" t="s">
        <v>3419</v>
      </c>
      <c r="F1909" s="6">
        <v>2925</v>
      </c>
    </row>
    <row r="1910" spans="1:6" x14ac:dyDescent="0.15">
      <c r="A1910" s="5" t="s">
        <v>35</v>
      </c>
      <c r="B1910" s="5" t="s">
        <v>3420</v>
      </c>
      <c r="C1910" s="9">
        <v>43213</v>
      </c>
      <c r="D1910" s="5" t="s">
        <v>16</v>
      </c>
      <c r="E1910" s="5" t="s">
        <v>3421</v>
      </c>
      <c r="F1910" s="6">
        <v>195</v>
      </c>
    </row>
    <row r="1911" spans="1:6" x14ac:dyDescent="0.15">
      <c r="A1911" s="5" t="s">
        <v>43</v>
      </c>
      <c r="B1911" s="5" t="s">
        <v>5036</v>
      </c>
      <c r="C1911" s="9">
        <v>43214</v>
      </c>
      <c r="D1911" s="5" t="s">
        <v>16</v>
      </c>
      <c r="E1911" s="5" t="s">
        <v>5037</v>
      </c>
      <c r="F1911" s="6">
        <v>679</v>
      </c>
    </row>
    <row r="1912" spans="1:6" x14ac:dyDescent="0.15">
      <c r="A1912" s="5" t="s">
        <v>37</v>
      </c>
      <c r="B1912" s="5" t="s">
        <v>7155</v>
      </c>
      <c r="C1912" s="9">
        <v>43214</v>
      </c>
      <c r="D1912" s="5" t="s">
        <v>16</v>
      </c>
      <c r="E1912" s="5" t="s">
        <v>7156</v>
      </c>
      <c r="F1912" s="6">
        <v>975</v>
      </c>
    </row>
    <row r="1913" spans="1:6" x14ac:dyDescent="0.15">
      <c r="A1913" s="5" t="s">
        <v>37</v>
      </c>
      <c r="B1913" s="5" t="s">
        <v>7157</v>
      </c>
      <c r="C1913" s="9">
        <v>43214</v>
      </c>
      <c r="D1913" s="5" t="s">
        <v>16</v>
      </c>
      <c r="E1913" s="5" t="s">
        <v>7158</v>
      </c>
      <c r="F1913" s="6">
        <v>15015</v>
      </c>
    </row>
    <row r="1914" spans="1:6" x14ac:dyDescent="0.15">
      <c r="A1914" s="5" t="s">
        <v>37</v>
      </c>
      <c r="B1914" s="5" t="s">
        <v>7159</v>
      </c>
      <c r="C1914" s="9">
        <v>43215</v>
      </c>
      <c r="D1914" s="5" t="s">
        <v>16</v>
      </c>
      <c r="E1914" s="5" t="s">
        <v>3423</v>
      </c>
      <c r="F1914" s="6">
        <v>11700</v>
      </c>
    </row>
    <row r="1915" spans="1:6" x14ac:dyDescent="0.15">
      <c r="A1915" s="5" t="s">
        <v>35</v>
      </c>
      <c r="B1915" s="5" t="s">
        <v>3422</v>
      </c>
      <c r="C1915" s="9">
        <v>43215</v>
      </c>
      <c r="D1915" s="5" t="s">
        <v>16</v>
      </c>
      <c r="E1915" s="5" t="s">
        <v>3423</v>
      </c>
      <c r="F1915" s="6">
        <v>1950</v>
      </c>
    </row>
    <row r="1916" spans="1:6" x14ac:dyDescent="0.15">
      <c r="A1916" s="5" t="s">
        <v>53</v>
      </c>
      <c r="B1916" s="5" t="s">
        <v>8456</v>
      </c>
      <c r="C1916" s="9">
        <v>43215</v>
      </c>
      <c r="D1916" s="5" t="s">
        <v>16</v>
      </c>
      <c r="E1916" s="5" t="s">
        <v>8457</v>
      </c>
      <c r="F1916" s="6">
        <v>25350</v>
      </c>
    </row>
    <row r="1917" spans="1:6" x14ac:dyDescent="0.15">
      <c r="A1917" s="5" t="s">
        <v>53</v>
      </c>
      <c r="B1917" s="5" t="s">
        <v>8458</v>
      </c>
      <c r="C1917" s="9">
        <v>43216</v>
      </c>
      <c r="D1917" s="5" t="s">
        <v>16</v>
      </c>
      <c r="E1917" s="5" t="s">
        <v>8459</v>
      </c>
      <c r="F1917" s="6">
        <v>25350</v>
      </c>
    </row>
    <row r="1918" spans="1:6" x14ac:dyDescent="0.15">
      <c r="A1918" s="5" t="s">
        <v>53</v>
      </c>
      <c r="B1918" s="5" t="s">
        <v>8460</v>
      </c>
      <c r="C1918" s="9">
        <v>43220</v>
      </c>
      <c r="D1918" s="5" t="s">
        <v>16</v>
      </c>
      <c r="E1918" s="5" t="s">
        <v>8461</v>
      </c>
      <c r="F1918" s="6">
        <v>25350</v>
      </c>
    </row>
    <row r="1919" spans="1:6" x14ac:dyDescent="0.15">
      <c r="A1919" s="5" t="s">
        <v>35</v>
      </c>
      <c r="B1919" s="5" t="s">
        <v>3424</v>
      </c>
      <c r="C1919" s="9">
        <v>43215</v>
      </c>
      <c r="D1919" s="5" t="s">
        <v>16</v>
      </c>
      <c r="E1919" s="5" t="s">
        <v>3425</v>
      </c>
      <c r="F1919" s="6">
        <v>2925</v>
      </c>
    </row>
    <row r="1920" spans="1:6" x14ac:dyDescent="0.15">
      <c r="A1920" s="5" t="s">
        <v>44</v>
      </c>
      <c r="B1920" s="5" t="s">
        <v>4374</v>
      </c>
      <c r="C1920" s="9">
        <v>43220</v>
      </c>
      <c r="D1920" s="5" t="s">
        <v>16</v>
      </c>
      <c r="E1920" s="5" t="s">
        <v>4375</v>
      </c>
      <c r="F1920" s="6">
        <v>-19500</v>
      </c>
    </row>
    <row r="1921" spans="1:6" x14ac:dyDescent="0.15">
      <c r="A1921" s="5" t="s">
        <v>37</v>
      </c>
      <c r="B1921" s="5" t="s">
        <v>7164</v>
      </c>
      <c r="C1921" s="9">
        <v>43220</v>
      </c>
      <c r="D1921" s="5" t="s">
        <v>16</v>
      </c>
      <c r="E1921" s="5" t="s">
        <v>4375</v>
      </c>
      <c r="F1921" s="6">
        <v>-5850</v>
      </c>
    </row>
    <row r="1922" spans="1:6" x14ac:dyDescent="0.15">
      <c r="A1922" s="5" t="s">
        <v>53</v>
      </c>
      <c r="B1922" s="5" t="s">
        <v>8462</v>
      </c>
      <c r="C1922" s="9">
        <v>43220</v>
      </c>
      <c r="D1922" s="5" t="s">
        <v>16</v>
      </c>
      <c r="E1922" s="5" t="s">
        <v>8463</v>
      </c>
      <c r="F1922" s="6">
        <v>-25350</v>
      </c>
    </row>
    <row r="1923" spans="1:6" x14ac:dyDescent="0.15">
      <c r="A1923" s="5" t="s">
        <v>37</v>
      </c>
      <c r="B1923" s="5" t="s">
        <v>7165</v>
      </c>
      <c r="C1923" s="9">
        <v>43220</v>
      </c>
      <c r="D1923" s="5" t="s">
        <v>16</v>
      </c>
      <c r="E1923" s="5" t="s">
        <v>7166</v>
      </c>
      <c r="F1923" s="6">
        <v>877.5</v>
      </c>
    </row>
    <row r="1924" spans="1:6" x14ac:dyDescent="0.15">
      <c r="A1924" s="5" t="s">
        <v>53</v>
      </c>
      <c r="B1924" s="5" t="s">
        <v>8464</v>
      </c>
      <c r="C1924" s="9">
        <v>43220</v>
      </c>
      <c r="D1924" s="5" t="s">
        <v>16</v>
      </c>
      <c r="E1924" s="5" t="s">
        <v>7166</v>
      </c>
      <c r="F1924" s="6">
        <v>24472.5</v>
      </c>
    </row>
    <row r="1925" spans="1:6" x14ac:dyDescent="0.15">
      <c r="A1925" s="5" t="s">
        <v>53</v>
      </c>
      <c r="B1925" s="5" t="s">
        <v>8465</v>
      </c>
      <c r="C1925" s="9">
        <v>43227</v>
      </c>
      <c r="D1925" s="5" t="s">
        <v>16</v>
      </c>
      <c r="E1925" s="5" t="s">
        <v>8466</v>
      </c>
      <c r="F1925" s="6">
        <v>28080</v>
      </c>
    </row>
    <row r="1926" spans="1:6" x14ac:dyDescent="0.15">
      <c r="A1926" s="5" t="s">
        <v>35</v>
      </c>
      <c r="B1926" s="5" t="s">
        <v>3426</v>
      </c>
      <c r="C1926" s="9">
        <v>43217</v>
      </c>
      <c r="D1926" s="5" t="s">
        <v>16</v>
      </c>
      <c r="E1926" s="5" t="s">
        <v>3427</v>
      </c>
      <c r="F1926" s="6">
        <v>1170</v>
      </c>
    </row>
    <row r="1927" spans="1:6" x14ac:dyDescent="0.15">
      <c r="A1927" s="5" t="s">
        <v>37</v>
      </c>
      <c r="B1927" s="5" t="s">
        <v>7160</v>
      </c>
      <c r="C1927" s="9">
        <v>43217</v>
      </c>
      <c r="D1927" s="5" t="s">
        <v>16</v>
      </c>
      <c r="E1927" s="5" t="s">
        <v>4492</v>
      </c>
      <c r="F1927" s="6">
        <v>3217.5</v>
      </c>
    </row>
    <row r="1928" spans="1:6" x14ac:dyDescent="0.15">
      <c r="A1928" s="5" t="s">
        <v>55</v>
      </c>
      <c r="B1928" s="5" t="s">
        <v>4491</v>
      </c>
      <c r="C1928" s="9">
        <v>43217</v>
      </c>
      <c r="D1928" s="5" t="s">
        <v>16</v>
      </c>
      <c r="E1928" s="5" t="s">
        <v>4492</v>
      </c>
      <c r="F1928" s="6">
        <v>800</v>
      </c>
    </row>
    <row r="1929" spans="1:6" x14ac:dyDescent="0.15">
      <c r="A1929" s="5" t="s">
        <v>37</v>
      </c>
      <c r="B1929" s="5" t="s">
        <v>7161</v>
      </c>
      <c r="C1929" s="9">
        <v>43217</v>
      </c>
      <c r="D1929" s="5" t="s">
        <v>16</v>
      </c>
      <c r="E1929" s="5" t="s">
        <v>7162</v>
      </c>
      <c r="F1929" s="6">
        <v>3997.5</v>
      </c>
    </row>
    <row r="1930" spans="1:6" x14ac:dyDescent="0.15">
      <c r="A1930" s="5" t="s">
        <v>37</v>
      </c>
      <c r="B1930" s="5" t="s">
        <v>7163</v>
      </c>
      <c r="C1930" s="9">
        <v>43217</v>
      </c>
      <c r="D1930" s="5" t="s">
        <v>16</v>
      </c>
      <c r="E1930" s="5" t="s">
        <v>5041</v>
      </c>
      <c r="F1930" s="6">
        <v>975</v>
      </c>
    </row>
    <row r="1931" spans="1:6" x14ac:dyDescent="0.15">
      <c r="A1931" s="5" t="s">
        <v>43</v>
      </c>
      <c r="B1931" s="5" t="s">
        <v>5040</v>
      </c>
      <c r="C1931" s="9">
        <v>43217</v>
      </c>
      <c r="D1931" s="5" t="s">
        <v>16</v>
      </c>
      <c r="E1931" s="5" t="s">
        <v>5041</v>
      </c>
      <c r="F1931" s="6">
        <v>970</v>
      </c>
    </row>
    <row r="1932" spans="1:6" x14ac:dyDescent="0.15">
      <c r="A1932" s="5" t="s">
        <v>35</v>
      </c>
      <c r="B1932" s="5" t="s">
        <v>3430</v>
      </c>
      <c r="C1932" s="9">
        <v>43220</v>
      </c>
      <c r="D1932" s="5" t="s">
        <v>16</v>
      </c>
      <c r="E1932" s="5" t="s">
        <v>3431</v>
      </c>
      <c r="F1932" s="6">
        <v>20085</v>
      </c>
    </row>
    <row r="1933" spans="1:6" x14ac:dyDescent="0.15">
      <c r="A1933" s="5" t="s">
        <v>44</v>
      </c>
      <c r="B1933" s="5" t="s">
        <v>4376</v>
      </c>
      <c r="C1933" s="9">
        <v>43220</v>
      </c>
      <c r="D1933" s="5" t="s">
        <v>16</v>
      </c>
      <c r="E1933" s="5" t="s">
        <v>4377</v>
      </c>
      <c r="F1933" s="6">
        <v>19500</v>
      </c>
    </row>
    <row r="1934" spans="1:6" x14ac:dyDescent="0.15">
      <c r="A1934" s="5" t="s">
        <v>37</v>
      </c>
      <c r="B1934" s="5" t="s">
        <v>7167</v>
      </c>
      <c r="C1934" s="9">
        <v>43220</v>
      </c>
      <c r="D1934" s="5" t="s">
        <v>16</v>
      </c>
      <c r="E1934" s="5" t="s">
        <v>4377</v>
      </c>
      <c r="F1934" s="6">
        <v>5850</v>
      </c>
    </row>
    <row r="1935" spans="1:6" x14ac:dyDescent="0.15">
      <c r="A1935" s="5" t="s">
        <v>43</v>
      </c>
      <c r="B1935" s="5" t="s">
        <v>5052</v>
      </c>
      <c r="C1935" s="9">
        <v>43234</v>
      </c>
      <c r="D1935" s="5" t="s">
        <v>16</v>
      </c>
      <c r="E1935" s="5" t="s">
        <v>5053</v>
      </c>
      <c r="F1935" s="6">
        <v>9700</v>
      </c>
    </row>
    <row r="1936" spans="1:6" x14ac:dyDescent="0.15">
      <c r="A1936" s="5" t="s">
        <v>37</v>
      </c>
      <c r="B1936" s="5" t="s">
        <v>7172</v>
      </c>
      <c r="C1936" s="9">
        <v>43234</v>
      </c>
      <c r="D1936" s="5" t="s">
        <v>16</v>
      </c>
      <c r="E1936" s="5" t="s">
        <v>5053</v>
      </c>
      <c r="F1936" s="6">
        <v>1950</v>
      </c>
    </row>
    <row r="1937" spans="1:6" x14ac:dyDescent="0.15">
      <c r="A1937" s="5" t="s">
        <v>43</v>
      </c>
      <c r="B1937" s="5" t="s">
        <v>5054</v>
      </c>
      <c r="C1937" s="9">
        <v>43234</v>
      </c>
      <c r="D1937" s="5" t="s">
        <v>16</v>
      </c>
      <c r="E1937" s="5" t="s">
        <v>1953</v>
      </c>
      <c r="F1937" s="6">
        <v>5335</v>
      </c>
    </row>
    <row r="1938" spans="1:6" x14ac:dyDescent="0.15">
      <c r="A1938" s="5" t="s">
        <v>37</v>
      </c>
      <c r="B1938" s="5" t="s">
        <v>7173</v>
      </c>
      <c r="C1938" s="9">
        <v>43234</v>
      </c>
      <c r="D1938" s="5" t="s">
        <v>16</v>
      </c>
      <c r="E1938" s="5" t="s">
        <v>1953</v>
      </c>
      <c r="F1938" s="6">
        <v>13650</v>
      </c>
    </row>
    <row r="1939" spans="1:6" x14ac:dyDescent="0.15">
      <c r="A1939" s="5" t="s">
        <v>44</v>
      </c>
      <c r="B1939" s="5" t="s">
        <v>4379</v>
      </c>
      <c r="C1939" s="9">
        <v>43234</v>
      </c>
      <c r="D1939" s="5" t="s">
        <v>16</v>
      </c>
      <c r="E1939" s="5" t="s">
        <v>1953</v>
      </c>
      <c r="F1939" s="6">
        <v>1950</v>
      </c>
    </row>
    <row r="1940" spans="1:6" x14ac:dyDescent="0.15">
      <c r="A1940" s="5" t="s">
        <v>41</v>
      </c>
      <c r="B1940" s="5" t="s">
        <v>1952</v>
      </c>
      <c r="C1940" s="9">
        <v>43234</v>
      </c>
      <c r="D1940" s="5" t="s">
        <v>16</v>
      </c>
      <c r="E1940" s="5" t="s">
        <v>1953</v>
      </c>
      <c r="F1940" s="6">
        <v>1067</v>
      </c>
    </row>
    <row r="1941" spans="1:6" x14ac:dyDescent="0.15">
      <c r="A1941" s="5" t="s">
        <v>43</v>
      </c>
      <c r="B1941" s="5" t="s">
        <v>5042</v>
      </c>
      <c r="C1941" s="9">
        <v>43224</v>
      </c>
      <c r="D1941" s="5" t="s">
        <v>16</v>
      </c>
      <c r="E1941" s="5" t="s">
        <v>5043</v>
      </c>
      <c r="F1941" s="6">
        <v>1600.5</v>
      </c>
    </row>
    <row r="1942" spans="1:6" x14ac:dyDescent="0.15">
      <c r="A1942" s="5" t="s">
        <v>35</v>
      </c>
      <c r="B1942" s="5" t="s">
        <v>3432</v>
      </c>
      <c r="C1942" s="9">
        <v>43224</v>
      </c>
      <c r="D1942" s="5" t="s">
        <v>16</v>
      </c>
      <c r="E1942" s="5" t="s">
        <v>3433</v>
      </c>
      <c r="F1942" s="6">
        <v>682.5</v>
      </c>
    </row>
    <row r="1943" spans="1:6" x14ac:dyDescent="0.15">
      <c r="A1943" s="5" t="s">
        <v>37</v>
      </c>
      <c r="B1943" s="5" t="s">
        <v>7168</v>
      </c>
      <c r="C1943" s="9">
        <v>43225</v>
      </c>
      <c r="D1943" s="5" t="s">
        <v>16</v>
      </c>
      <c r="E1943" s="5" t="s">
        <v>5877</v>
      </c>
      <c r="F1943" s="6">
        <v>2437.5</v>
      </c>
    </row>
    <row r="1944" spans="1:6" x14ac:dyDescent="0.15">
      <c r="A1944" s="5" t="s">
        <v>42</v>
      </c>
      <c r="B1944" s="5" t="s">
        <v>5876</v>
      </c>
      <c r="C1944" s="9">
        <v>43225</v>
      </c>
      <c r="D1944" s="5" t="s">
        <v>16</v>
      </c>
      <c r="E1944" s="5" t="s">
        <v>5877</v>
      </c>
      <c r="F1944" s="6">
        <v>2850</v>
      </c>
    </row>
    <row r="1945" spans="1:6" x14ac:dyDescent="0.15">
      <c r="A1945" s="5" t="s">
        <v>35</v>
      </c>
      <c r="B1945" s="5" t="s">
        <v>3434</v>
      </c>
      <c r="C1945" s="9">
        <v>43227</v>
      </c>
      <c r="D1945" s="5" t="s">
        <v>16</v>
      </c>
      <c r="E1945" s="5" t="s">
        <v>3435</v>
      </c>
      <c r="F1945" s="6">
        <v>2925</v>
      </c>
    </row>
    <row r="1946" spans="1:6" x14ac:dyDescent="0.15">
      <c r="A1946" s="5" t="s">
        <v>43</v>
      </c>
      <c r="B1946" s="5" t="s">
        <v>5044</v>
      </c>
      <c r="C1946" s="9">
        <v>43227</v>
      </c>
      <c r="D1946" s="5" t="s">
        <v>16</v>
      </c>
      <c r="E1946" s="5" t="s">
        <v>5045</v>
      </c>
      <c r="F1946" s="6">
        <v>582</v>
      </c>
    </row>
    <row r="1947" spans="1:6" x14ac:dyDescent="0.15">
      <c r="A1947" s="5" t="s">
        <v>37</v>
      </c>
      <c r="B1947" s="5" t="s">
        <v>7169</v>
      </c>
      <c r="C1947" s="9">
        <v>43227</v>
      </c>
      <c r="D1947" s="5" t="s">
        <v>16</v>
      </c>
      <c r="E1947" s="5" t="s">
        <v>5045</v>
      </c>
      <c r="F1947" s="6">
        <v>3510</v>
      </c>
    </row>
    <row r="1948" spans="1:6" x14ac:dyDescent="0.15">
      <c r="A1948" s="5" t="s">
        <v>43</v>
      </c>
      <c r="B1948" s="5" t="s">
        <v>5046</v>
      </c>
      <c r="C1948" s="9">
        <v>43227</v>
      </c>
      <c r="D1948" s="5" t="s">
        <v>16</v>
      </c>
      <c r="E1948" s="5" t="s">
        <v>5047</v>
      </c>
      <c r="F1948" s="6">
        <v>5820</v>
      </c>
    </row>
    <row r="1949" spans="1:6" x14ac:dyDescent="0.15">
      <c r="A1949" s="5" t="s">
        <v>35</v>
      </c>
      <c r="B1949" s="5" t="s">
        <v>3436</v>
      </c>
      <c r="C1949" s="9">
        <v>43228</v>
      </c>
      <c r="D1949" s="5" t="s">
        <v>16</v>
      </c>
      <c r="E1949" s="5" t="s">
        <v>3437</v>
      </c>
      <c r="F1949" s="6">
        <v>4775.5</v>
      </c>
    </row>
    <row r="1950" spans="1:6" x14ac:dyDescent="0.15">
      <c r="A1950" s="5" t="s">
        <v>53</v>
      </c>
      <c r="B1950" s="5" t="s">
        <v>8467</v>
      </c>
      <c r="C1950" s="9">
        <v>43228</v>
      </c>
      <c r="D1950" s="5" t="s">
        <v>16</v>
      </c>
      <c r="E1950" s="5" t="s">
        <v>3437</v>
      </c>
      <c r="F1950" s="6">
        <v>20572.5</v>
      </c>
    </row>
    <row r="1951" spans="1:6" x14ac:dyDescent="0.15">
      <c r="A1951" s="5" t="s">
        <v>43</v>
      </c>
      <c r="B1951" s="5" t="s">
        <v>5048</v>
      </c>
      <c r="C1951" s="9">
        <v>43227</v>
      </c>
      <c r="D1951" s="5" t="s">
        <v>16</v>
      </c>
      <c r="E1951" s="5" t="s">
        <v>5049</v>
      </c>
      <c r="F1951" s="6">
        <v>1940</v>
      </c>
    </row>
    <row r="1952" spans="1:6" x14ac:dyDescent="0.15">
      <c r="A1952" s="5" t="s">
        <v>44</v>
      </c>
      <c r="B1952" s="5" t="s">
        <v>4380</v>
      </c>
      <c r="C1952" s="9">
        <v>43235</v>
      </c>
      <c r="D1952" s="5" t="s">
        <v>16</v>
      </c>
      <c r="E1952" s="5" t="s">
        <v>4381</v>
      </c>
      <c r="F1952" s="6">
        <v>19500</v>
      </c>
    </row>
    <row r="1953" spans="1:6" x14ac:dyDescent="0.15">
      <c r="A1953" s="5" t="s">
        <v>37</v>
      </c>
      <c r="B1953" s="5" t="s">
        <v>7180</v>
      </c>
      <c r="C1953" s="9">
        <v>43235</v>
      </c>
      <c r="D1953" s="5" t="s">
        <v>16</v>
      </c>
      <c r="E1953" s="5" t="s">
        <v>4381</v>
      </c>
      <c r="F1953" s="6">
        <v>5850</v>
      </c>
    </row>
    <row r="1954" spans="1:6" x14ac:dyDescent="0.15">
      <c r="A1954" s="5" t="s">
        <v>40</v>
      </c>
      <c r="B1954" s="5" t="s">
        <v>2435</v>
      </c>
      <c r="C1954" s="9">
        <v>43229</v>
      </c>
      <c r="D1954" s="5" t="s">
        <v>16</v>
      </c>
      <c r="E1954" s="5" t="s">
        <v>2436</v>
      </c>
      <c r="F1954" s="6">
        <v>75</v>
      </c>
    </row>
    <row r="1955" spans="1:6" x14ac:dyDescent="0.15">
      <c r="A1955" s="5" t="s">
        <v>35</v>
      </c>
      <c r="B1955" s="5" t="s">
        <v>3438</v>
      </c>
      <c r="C1955" s="9">
        <v>43229</v>
      </c>
      <c r="D1955" s="5" t="s">
        <v>16</v>
      </c>
      <c r="E1955" s="5" t="s">
        <v>2436</v>
      </c>
      <c r="F1955" s="6">
        <v>97.5</v>
      </c>
    </row>
    <row r="1956" spans="1:6" x14ac:dyDescent="0.15">
      <c r="A1956" s="5" t="s">
        <v>43</v>
      </c>
      <c r="B1956" s="5" t="s">
        <v>5050</v>
      </c>
      <c r="C1956" s="9">
        <v>43229</v>
      </c>
      <c r="D1956" s="5" t="s">
        <v>16</v>
      </c>
      <c r="E1956" s="5" t="s">
        <v>5051</v>
      </c>
      <c r="F1956" s="6">
        <v>727.5</v>
      </c>
    </row>
    <row r="1957" spans="1:6" x14ac:dyDescent="0.15">
      <c r="A1957" s="5" t="s">
        <v>8588</v>
      </c>
      <c r="B1957" s="5" t="s">
        <v>8591</v>
      </c>
      <c r="C1957" s="9">
        <v>43241</v>
      </c>
      <c r="D1957" s="5" t="s">
        <v>16</v>
      </c>
      <c r="E1957" s="5" t="s">
        <v>8592</v>
      </c>
      <c r="F1957" s="6">
        <v>3900</v>
      </c>
    </row>
    <row r="1958" spans="1:6" x14ac:dyDescent="0.15">
      <c r="A1958" s="5" t="s">
        <v>66</v>
      </c>
      <c r="B1958" s="5" t="s">
        <v>5704</v>
      </c>
      <c r="C1958" s="9">
        <v>43241</v>
      </c>
      <c r="D1958" s="5" t="s">
        <v>16</v>
      </c>
      <c r="E1958" s="5" t="s">
        <v>5705</v>
      </c>
      <c r="F1958" s="6">
        <v>3880</v>
      </c>
    </row>
    <row r="1959" spans="1:6" x14ac:dyDescent="0.15">
      <c r="A1959" s="5" t="s">
        <v>8588</v>
      </c>
      <c r="B1959" s="5" t="s">
        <v>8593</v>
      </c>
      <c r="C1959" s="9">
        <v>43241</v>
      </c>
      <c r="D1959" s="5" t="s">
        <v>16</v>
      </c>
      <c r="E1959" s="5" t="s">
        <v>5705</v>
      </c>
      <c r="F1959" s="6">
        <v>3900</v>
      </c>
    </row>
    <row r="1960" spans="1:6" x14ac:dyDescent="0.15">
      <c r="A1960" s="5" t="s">
        <v>35</v>
      </c>
      <c r="B1960" s="5" t="s">
        <v>3439</v>
      </c>
      <c r="C1960" s="9">
        <v>43230</v>
      </c>
      <c r="D1960" s="5" t="s">
        <v>16</v>
      </c>
      <c r="E1960" s="5" t="s">
        <v>3440</v>
      </c>
      <c r="F1960" s="6">
        <v>390</v>
      </c>
    </row>
    <row r="1961" spans="1:6" x14ac:dyDescent="0.15">
      <c r="A1961" s="5" t="s">
        <v>37</v>
      </c>
      <c r="B1961" s="5" t="s">
        <v>7170</v>
      </c>
      <c r="C1961" s="9">
        <v>43231</v>
      </c>
      <c r="D1961" s="5" t="s">
        <v>16</v>
      </c>
      <c r="E1961" s="5" t="s">
        <v>7171</v>
      </c>
      <c r="F1961" s="6">
        <v>1267.5</v>
      </c>
    </row>
    <row r="1962" spans="1:6" x14ac:dyDescent="0.15">
      <c r="A1962" s="5" t="s">
        <v>43</v>
      </c>
      <c r="B1962" s="5" t="s">
        <v>5055</v>
      </c>
      <c r="C1962" s="9">
        <v>43234</v>
      </c>
      <c r="D1962" s="5" t="s">
        <v>16</v>
      </c>
      <c r="E1962" s="5" t="s">
        <v>5056</v>
      </c>
      <c r="F1962" s="6">
        <v>97</v>
      </c>
    </row>
    <row r="1963" spans="1:6" x14ac:dyDescent="0.15">
      <c r="A1963" s="5" t="s">
        <v>43</v>
      </c>
      <c r="B1963" s="5" t="s">
        <v>5057</v>
      </c>
      <c r="C1963" s="9">
        <v>43234</v>
      </c>
      <c r="D1963" s="5" t="s">
        <v>16</v>
      </c>
      <c r="E1963" s="5" t="s">
        <v>5058</v>
      </c>
      <c r="F1963" s="6">
        <v>-97</v>
      </c>
    </row>
    <row r="1964" spans="1:6" x14ac:dyDescent="0.15">
      <c r="A1964" s="5" t="s">
        <v>43</v>
      </c>
      <c r="B1964" s="5" t="s">
        <v>5059</v>
      </c>
      <c r="C1964" s="9">
        <v>43234</v>
      </c>
      <c r="D1964" s="5" t="s">
        <v>16</v>
      </c>
      <c r="E1964" s="5" t="s">
        <v>5060</v>
      </c>
      <c r="F1964" s="6">
        <v>97</v>
      </c>
    </row>
    <row r="1965" spans="1:6" x14ac:dyDescent="0.15">
      <c r="A1965" s="5" t="s">
        <v>37</v>
      </c>
      <c r="B1965" s="5" t="s">
        <v>7174</v>
      </c>
      <c r="C1965" s="9">
        <v>43234</v>
      </c>
      <c r="D1965" s="5" t="s">
        <v>16</v>
      </c>
      <c r="E1965" s="5" t="s">
        <v>7175</v>
      </c>
      <c r="F1965" s="6">
        <v>9750</v>
      </c>
    </row>
    <row r="1966" spans="1:6" x14ac:dyDescent="0.15">
      <c r="A1966" s="5" t="s">
        <v>43</v>
      </c>
      <c r="B1966" s="5" t="s">
        <v>5061</v>
      </c>
      <c r="C1966" s="9">
        <v>43234</v>
      </c>
      <c r="D1966" s="5" t="s">
        <v>16</v>
      </c>
      <c r="E1966" s="5" t="s">
        <v>5062</v>
      </c>
      <c r="F1966" s="6">
        <v>11640</v>
      </c>
    </row>
    <row r="1967" spans="1:6" x14ac:dyDescent="0.15">
      <c r="A1967" s="5" t="s">
        <v>37</v>
      </c>
      <c r="B1967" s="5" t="s">
        <v>7176</v>
      </c>
      <c r="C1967" s="9">
        <v>43234</v>
      </c>
      <c r="D1967" s="5" t="s">
        <v>16</v>
      </c>
      <c r="E1967" s="5" t="s">
        <v>7177</v>
      </c>
      <c r="F1967" s="6">
        <v>2242.5</v>
      </c>
    </row>
    <row r="1968" spans="1:6" x14ac:dyDescent="0.15">
      <c r="A1968" s="5" t="s">
        <v>37</v>
      </c>
      <c r="B1968" s="5" t="s">
        <v>7178</v>
      </c>
      <c r="C1968" s="9">
        <v>43234</v>
      </c>
      <c r="D1968" s="5" t="s">
        <v>16</v>
      </c>
      <c r="E1968" s="5" t="s">
        <v>7179</v>
      </c>
      <c r="F1968" s="6">
        <v>585</v>
      </c>
    </row>
    <row r="1969" spans="1:6" x14ac:dyDescent="0.15">
      <c r="A1969" s="5" t="s">
        <v>43</v>
      </c>
      <c r="B1969" s="5" t="s">
        <v>5067</v>
      </c>
      <c r="C1969" s="9">
        <v>43242</v>
      </c>
      <c r="D1969" s="5" t="s">
        <v>16</v>
      </c>
      <c r="E1969" s="5" t="s">
        <v>5068</v>
      </c>
      <c r="F1969" s="6">
        <v>9700</v>
      </c>
    </row>
    <row r="1970" spans="1:6" x14ac:dyDescent="0.15">
      <c r="A1970" s="5" t="s">
        <v>37</v>
      </c>
      <c r="B1970" s="5" t="s">
        <v>7201</v>
      </c>
      <c r="C1970" s="9">
        <v>43242</v>
      </c>
      <c r="D1970" s="5" t="s">
        <v>16</v>
      </c>
      <c r="E1970" s="5" t="s">
        <v>5068</v>
      </c>
      <c r="F1970" s="6">
        <v>13650</v>
      </c>
    </row>
    <row r="1971" spans="1:6" x14ac:dyDescent="0.15">
      <c r="A1971" s="5" t="s">
        <v>44</v>
      </c>
      <c r="B1971" s="5" t="s">
        <v>4382</v>
      </c>
      <c r="C1971" s="9">
        <v>43235</v>
      </c>
      <c r="D1971" s="5" t="s">
        <v>16</v>
      </c>
      <c r="E1971" s="5" t="s">
        <v>4383</v>
      </c>
      <c r="F1971" s="6">
        <v>-19500</v>
      </c>
    </row>
    <row r="1972" spans="1:6" x14ac:dyDescent="0.15">
      <c r="A1972" s="5" t="s">
        <v>37</v>
      </c>
      <c r="B1972" s="5" t="s">
        <v>7181</v>
      </c>
      <c r="C1972" s="9">
        <v>43235</v>
      </c>
      <c r="D1972" s="5" t="s">
        <v>16</v>
      </c>
      <c r="E1972" s="5" t="s">
        <v>4383</v>
      </c>
      <c r="F1972" s="6">
        <v>-5850</v>
      </c>
    </row>
    <row r="1973" spans="1:6" x14ac:dyDescent="0.15">
      <c r="A1973" s="5" t="s">
        <v>37</v>
      </c>
      <c r="B1973" s="5" t="s">
        <v>7182</v>
      </c>
      <c r="C1973" s="9">
        <v>43235</v>
      </c>
      <c r="D1973" s="5" t="s">
        <v>16</v>
      </c>
      <c r="E1973" s="5" t="s">
        <v>7183</v>
      </c>
      <c r="F1973" s="6">
        <v>1950</v>
      </c>
    </row>
    <row r="1974" spans="1:6" x14ac:dyDescent="0.15">
      <c r="A1974" s="5" t="s">
        <v>43</v>
      </c>
      <c r="B1974" s="5" t="s">
        <v>5065</v>
      </c>
      <c r="C1974" s="9">
        <v>43236</v>
      </c>
      <c r="D1974" s="5" t="s">
        <v>16</v>
      </c>
      <c r="E1974" s="5" t="s">
        <v>5066</v>
      </c>
      <c r="F1974" s="6">
        <v>970</v>
      </c>
    </row>
    <row r="1975" spans="1:6" x14ac:dyDescent="0.15">
      <c r="A1975" s="5" t="s">
        <v>37</v>
      </c>
      <c r="B1975" s="5" t="s">
        <v>7184</v>
      </c>
      <c r="C1975" s="9">
        <v>43235</v>
      </c>
      <c r="D1975" s="5" t="s">
        <v>16</v>
      </c>
      <c r="E1975" s="5" t="s">
        <v>7185</v>
      </c>
      <c r="F1975" s="6">
        <v>2925</v>
      </c>
    </row>
    <row r="1976" spans="1:6" x14ac:dyDescent="0.15">
      <c r="A1976" s="5" t="s">
        <v>43</v>
      </c>
      <c r="B1976" s="5" t="s">
        <v>5063</v>
      </c>
      <c r="C1976" s="9">
        <v>43235</v>
      </c>
      <c r="D1976" s="5" t="s">
        <v>16</v>
      </c>
      <c r="E1976" s="5" t="s">
        <v>5064</v>
      </c>
      <c r="F1976" s="6">
        <v>145.5</v>
      </c>
    </row>
    <row r="1977" spans="1:6" x14ac:dyDescent="0.15">
      <c r="A1977" s="5" t="s">
        <v>37</v>
      </c>
      <c r="B1977" s="5" t="s">
        <v>7186</v>
      </c>
      <c r="C1977" s="9">
        <v>43235</v>
      </c>
      <c r="D1977" s="5" t="s">
        <v>16</v>
      </c>
      <c r="E1977" s="5" t="s">
        <v>5064</v>
      </c>
      <c r="F1977" s="6">
        <v>2437.5</v>
      </c>
    </row>
    <row r="1978" spans="1:6" x14ac:dyDescent="0.15">
      <c r="A1978" s="5" t="s">
        <v>42</v>
      </c>
      <c r="B1978" s="5" t="s">
        <v>5878</v>
      </c>
      <c r="C1978" s="9">
        <v>43235</v>
      </c>
      <c r="D1978" s="5" t="s">
        <v>16</v>
      </c>
      <c r="E1978" s="5" t="s">
        <v>5879</v>
      </c>
      <c r="F1978" s="6">
        <v>300</v>
      </c>
    </row>
    <row r="1979" spans="1:6" x14ac:dyDescent="0.15">
      <c r="A1979" s="5" t="s">
        <v>37</v>
      </c>
      <c r="B1979" s="5" t="s">
        <v>7187</v>
      </c>
      <c r="C1979" s="9">
        <v>43235</v>
      </c>
      <c r="D1979" s="5" t="s">
        <v>16</v>
      </c>
      <c r="E1979" s="5" t="s">
        <v>5879</v>
      </c>
      <c r="F1979" s="6">
        <v>2535</v>
      </c>
    </row>
    <row r="1980" spans="1:6" x14ac:dyDescent="0.15">
      <c r="A1980" s="5" t="s">
        <v>37</v>
      </c>
      <c r="B1980" s="5" t="s">
        <v>7188</v>
      </c>
      <c r="C1980" s="9">
        <v>43235</v>
      </c>
      <c r="D1980" s="5" t="s">
        <v>16</v>
      </c>
      <c r="E1980" s="5" t="s">
        <v>7189</v>
      </c>
      <c r="F1980" s="6">
        <v>1950</v>
      </c>
    </row>
    <row r="1981" spans="1:6" x14ac:dyDescent="0.15">
      <c r="A1981" s="5" t="s">
        <v>37</v>
      </c>
      <c r="B1981" s="5" t="s">
        <v>7190</v>
      </c>
      <c r="C1981" s="9">
        <v>43236</v>
      </c>
      <c r="D1981" s="5" t="s">
        <v>16</v>
      </c>
      <c r="E1981" s="5" t="s">
        <v>3442</v>
      </c>
      <c r="F1981" s="6">
        <v>8775</v>
      </c>
    </row>
    <row r="1982" spans="1:6" x14ac:dyDescent="0.15">
      <c r="A1982" s="5" t="s">
        <v>35</v>
      </c>
      <c r="B1982" s="5" t="s">
        <v>3441</v>
      </c>
      <c r="C1982" s="9">
        <v>43236</v>
      </c>
      <c r="D1982" s="5" t="s">
        <v>16</v>
      </c>
      <c r="E1982" s="5" t="s">
        <v>3442</v>
      </c>
      <c r="F1982" s="6">
        <v>2925</v>
      </c>
    </row>
    <row r="1983" spans="1:6" x14ac:dyDescent="0.15">
      <c r="A1983" s="5" t="s">
        <v>35</v>
      </c>
      <c r="B1983" s="5" t="s">
        <v>3443</v>
      </c>
      <c r="C1983" s="9">
        <v>43243</v>
      </c>
      <c r="D1983" s="5" t="s">
        <v>16</v>
      </c>
      <c r="E1983" s="5" t="s">
        <v>3444</v>
      </c>
      <c r="F1983" s="6">
        <v>17160</v>
      </c>
    </row>
    <row r="1984" spans="1:6" x14ac:dyDescent="0.15">
      <c r="A1984" s="5" t="s">
        <v>53</v>
      </c>
      <c r="B1984" s="5" t="s">
        <v>8470</v>
      </c>
      <c r="C1984" s="9">
        <v>43243</v>
      </c>
      <c r="D1984" s="5" t="s">
        <v>16</v>
      </c>
      <c r="E1984" s="5" t="s">
        <v>3444</v>
      </c>
      <c r="F1984" s="6">
        <v>10725</v>
      </c>
    </row>
    <row r="1985" spans="1:6" x14ac:dyDescent="0.15">
      <c r="A1985" s="5" t="s">
        <v>53</v>
      </c>
      <c r="B1985" s="5" t="s">
        <v>8468</v>
      </c>
      <c r="C1985" s="9">
        <v>43241</v>
      </c>
      <c r="D1985" s="5" t="s">
        <v>16</v>
      </c>
      <c r="E1985" s="5" t="s">
        <v>8469</v>
      </c>
      <c r="F1985" s="6">
        <v>28080</v>
      </c>
    </row>
    <row r="1986" spans="1:6" x14ac:dyDescent="0.15">
      <c r="A1986" s="5" t="s">
        <v>37</v>
      </c>
      <c r="B1986" s="5" t="s">
        <v>7191</v>
      </c>
      <c r="C1986" s="9">
        <v>43236</v>
      </c>
      <c r="D1986" s="5" t="s">
        <v>16</v>
      </c>
      <c r="E1986" s="5" t="s">
        <v>7192</v>
      </c>
      <c r="F1986" s="6">
        <v>1950</v>
      </c>
    </row>
    <row r="1987" spans="1:6" x14ac:dyDescent="0.15">
      <c r="A1987" s="5" t="s">
        <v>63</v>
      </c>
      <c r="B1987" s="5" t="s">
        <v>2271</v>
      </c>
      <c r="C1987" s="9">
        <v>43237</v>
      </c>
      <c r="D1987" s="5" t="s">
        <v>16</v>
      </c>
      <c r="E1987" s="5" t="s">
        <v>2272</v>
      </c>
      <c r="F1987" s="6">
        <v>1261</v>
      </c>
    </row>
    <row r="1988" spans="1:6" x14ac:dyDescent="0.15">
      <c r="A1988" s="5" t="s">
        <v>51</v>
      </c>
      <c r="B1988" s="5" t="s">
        <v>4229</v>
      </c>
      <c r="C1988" s="9">
        <v>43237</v>
      </c>
      <c r="D1988" s="5" t="s">
        <v>16</v>
      </c>
      <c r="E1988" s="5" t="s">
        <v>2272</v>
      </c>
      <c r="F1988" s="6">
        <v>682.5</v>
      </c>
    </row>
    <row r="1989" spans="1:6" x14ac:dyDescent="0.15">
      <c r="A1989" s="5" t="s">
        <v>37</v>
      </c>
      <c r="B1989" s="5" t="s">
        <v>7193</v>
      </c>
      <c r="C1989" s="9">
        <v>43237</v>
      </c>
      <c r="D1989" s="5" t="s">
        <v>16</v>
      </c>
      <c r="E1989" s="5" t="s">
        <v>7194</v>
      </c>
      <c r="F1989" s="6">
        <v>195</v>
      </c>
    </row>
    <row r="1990" spans="1:6" x14ac:dyDescent="0.15">
      <c r="A1990" s="5" t="s">
        <v>37</v>
      </c>
      <c r="B1990" s="5" t="s">
        <v>7199</v>
      </c>
      <c r="C1990" s="9">
        <v>43239</v>
      </c>
      <c r="D1990" s="5" t="s">
        <v>16</v>
      </c>
      <c r="E1990" s="5" t="s">
        <v>7200</v>
      </c>
      <c r="F1990" s="6">
        <v>50017.5</v>
      </c>
    </row>
    <row r="1991" spans="1:6" x14ac:dyDescent="0.15">
      <c r="A1991" s="5" t="s">
        <v>174</v>
      </c>
      <c r="B1991" s="5" t="s">
        <v>2657</v>
      </c>
      <c r="C1991" s="9">
        <v>43239</v>
      </c>
      <c r="D1991" s="5" t="s">
        <v>16</v>
      </c>
      <c r="E1991" s="5" t="s">
        <v>2658</v>
      </c>
      <c r="F1991" s="6">
        <v>150</v>
      </c>
    </row>
    <row r="1992" spans="1:6" x14ac:dyDescent="0.15">
      <c r="A1992" s="5" t="s">
        <v>51</v>
      </c>
      <c r="B1992" s="5" t="s">
        <v>4230</v>
      </c>
      <c r="C1992" s="9">
        <v>43239</v>
      </c>
      <c r="D1992" s="5" t="s">
        <v>16</v>
      </c>
      <c r="E1992" s="5" t="s">
        <v>2658</v>
      </c>
      <c r="F1992" s="6">
        <v>450</v>
      </c>
    </row>
    <row r="1993" spans="1:6" x14ac:dyDescent="0.15">
      <c r="A1993" s="5" t="s">
        <v>37</v>
      </c>
      <c r="B1993" s="5" t="s">
        <v>7195</v>
      </c>
      <c r="C1993" s="9">
        <v>43238</v>
      </c>
      <c r="D1993" s="5" t="s">
        <v>16</v>
      </c>
      <c r="E1993" s="5" t="s">
        <v>7196</v>
      </c>
      <c r="F1993" s="6">
        <v>292.5</v>
      </c>
    </row>
    <row r="1994" spans="1:6" x14ac:dyDescent="0.15">
      <c r="A1994" s="5" t="s">
        <v>37</v>
      </c>
      <c r="B1994" s="5" t="s">
        <v>7197</v>
      </c>
      <c r="C1994" s="9">
        <v>43238</v>
      </c>
      <c r="D1994" s="5" t="s">
        <v>16</v>
      </c>
      <c r="E1994" s="5" t="s">
        <v>7198</v>
      </c>
      <c r="F1994" s="6">
        <v>975</v>
      </c>
    </row>
    <row r="1995" spans="1:6" x14ac:dyDescent="0.15">
      <c r="A1995" s="5" t="s">
        <v>41</v>
      </c>
      <c r="B1995" s="5" t="s">
        <v>1954</v>
      </c>
      <c r="C1995" s="9">
        <v>43242</v>
      </c>
      <c r="D1995" s="5" t="s">
        <v>16</v>
      </c>
      <c r="E1995" s="5" t="s">
        <v>1955</v>
      </c>
      <c r="F1995" s="6">
        <v>921.5</v>
      </c>
    </row>
    <row r="1996" spans="1:6" x14ac:dyDescent="0.15">
      <c r="A1996" s="5" t="s">
        <v>46</v>
      </c>
      <c r="B1996" s="5" t="s">
        <v>2198</v>
      </c>
      <c r="C1996" s="9">
        <v>43248</v>
      </c>
      <c r="D1996" s="5" t="s">
        <v>16</v>
      </c>
      <c r="E1996" s="5" t="s">
        <v>2199</v>
      </c>
      <c r="F1996" s="6">
        <v>1940</v>
      </c>
    </row>
    <row r="1997" spans="1:6" x14ac:dyDescent="0.15">
      <c r="A1997" s="5" t="s">
        <v>35</v>
      </c>
      <c r="B1997" s="5" t="s">
        <v>3445</v>
      </c>
      <c r="C1997" s="9">
        <v>43244</v>
      </c>
      <c r="D1997" s="5" t="s">
        <v>16</v>
      </c>
      <c r="E1997" s="5" t="s">
        <v>3446</v>
      </c>
      <c r="F1997" s="6">
        <v>2535</v>
      </c>
    </row>
    <row r="1998" spans="1:6" x14ac:dyDescent="0.15">
      <c r="A1998" s="5" t="s">
        <v>37</v>
      </c>
      <c r="B1998" s="5" t="s">
        <v>7202</v>
      </c>
      <c r="C1998" s="9">
        <v>43243</v>
      </c>
      <c r="D1998" s="5" t="s">
        <v>16</v>
      </c>
      <c r="E1998" s="5" t="s">
        <v>7203</v>
      </c>
      <c r="F1998" s="6">
        <v>2925</v>
      </c>
    </row>
    <row r="1999" spans="1:6" x14ac:dyDescent="0.15">
      <c r="A1999" s="5" t="s">
        <v>37</v>
      </c>
      <c r="B1999" s="5" t="s">
        <v>7204</v>
      </c>
      <c r="C1999" s="9">
        <v>43243</v>
      </c>
      <c r="D1999" s="5" t="s">
        <v>16</v>
      </c>
      <c r="E1999" s="5" t="s">
        <v>7205</v>
      </c>
      <c r="F1999" s="6">
        <v>3900</v>
      </c>
    </row>
    <row r="2000" spans="1:6" x14ac:dyDescent="0.15">
      <c r="A2000" s="5" t="s">
        <v>43</v>
      </c>
      <c r="B2000" s="5" t="s">
        <v>5069</v>
      </c>
      <c r="C2000" s="9">
        <v>43244</v>
      </c>
      <c r="D2000" s="5" t="s">
        <v>16</v>
      </c>
      <c r="E2000" s="5" t="s">
        <v>5070</v>
      </c>
      <c r="F2000" s="6">
        <v>6305</v>
      </c>
    </row>
    <row r="2001" spans="1:6" x14ac:dyDescent="0.15">
      <c r="A2001" s="5" t="s">
        <v>44</v>
      </c>
      <c r="B2001" s="5" t="s">
        <v>4391</v>
      </c>
      <c r="C2001" s="9">
        <v>43286</v>
      </c>
      <c r="D2001" s="5" t="s">
        <v>16</v>
      </c>
      <c r="E2001" s="5" t="s">
        <v>4392</v>
      </c>
      <c r="F2001" s="6">
        <v>25350</v>
      </c>
    </row>
    <row r="2002" spans="1:6" x14ac:dyDescent="0.15">
      <c r="A2002" s="5" t="s">
        <v>44</v>
      </c>
      <c r="B2002" s="5" t="s">
        <v>4389</v>
      </c>
      <c r="C2002" s="9">
        <v>43276</v>
      </c>
      <c r="D2002" s="5" t="s">
        <v>16</v>
      </c>
      <c r="E2002" s="5" t="s">
        <v>4390</v>
      </c>
      <c r="F2002" s="6">
        <v>25350</v>
      </c>
    </row>
    <row r="2003" spans="1:6" x14ac:dyDescent="0.15">
      <c r="A2003" s="5" t="s">
        <v>44</v>
      </c>
      <c r="B2003" s="5" t="s">
        <v>4386</v>
      </c>
      <c r="C2003" s="9">
        <v>43269</v>
      </c>
      <c r="D2003" s="5" t="s">
        <v>16</v>
      </c>
      <c r="E2003" s="5" t="s">
        <v>4387</v>
      </c>
      <c r="F2003" s="6">
        <v>25350</v>
      </c>
    </row>
    <row r="2004" spans="1:6" x14ac:dyDescent="0.15">
      <c r="A2004" s="5" t="s">
        <v>44</v>
      </c>
      <c r="B2004" s="5" t="s">
        <v>4384</v>
      </c>
      <c r="C2004" s="9">
        <v>43257</v>
      </c>
      <c r="D2004" s="5" t="s">
        <v>16</v>
      </c>
      <c r="E2004" s="5" t="s">
        <v>4385</v>
      </c>
      <c r="F2004" s="6">
        <v>25350</v>
      </c>
    </row>
    <row r="2005" spans="1:6" x14ac:dyDescent="0.15">
      <c r="A2005" s="5" t="s">
        <v>35</v>
      </c>
      <c r="B2005" s="5" t="s">
        <v>3447</v>
      </c>
      <c r="C2005" s="9">
        <v>43245</v>
      </c>
      <c r="D2005" s="5" t="s">
        <v>16</v>
      </c>
      <c r="E2005" s="5" t="s">
        <v>3448</v>
      </c>
      <c r="F2005" s="6">
        <v>682.5</v>
      </c>
    </row>
    <row r="2006" spans="1:6" x14ac:dyDescent="0.15">
      <c r="A2006" s="5" t="s">
        <v>57</v>
      </c>
      <c r="B2006" s="5" t="s">
        <v>5590</v>
      </c>
      <c r="C2006" s="9">
        <v>43245</v>
      </c>
      <c r="D2006" s="5" t="s">
        <v>16</v>
      </c>
      <c r="E2006" s="5" t="s">
        <v>5591</v>
      </c>
      <c r="F2006" s="6">
        <v>1115.5</v>
      </c>
    </row>
    <row r="2007" spans="1:6" x14ac:dyDescent="0.15">
      <c r="A2007" s="5" t="s">
        <v>43</v>
      </c>
      <c r="B2007" s="5" t="s">
        <v>5071</v>
      </c>
      <c r="C2007" s="9">
        <v>43245</v>
      </c>
      <c r="D2007" s="5" t="s">
        <v>16</v>
      </c>
      <c r="E2007" s="5" t="s">
        <v>5072</v>
      </c>
      <c r="F2007" s="6">
        <v>485</v>
      </c>
    </row>
    <row r="2008" spans="1:6" x14ac:dyDescent="0.15">
      <c r="A2008" s="5" t="s">
        <v>37</v>
      </c>
      <c r="B2008" s="5" t="s">
        <v>7206</v>
      </c>
      <c r="C2008" s="9">
        <v>43245</v>
      </c>
      <c r="D2008" s="5" t="s">
        <v>16</v>
      </c>
      <c r="E2008" s="5" t="s">
        <v>5072</v>
      </c>
      <c r="F2008" s="6">
        <v>975</v>
      </c>
    </row>
    <row r="2009" spans="1:6" x14ac:dyDescent="0.15">
      <c r="A2009" s="5" t="s">
        <v>37</v>
      </c>
      <c r="B2009" s="5" t="s">
        <v>7207</v>
      </c>
      <c r="C2009" s="9">
        <v>43248</v>
      </c>
      <c r="D2009" s="5" t="s">
        <v>16</v>
      </c>
      <c r="E2009" s="5" t="s">
        <v>7208</v>
      </c>
      <c r="F2009" s="6">
        <v>2437.5</v>
      </c>
    </row>
    <row r="2010" spans="1:6" x14ac:dyDescent="0.15">
      <c r="A2010" s="5" t="s">
        <v>148</v>
      </c>
      <c r="B2010" s="5" t="s">
        <v>5657</v>
      </c>
      <c r="C2010" s="9">
        <v>43257</v>
      </c>
      <c r="D2010" s="5" t="s">
        <v>16</v>
      </c>
      <c r="E2010" s="5" t="s">
        <v>5658</v>
      </c>
      <c r="F2010" s="6">
        <v>18915</v>
      </c>
    </row>
    <row r="2011" spans="1:6" x14ac:dyDescent="0.15">
      <c r="A2011" s="5" t="s">
        <v>148</v>
      </c>
      <c r="B2011" s="5" t="s">
        <v>5659</v>
      </c>
      <c r="C2011" s="9">
        <v>43257</v>
      </c>
      <c r="D2011" s="5" t="s">
        <v>16</v>
      </c>
      <c r="E2011" s="5" t="s">
        <v>5660</v>
      </c>
      <c r="F2011" s="6">
        <v>970</v>
      </c>
    </row>
    <row r="2012" spans="1:6" x14ac:dyDescent="0.15">
      <c r="A2012" s="5" t="s">
        <v>58</v>
      </c>
      <c r="B2012" s="5" t="s">
        <v>6183</v>
      </c>
      <c r="C2012" s="9">
        <v>43257</v>
      </c>
      <c r="D2012" s="5" t="s">
        <v>16</v>
      </c>
      <c r="E2012" s="5" t="s">
        <v>5660</v>
      </c>
      <c r="F2012" s="6">
        <v>12750</v>
      </c>
    </row>
    <row r="2013" spans="1:6" x14ac:dyDescent="0.15">
      <c r="A2013" s="5" t="s">
        <v>37</v>
      </c>
      <c r="B2013" s="5" t="s">
        <v>7209</v>
      </c>
      <c r="C2013" s="9">
        <v>43248</v>
      </c>
      <c r="D2013" s="5" t="s">
        <v>16</v>
      </c>
      <c r="E2013" s="5" t="s">
        <v>7210</v>
      </c>
      <c r="F2013" s="6">
        <v>-2437.5</v>
      </c>
    </row>
    <row r="2014" spans="1:6" x14ac:dyDescent="0.15">
      <c r="A2014" s="5" t="s">
        <v>43</v>
      </c>
      <c r="B2014" s="5" t="s">
        <v>5073</v>
      </c>
      <c r="C2014" s="9">
        <v>43248</v>
      </c>
      <c r="D2014" s="5" t="s">
        <v>16</v>
      </c>
      <c r="E2014" s="5" t="s">
        <v>5074</v>
      </c>
      <c r="F2014" s="6">
        <v>2473.5</v>
      </c>
    </row>
    <row r="2015" spans="1:6" x14ac:dyDescent="0.15">
      <c r="A2015" s="5" t="s">
        <v>35</v>
      </c>
      <c r="B2015" s="5" t="s">
        <v>3457</v>
      </c>
      <c r="C2015" s="9">
        <v>43255</v>
      </c>
      <c r="D2015" s="5" t="s">
        <v>16</v>
      </c>
      <c r="E2015" s="5" t="s">
        <v>3458</v>
      </c>
      <c r="F2015" s="6">
        <v>11700</v>
      </c>
    </row>
    <row r="2016" spans="1:6" x14ac:dyDescent="0.15">
      <c r="A2016" s="5" t="s">
        <v>37</v>
      </c>
      <c r="B2016" s="5" t="s">
        <v>7212</v>
      </c>
      <c r="C2016" s="9">
        <v>43255</v>
      </c>
      <c r="D2016" s="5" t="s">
        <v>16</v>
      </c>
      <c r="E2016" s="5" t="s">
        <v>3458</v>
      </c>
      <c r="F2016" s="6">
        <v>11700</v>
      </c>
    </row>
    <row r="2017" spans="1:6" x14ac:dyDescent="0.15">
      <c r="A2017" s="5" t="s">
        <v>43</v>
      </c>
      <c r="B2017" s="5" t="s">
        <v>5079</v>
      </c>
      <c r="C2017" s="9">
        <v>43255</v>
      </c>
      <c r="D2017" s="5" t="s">
        <v>16</v>
      </c>
      <c r="E2017" s="5" t="s">
        <v>3458</v>
      </c>
      <c r="F2017" s="6">
        <v>1067</v>
      </c>
    </row>
    <row r="2018" spans="1:6" x14ac:dyDescent="0.15">
      <c r="A2018" s="5" t="s">
        <v>43</v>
      </c>
      <c r="B2018" s="5" t="s">
        <v>5075</v>
      </c>
      <c r="C2018" s="9">
        <v>43248</v>
      </c>
      <c r="D2018" s="5" t="s">
        <v>16</v>
      </c>
      <c r="E2018" s="5" t="s">
        <v>5076</v>
      </c>
      <c r="F2018" s="6">
        <v>2425</v>
      </c>
    </row>
    <row r="2019" spans="1:6" x14ac:dyDescent="0.15">
      <c r="A2019" s="5" t="s">
        <v>43</v>
      </c>
      <c r="B2019" s="5" t="s">
        <v>5077</v>
      </c>
      <c r="C2019" s="9">
        <v>43248</v>
      </c>
      <c r="D2019" s="5" t="s">
        <v>16</v>
      </c>
      <c r="E2019" s="5" t="s">
        <v>5078</v>
      </c>
      <c r="F2019" s="6">
        <v>5480.5</v>
      </c>
    </row>
    <row r="2020" spans="1:6" x14ac:dyDescent="0.15">
      <c r="A2020" s="5" t="s">
        <v>37</v>
      </c>
      <c r="B2020" s="5" t="s">
        <v>7211</v>
      </c>
      <c r="C2020" s="9">
        <v>43248</v>
      </c>
      <c r="D2020" s="5" t="s">
        <v>16</v>
      </c>
      <c r="E2020" s="5" t="s">
        <v>3450</v>
      </c>
      <c r="F2020" s="6">
        <v>12090</v>
      </c>
    </row>
    <row r="2021" spans="1:6" x14ac:dyDescent="0.15">
      <c r="A2021" s="5" t="s">
        <v>35</v>
      </c>
      <c r="B2021" s="5" t="s">
        <v>3449</v>
      </c>
      <c r="C2021" s="9">
        <v>43248</v>
      </c>
      <c r="D2021" s="5" t="s">
        <v>16</v>
      </c>
      <c r="E2021" s="5" t="s">
        <v>3450</v>
      </c>
      <c r="F2021" s="6">
        <v>780</v>
      </c>
    </row>
    <row r="2022" spans="1:6" x14ac:dyDescent="0.15">
      <c r="A2022" s="5" t="s">
        <v>35</v>
      </c>
      <c r="B2022" s="5" t="s">
        <v>3451</v>
      </c>
      <c r="C2022" s="9">
        <v>43248</v>
      </c>
      <c r="D2022" s="5" t="s">
        <v>16</v>
      </c>
      <c r="E2022" s="5" t="s">
        <v>3452</v>
      </c>
      <c r="F2022" s="6">
        <v>2925</v>
      </c>
    </row>
    <row r="2023" spans="1:6" x14ac:dyDescent="0.15">
      <c r="A2023" s="5" t="s">
        <v>35</v>
      </c>
      <c r="B2023" s="5" t="s">
        <v>3453</v>
      </c>
      <c r="C2023" s="9">
        <v>43248</v>
      </c>
      <c r="D2023" s="5" t="s">
        <v>16</v>
      </c>
      <c r="E2023" s="5" t="s">
        <v>3454</v>
      </c>
      <c r="F2023" s="6">
        <v>3412.5</v>
      </c>
    </row>
    <row r="2024" spans="1:6" x14ac:dyDescent="0.15">
      <c r="A2024" s="5" t="s">
        <v>174</v>
      </c>
      <c r="B2024" s="5" t="s">
        <v>2659</v>
      </c>
      <c r="C2024" s="9">
        <v>43248</v>
      </c>
      <c r="D2024" s="5" t="s">
        <v>16</v>
      </c>
      <c r="E2024" s="5" t="s">
        <v>2660</v>
      </c>
      <c r="F2024" s="6">
        <v>1875</v>
      </c>
    </row>
    <row r="2025" spans="1:6" x14ac:dyDescent="0.15">
      <c r="A2025" s="5" t="s">
        <v>35</v>
      </c>
      <c r="B2025" s="5" t="s">
        <v>3455</v>
      </c>
      <c r="C2025" s="9">
        <v>43248</v>
      </c>
      <c r="D2025" s="5" t="s">
        <v>16</v>
      </c>
      <c r="E2025" s="5" t="s">
        <v>3456</v>
      </c>
      <c r="F2025" s="6">
        <v>5070</v>
      </c>
    </row>
    <row r="2026" spans="1:6" x14ac:dyDescent="0.15">
      <c r="A2026" s="5" t="s">
        <v>37</v>
      </c>
      <c r="B2026" s="5" t="s">
        <v>7217</v>
      </c>
      <c r="C2026" s="9">
        <v>43256</v>
      </c>
      <c r="D2026" s="5" t="s">
        <v>16</v>
      </c>
      <c r="E2026" s="5" t="s">
        <v>3464</v>
      </c>
      <c r="F2026" s="6">
        <v>21450</v>
      </c>
    </row>
    <row r="2027" spans="1:6" x14ac:dyDescent="0.15">
      <c r="A2027" s="5" t="s">
        <v>35</v>
      </c>
      <c r="B2027" s="5" t="s">
        <v>3463</v>
      </c>
      <c r="C2027" s="9">
        <v>43256</v>
      </c>
      <c r="D2027" s="5" t="s">
        <v>16</v>
      </c>
      <c r="E2027" s="5" t="s">
        <v>3464</v>
      </c>
      <c r="F2027" s="6">
        <v>6435</v>
      </c>
    </row>
    <row r="2028" spans="1:6" x14ac:dyDescent="0.15">
      <c r="A2028" s="5" t="s">
        <v>37</v>
      </c>
      <c r="B2028" s="5" t="s">
        <v>7213</v>
      </c>
      <c r="C2028" s="9">
        <v>43255</v>
      </c>
      <c r="D2028" s="5" t="s">
        <v>16</v>
      </c>
      <c r="E2028" s="5" t="s">
        <v>7214</v>
      </c>
      <c r="F2028" s="6">
        <v>2827.5</v>
      </c>
    </row>
    <row r="2029" spans="1:6" x14ac:dyDescent="0.15">
      <c r="A2029" s="5" t="s">
        <v>37</v>
      </c>
      <c r="B2029" s="5" t="s">
        <v>7215</v>
      </c>
      <c r="C2029" s="9">
        <v>43255</v>
      </c>
      <c r="D2029" s="5" t="s">
        <v>16</v>
      </c>
      <c r="E2029" s="5" t="s">
        <v>7216</v>
      </c>
      <c r="F2029" s="6">
        <v>4387.5</v>
      </c>
    </row>
    <row r="2030" spans="1:6" x14ac:dyDescent="0.15">
      <c r="A2030" s="5" t="s">
        <v>35</v>
      </c>
      <c r="B2030" s="5" t="s">
        <v>3459</v>
      </c>
      <c r="C2030" s="9">
        <v>43255</v>
      </c>
      <c r="D2030" s="5" t="s">
        <v>16</v>
      </c>
      <c r="E2030" s="5" t="s">
        <v>3460</v>
      </c>
      <c r="F2030" s="6">
        <v>1950</v>
      </c>
    </row>
    <row r="2031" spans="1:6" x14ac:dyDescent="0.15">
      <c r="A2031" s="5" t="s">
        <v>35</v>
      </c>
      <c r="B2031" s="5" t="s">
        <v>3461</v>
      </c>
      <c r="C2031" s="9">
        <v>43255</v>
      </c>
      <c r="D2031" s="5" t="s">
        <v>16</v>
      </c>
      <c r="E2031" s="5" t="s">
        <v>3462</v>
      </c>
      <c r="F2031" s="6">
        <v>2535</v>
      </c>
    </row>
    <row r="2032" spans="1:6" x14ac:dyDescent="0.15">
      <c r="A2032" s="5" t="s">
        <v>66</v>
      </c>
      <c r="B2032" s="5" t="s">
        <v>5706</v>
      </c>
      <c r="C2032" s="9">
        <v>43262</v>
      </c>
      <c r="D2032" s="5" t="s">
        <v>16</v>
      </c>
      <c r="E2032" s="5" t="s">
        <v>5707</v>
      </c>
      <c r="F2032" s="6">
        <v>1940</v>
      </c>
    </row>
    <row r="2033" spans="1:6" x14ac:dyDescent="0.15">
      <c r="A2033" s="5" t="s">
        <v>8588</v>
      </c>
      <c r="B2033" s="5" t="s">
        <v>8594</v>
      </c>
      <c r="C2033" s="9">
        <v>43262</v>
      </c>
      <c r="D2033" s="5" t="s">
        <v>16</v>
      </c>
      <c r="E2033" s="5" t="s">
        <v>5707</v>
      </c>
      <c r="F2033" s="6">
        <v>7800</v>
      </c>
    </row>
    <row r="2034" spans="1:6" x14ac:dyDescent="0.15">
      <c r="A2034" s="5" t="s">
        <v>43</v>
      </c>
      <c r="B2034" s="5" t="s">
        <v>5080</v>
      </c>
      <c r="C2034" s="9">
        <v>43259</v>
      </c>
      <c r="D2034" s="5" t="s">
        <v>16</v>
      </c>
      <c r="E2034" s="5" t="s">
        <v>5081</v>
      </c>
      <c r="F2034" s="6">
        <v>1940</v>
      </c>
    </row>
    <row r="2035" spans="1:6" x14ac:dyDescent="0.15">
      <c r="A2035" s="5" t="s">
        <v>35</v>
      </c>
      <c r="B2035" s="5" t="s">
        <v>3465</v>
      </c>
      <c r="C2035" s="9">
        <v>43256</v>
      </c>
      <c r="D2035" s="5" t="s">
        <v>16</v>
      </c>
      <c r="E2035" s="5" t="s">
        <v>3466</v>
      </c>
      <c r="F2035" s="6">
        <v>390</v>
      </c>
    </row>
    <row r="2036" spans="1:6" x14ac:dyDescent="0.15">
      <c r="A2036" s="5" t="s">
        <v>63</v>
      </c>
      <c r="B2036" s="5" t="s">
        <v>2273</v>
      </c>
      <c r="C2036" s="9">
        <v>43256</v>
      </c>
      <c r="D2036" s="5" t="s">
        <v>16</v>
      </c>
      <c r="E2036" s="5" t="s">
        <v>2274</v>
      </c>
      <c r="F2036" s="6">
        <v>970</v>
      </c>
    </row>
    <row r="2037" spans="1:6" x14ac:dyDescent="0.15">
      <c r="A2037" s="5" t="s">
        <v>35</v>
      </c>
      <c r="B2037" s="5" t="s">
        <v>3467</v>
      </c>
      <c r="C2037" s="9">
        <v>43256</v>
      </c>
      <c r="D2037" s="5" t="s">
        <v>16</v>
      </c>
      <c r="E2037" s="5" t="s">
        <v>3468</v>
      </c>
      <c r="F2037" s="6">
        <v>292.5</v>
      </c>
    </row>
    <row r="2038" spans="1:6" x14ac:dyDescent="0.15">
      <c r="A2038" s="5" t="s">
        <v>35</v>
      </c>
      <c r="B2038" s="5" t="s">
        <v>3469</v>
      </c>
      <c r="C2038" s="9">
        <v>43257</v>
      </c>
      <c r="D2038" s="5" t="s">
        <v>16</v>
      </c>
      <c r="E2038" s="5" t="s">
        <v>1957</v>
      </c>
      <c r="F2038" s="6">
        <v>2340</v>
      </c>
    </row>
    <row r="2039" spans="1:6" x14ac:dyDescent="0.15">
      <c r="A2039" s="5" t="s">
        <v>40</v>
      </c>
      <c r="B2039" s="5" t="s">
        <v>2437</v>
      </c>
      <c r="C2039" s="9">
        <v>43257</v>
      </c>
      <c r="D2039" s="5" t="s">
        <v>16</v>
      </c>
      <c r="E2039" s="5" t="s">
        <v>1957</v>
      </c>
      <c r="F2039" s="6">
        <v>1200</v>
      </c>
    </row>
    <row r="2040" spans="1:6" x14ac:dyDescent="0.15">
      <c r="A2040" s="5" t="s">
        <v>41</v>
      </c>
      <c r="B2040" s="5" t="s">
        <v>1956</v>
      </c>
      <c r="C2040" s="9">
        <v>43257</v>
      </c>
      <c r="D2040" s="5" t="s">
        <v>16</v>
      </c>
      <c r="E2040" s="5" t="s">
        <v>1957</v>
      </c>
      <c r="F2040" s="6">
        <v>48.5</v>
      </c>
    </row>
    <row r="2041" spans="1:6" x14ac:dyDescent="0.15">
      <c r="A2041" s="5" t="s">
        <v>158</v>
      </c>
      <c r="B2041" s="5" t="s">
        <v>8559</v>
      </c>
      <c r="C2041" s="9">
        <v>43266</v>
      </c>
      <c r="D2041" s="5" t="s">
        <v>16</v>
      </c>
      <c r="E2041" s="5" t="s">
        <v>8560</v>
      </c>
      <c r="F2041" s="6">
        <v>9594</v>
      </c>
    </row>
    <row r="2042" spans="1:6" x14ac:dyDescent="0.15">
      <c r="A2042" s="5" t="s">
        <v>44</v>
      </c>
      <c r="B2042" s="5" t="s">
        <v>4393</v>
      </c>
      <c r="C2042" s="9">
        <v>43291</v>
      </c>
      <c r="D2042" s="5" t="s">
        <v>16</v>
      </c>
      <c r="E2042" s="5" t="s">
        <v>4394</v>
      </c>
      <c r="F2042" s="6">
        <v>25350</v>
      </c>
    </row>
    <row r="2043" spans="1:6" x14ac:dyDescent="0.15">
      <c r="A2043" s="5" t="s">
        <v>44</v>
      </c>
      <c r="B2043" s="5" t="s">
        <v>4396</v>
      </c>
      <c r="C2043" s="9">
        <v>43325</v>
      </c>
      <c r="D2043" s="5" t="s">
        <v>16</v>
      </c>
      <c r="E2043" s="5" t="s">
        <v>4397</v>
      </c>
      <c r="F2043" s="6">
        <v>25350</v>
      </c>
    </row>
    <row r="2044" spans="1:6" x14ac:dyDescent="0.15">
      <c r="A2044" s="5" t="s">
        <v>44</v>
      </c>
      <c r="B2044" s="5" t="s">
        <v>4402</v>
      </c>
      <c r="C2044" s="9">
        <v>43376</v>
      </c>
      <c r="D2044" s="5" t="s">
        <v>16</v>
      </c>
      <c r="E2044" s="5" t="s">
        <v>4403</v>
      </c>
      <c r="F2044" s="6">
        <v>25350</v>
      </c>
    </row>
    <row r="2045" spans="1:6" x14ac:dyDescent="0.15">
      <c r="A2045" s="5" t="s">
        <v>148</v>
      </c>
      <c r="B2045" s="5" t="s">
        <v>5661</v>
      </c>
      <c r="C2045" s="9">
        <v>43259</v>
      </c>
      <c r="D2045" s="5" t="s">
        <v>16</v>
      </c>
      <c r="E2045" s="5" t="s">
        <v>5662</v>
      </c>
      <c r="F2045" s="6">
        <v>18915</v>
      </c>
    </row>
    <row r="2046" spans="1:6" x14ac:dyDescent="0.15">
      <c r="A2046" s="5" t="s">
        <v>37</v>
      </c>
      <c r="B2046" s="5" t="s">
        <v>7218</v>
      </c>
      <c r="C2046" s="9">
        <v>43258</v>
      </c>
      <c r="D2046" s="5" t="s">
        <v>16</v>
      </c>
      <c r="E2046" s="5" t="s">
        <v>7219</v>
      </c>
      <c r="F2046" s="6">
        <v>19500</v>
      </c>
    </row>
    <row r="2047" spans="1:6" x14ac:dyDescent="0.15">
      <c r="A2047" s="5" t="s">
        <v>66</v>
      </c>
      <c r="B2047" s="5" t="s">
        <v>5708</v>
      </c>
      <c r="C2047" s="9">
        <v>43262</v>
      </c>
      <c r="D2047" s="5" t="s">
        <v>16</v>
      </c>
      <c r="E2047" s="5" t="s">
        <v>5709</v>
      </c>
      <c r="F2047" s="6">
        <v>3880</v>
      </c>
    </row>
    <row r="2048" spans="1:6" x14ac:dyDescent="0.15">
      <c r="A2048" s="5" t="s">
        <v>8588</v>
      </c>
      <c r="B2048" s="5" t="s">
        <v>8595</v>
      </c>
      <c r="C2048" s="9">
        <v>43262</v>
      </c>
      <c r="D2048" s="5" t="s">
        <v>16</v>
      </c>
      <c r="E2048" s="5" t="s">
        <v>5709</v>
      </c>
      <c r="F2048" s="6">
        <v>21450</v>
      </c>
    </row>
    <row r="2049" spans="1:6" x14ac:dyDescent="0.15">
      <c r="A2049" s="5" t="s">
        <v>37</v>
      </c>
      <c r="B2049" s="5" t="s">
        <v>7220</v>
      </c>
      <c r="C2049" s="9">
        <v>43259</v>
      </c>
      <c r="D2049" s="5" t="s">
        <v>16</v>
      </c>
      <c r="E2049" s="5" t="s">
        <v>5881</v>
      </c>
      <c r="F2049" s="6">
        <v>7215</v>
      </c>
    </row>
    <row r="2050" spans="1:6" x14ac:dyDescent="0.15">
      <c r="A2050" s="5" t="s">
        <v>42</v>
      </c>
      <c r="B2050" s="5" t="s">
        <v>5880</v>
      </c>
      <c r="C2050" s="9">
        <v>43259</v>
      </c>
      <c r="D2050" s="5" t="s">
        <v>16</v>
      </c>
      <c r="E2050" s="5" t="s">
        <v>5881</v>
      </c>
      <c r="F2050" s="6">
        <v>3600</v>
      </c>
    </row>
    <row r="2051" spans="1:6" x14ac:dyDescent="0.15">
      <c r="A2051" s="5" t="s">
        <v>5725</v>
      </c>
      <c r="B2051" s="5" t="s">
        <v>5728</v>
      </c>
      <c r="C2051" s="9">
        <v>43259</v>
      </c>
      <c r="D2051" s="5" t="s">
        <v>16</v>
      </c>
      <c r="E2051" s="5" t="s">
        <v>5729</v>
      </c>
      <c r="F2051" s="6">
        <v>485</v>
      </c>
    </row>
    <row r="2052" spans="1:6" x14ac:dyDescent="0.15">
      <c r="A2052" s="5" t="s">
        <v>37</v>
      </c>
      <c r="B2052" s="5" t="s">
        <v>7221</v>
      </c>
      <c r="C2052" s="9">
        <v>43259</v>
      </c>
      <c r="D2052" s="5" t="s">
        <v>16</v>
      </c>
      <c r="E2052" s="5" t="s">
        <v>5729</v>
      </c>
      <c r="F2052" s="6">
        <v>97</v>
      </c>
    </row>
    <row r="2053" spans="1:6" x14ac:dyDescent="0.15">
      <c r="A2053" s="5" t="s">
        <v>37</v>
      </c>
      <c r="B2053" s="5" t="s">
        <v>7222</v>
      </c>
      <c r="C2053" s="9">
        <v>43262</v>
      </c>
      <c r="D2053" s="5" t="s">
        <v>16</v>
      </c>
      <c r="E2053" s="5" t="s">
        <v>7223</v>
      </c>
      <c r="F2053" s="6">
        <v>1950</v>
      </c>
    </row>
    <row r="2054" spans="1:6" x14ac:dyDescent="0.15">
      <c r="A2054" s="5" t="s">
        <v>37</v>
      </c>
      <c r="B2054" s="5" t="s">
        <v>7224</v>
      </c>
      <c r="C2054" s="9">
        <v>43262</v>
      </c>
      <c r="D2054" s="5" t="s">
        <v>16</v>
      </c>
      <c r="E2054" s="5" t="s">
        <v>7225</v>
      </c>
      <c r="F2054" s="6">
        <v>5460</v>
      </c>
    </row>
    <row r="2055" spans="1:6" x14ac:dyDescent="0.15">
      <c r="A2055" s="5" t="s">
        <v>37</v>
      </c>
      <c r="B2055" s="5" t="s">
        <v>7226</v>
      </c>
      <c r="C2055" s="9">
        <v>43262</v>
      </c>
      <c r="D2055" s="5" t="s">
        <v>16</v>
      </c>
      <c r="E2055" s="5" t="s">
        <v>7227</v>
      </c>
      <c r="F2055" s="6">
        <v>9555</v>
      </c>
    </row>
    <row r="2056" spans="1:6" x14ac:dyDescent="0.15">
      <c r="A2056" s="5" t="s">
        <v>43</v>
      </c>
      <c r="B2056" s="5" t="s">
        <v>5084</v>
      </c>
      <c r="C2056" s="9">
        <v>43266</v>
      </c>
      <c r="D2056" s="5" t="s">
        <v>16</v>
      </c>
      <c r="E2056" s="5" t="s">
        <v>5085</v>
      </c>
      <c r="F2056" s="6">
        <v>11640</v>
      </c>
    </row>
    <row r="2057" spans="1:6" x14ac:dyDescent="0.15">
      <c r="A2057" s="5" t="s">
        <v>44</v>
      </c>
      <c r="B2057" s="5" t="s">
        <v>4400</v>
      </c>
      <c r="C2057" s="9">
        <v>43357</v>
      </c>
      <c r="D2057" s="5" t="s">
        <v>16</v>
      </c>
      <c r="E2057" s="5" t="s">
        <v>4401</v>
      </c>
      <c r="F2057" s="6">
        <v>25350</v>
      </c>
    </row>
    <row r="2058" spans="1:6" x14ac:dyDescent="0.15">
      <c r="A2058" s="5" t="s">
        <v>37</v>
      </c>
      <c r="B2058" s="5" t="s">
        <v>7228</v>
      </c>
      <c r="C2058" s="9">
        <v>43263</v>
      </c>
      <c r="D2058" s="5" t="s">
        <v>16</v>
      </c>
      <c r="E2058" s="5" t="s">
        <v>7229</v>
      </c>
      <c r="F2058" s="6">
        <v>682.5</v>
      </c>
    </row>
    <row r="2059" spans="1:6" x14ac:dyDescent="0.15">
      <c r="A2059" s="5" t="s">
        <v>37</v>
      </c>
      <c r="B2059" s="5" t="s">
        <v>7230</v>
      </c>
      <c r="C2059" s="9">
        <v>43263</v>
      </c>
      <c r="D2059" s="5" t="s">
        <v>16</v>
      </c>
      <c r="E2059" s="5" t="s">
        <v>7231</v>
      </c>
      <c r="F2059" s="6">
        <v>3997.5</v>
      </c>
    </row>
    <row r="2060" spans="1:6" x14ac:dyDescent="0.15">
      <c r="A2060" s="5" t="s">
        <v>43</v>
      </c>
      <c r="B2060" s="5" t="s">
        <v>5082</v>
      </c>
      <c r="C2060" s="9">
        <v>43263</v>
      </c>
      <c r="D2060" s="5" t="s">
        <v>16</v>
      </c>
      <c r="E2060" s="5" t="s">
        <v>5083</v>
      </c>
      <c r="F2060" s="6">
        <v>3977</v>
      </c>
    </row>
    <row r="2061" spans="1:6" x14ac:dyDescent="0.15">
      <c r="A2061" s="5" t="s">
        <v>37</v>
      </c>
      <c r="B2061" s="5" t="s">
        <v>7232</v>
      </c>
      <c r="C2061" s="9">
        <v>43264</v>
      </c>
      <c r="D2061" s="5" t="s">
        <v>16</v>
      </c>
      <c r="E2061" s="5" t="s">
        <v>7233</v>
      </c>
      <c r="F2061" s="6">
        <v>975</v>
      </c>
    </row>
    <row r="2062" spans="1:6" x14ac:dyDescent="0.15">
      <c r="A2062" s="5" t="s">
        <v>37</v>
      </c>
      <c r="B2062" s="5" t="s">
        <v>7234</v>
      </c>
      <c r="C2062" s="9">
        <v>43264</v>
      </c>
      <c r="D2062" s="5" t="s">
        <v>16</v>
      </c>
      <c r="E2062" s="5" t="s">
        <v>3471</v>
      </c>
      <c r="F2062" s="6">
        <v>5850</v>
      </c>
    </row>
    <row r="2063" spans="1:6" x14ac:dyDescent="0.15">
      <c r="A2063" s="5" t="s">
        <v>35</v>
      </c>
      <c r="B2063" s="5" t="s">
        <v>3470</v>
      </c>
      <c r="C2063" s="9">
        <v>43264</v>
      </c>
      <c r="D2063" s="5" t="s">
        <v>16</v>
      </c>
      <c r="E2063" s="5" t="s">
        <v>3471</v>
      </c>
      <c r="F2063" s="6">
        <v>1267.5</v>
      </c>
    </row>
    <row r="2064" spans="1:6" x14ac:dyDescent="0.15">
      <c r="A2064" s="5" t="s">
        <v>37</v>
      </c>
      <c r="B2064" s="5" t="s">
        <v>7235</v>
      </c>
      <c r="C2064" s="9">
        <v>43264</v>
      </c>
      <c r="D2064" s="5" t="s">
        <v>16</v>
      </c>
      <c r="E2064" s="5" t="s">
        <v>3473</v>
      </c>
      <c r="F2064" s="6">
        <v>10335</v>
      </c>
    </row>
    <row r="2065" spans="1:6" x14ac:dyDescent="0.15">
      <c r="A2065" s="5" t="s">
        <v>35</v>
      </c>
      <c r="B2065" s="5" t="s">
        <v>3472</v>
      </c>
      <c r="C2065" s="9">
        <v>43264</v>
      </c>
      <c r="D2065" s="5" t="s">
        <v>16</v>
      </c>
      <c r="E2065" s="5" t="s">
        <v>3473</v>
      </c>
      <c r="F2065" s="6">
        <v>2535</v>
      </c>
    </row>
    <row r="2066" spans="1:6" x14ac:dyDescent="0.15">
      <c r="A2066" s="5" t="s">
        <v>35</v>
      </c>
      <c r="B2066" s="5" t="s">
        <v>3474</v>
      </c>
      <c r="C2066" s="9">
        <v>43264</v>
      </c>
      <c r="D2066" s="5" t="s">
        <v>16</v>
      </c>
      <c r="E2066" s="5" t="s">
        <v>1959</v>
      </c>
      <c r="F2066" s="6">
        <v>5947.5</v>
      </c>
    </row>
    <row r="2067" spans="1:6" x14ac:dyDescent="0.15">
      <c r="A2067" s="5" t="s">
        <v>41</v>
      </c>
      <c r="B2067" s="5" t="s">
        <v>1958</v>
      </c>
      <c r="C2067" s="9">
        <v>43264</v>
      </c>
      <c r="D2067" s="5" t="s">
        <v>16</v>
      </c>
      <c r="E2067" s="5" t="s">
        <v>1959</v>
      </c>
      <c r="F2067" s="6">
        <v>485</v>
      </c>
    </row>
    <row r="2068" spans="1:6" x14ac:dyDescent="0.15">
      <c r="A2068" s="5" t="s">
        <v>37</v>
      </c>
      <c r="B2068" s="5" t="s">
        <v>7236</v>
      </c>
      <c r="C2068" s="9">
        <v>43266</v>
      </c>
      <c r="D2068" s="5" t="s">
        <v>16</v>
      </c>
      <c r="E2068" s="5" t="s">
        <v>7237</v>
      </c>
      <c r="F2068" s="6">
        <v>2437.5</v>
      </c>
    </row>
    <row r="2069" spans="1:6" x14ac:dyDescent="0.15">
      <c r="A2069" s="5" t="s">
        <v>37</v>
      </c>
      <c r="B2069" s="5" t="s">
        <v>7238</v>
      </c>
      <c r="C2069" s="9">
        <v>43269</v>
      </c>
      <c r="D2069" s="5" t="s">
        <v>16</v>
      </c>
      <c r="E2069" s="5" t="s">
        <v>7239</v>
      </c>
      <c r="F2069" s="6">
        <v>20085</v>
      </c>
    </row>
    <row r="2070" spans="1:6" x14ac:dyDescent="0.15">
      <c r="A2070" s="5" t="s">
        <v>37</v>
      </c>
      <c r="B2070" s="5" t="s">
        <v>7240</v>
      </c>
      <c r="C2070" s="9">
        <v>43269</v>
      </c>
      <c r="D2070" s="5" t="s">
        <v>16</v>
      </c>
      <c r="E2070" s="5" t="s">
        <v>7241</v>
      </c>
      <c r="F2070" s="6">
        <v>5070</v>
      </c>
    </row>
    <row r="2071" spans="1:6" x14ac:dyDescent="0.15">
      <c r="A2071" s="5" t="s">
        <v>37</v>
      </c>
      <c r="B2071" s="5" t="s">
        <v>7242</v>
      </c>
      <c r="C2071" s="9">
        <v>43269</v>
      </c>
      <c r="D2071" s="5" t="s">
        <v>16</v>
      </c>
      <c r="E2071" s="5" t="s">
        <v>7243</v>
      </c>
      <c r="F2071" s="6">
        <v>23400</v>
      </c>
    </row>
    <row r="2072" spans="1:6" x14ac:dyDescent="0.15">
      <c r="A2072" s="5" t="s">
        <v>37</v>
      </c>
      <c r="B2072" s="5" t="s">
        <v>7245</v>
      </c>
      <c r="C2072" s="9">
        <v>43271</v>
      </c>
      <c r="D2072" s="5" t="s">
        <v>16</v>
      </c>
      <c r="E2072" s="5" t="s">
        <v>7246</v>
      </c>
      <c r="F2072" s="6">
        <v>5070</v>
      </c>
    </row>
    <row r="2073" spans="1:6" x14ac:dyDescent="0.15">
      <c r="A2073" s="5" t="s">
        <v>42</v>
      </c>
      <c r="B2073" s="5" t="s">
        <v>5882</v>
      </c>
      <c r="C2073" s="9">
        <v>43271</v>
      </c>
      <c r="D2073" s="5" t="s">
        <v>16</v>
      </c>
      <c r="E2073" s="5" t="s">
        <v>5883</v>
      </c>
      <c r="F2073" s="6">
        <v>6000</v>
      </c>
    </row>
    <row r="2074" spans="1:6" x14ac:dyDescent="0.15">
      <c r="A2074" s="5" t="s">
        <v>43</v>
      </c>
      <c r="B2074" s="5" t="s">
        <v>5086</v>
      </c>
      <c r="C2074" s="9">
        <v>43270</v>
      </c>
      <c r="D2074" s="5" t="s">
        <v>16</v>
      </c>
      <c r="E2074" s="5" t="s">
        <v>5087</v>
      </c>
      <c r="F2074" s="6">
        <v>1988.5</v>
      </c>
    </row>
    <row r="2075" spans="1:6" x14ac:dyDescent="0.15">
      <c r="A2075" s="5" t="s">
        <v>37</v>
      </c>
      <c r="B2075" s="5" t="s">
        <v>7244</v>
      </c>
      <c r="C2075" s="9">
        <v>43270</v>
      </c>
      <c r="D2075" s="5" t="s">
        <v>16</v>
      </c>
      <c r="E2075" s="5" t="s">
        <v>5087</v>
      </c>
      <c r="F2075" s="6">
        <v>5947.5</v>
      </c>
    </row>
    <row r="2076" spans="1:6" x14ac:dyDescent="0.15">
      <c r="A2076" s="5" t="s">
        <v>37</v>
      </c>
      <c r="B2076" s="5" t="s">
        <v>7247</v>
      </c>
      <c r="C2076" s="9">
        <v>43272</v>
      </c>
      <c r="D2076" s="5" t="s">
        <v>16</v>
      </c>
      <c r="E2076" s="5" t="s">
        <v>7248</v>
      </c>
      <c r="F2076" s="6">
        <v>292.5</v>
      </c>
    </row>
    <row r="2077" spans="1:6" x14ac:dyDescent="0.15">
      <c r="A2077" s="5" t="s">
        <v>44</v>
      </c>
      <c r="B2077" s="5" t="s">
        <v>4388</v>
      </c>
      <c r="C2077" s="9">
        <v>43273</v>
      </c>
      <c r="D2077" s="5" t="s">
        <v>16</v>
      </c>
      <c r="E2077" s="5" t="s">
        <v>3476</v>
      </c>
      <c r="F2077" s="6">
        <v>3900</v>
      </c>
    </row>
    <row r="2078" spans="1:6" x14ac:dyDescent="0.15">
      <c r="A2078" s="5" t="s">
        <v>35</v>
      </c>
      <c r="B2078" s="5" t="s">
        <v>3475</v>
      </c>
      <c r="C2078" s="9">
        <v>43273</v>
      </c>
      <c r="D2078" s="5" t="s">
        <v>16</v>
      </c>
      <c r="E2078" s="5" t="s">
        <v>3476</v>
      </c>
      <c r="F2078" s="6">
        <v>21450</v>
      </c>
    </row>
    <row r="2079" spans="1:6" x14ac:dyDescent="0.15">
      <c r="A2079" s="5" t="s">
        <v>37</v>
      </c>
      <c r="B2079" s="5" t="s">
        <v>7249</v>
      </c>
      <c r="C2079" s="9">
        <v>43272</v>
      </c>
      <c r="D2079" s="5" t="s">
        <v>16</v>
      </c>
      <c r="E2079" s="5" t="s">
        <v>7250</v>
      </c>
      <c r="F2079" s="6">
        <v>1950</v>
      </c>
    </row>
    <row r="2080" spans="1:6" x14ac:dyDescent="0.15">
      <c r="A2080" s="5" t="s">
        <v>37</v>
      </c>
      <c r="B2080" s="5" t="s">
        <v>7251</v>
      </c>
      <c r="C2080" s="9">
        <v>43272</v>
      </c>
      <c r="D2080" s="5" t="s">
        <v>16</v>
      </c>
      <c r="E2080" s="5" t="s">
        <v>7252</v>
      </c>
      <c r="F2080" s="6">
        <v>3022.5</v>
      </c>
    </row>
    <row r="2081" spans="1:6" x14ac:dyDescent="0.15">
      <c r="A2081" s="5" t="s">
        <v>43</v>
      </c>
      <c r="B2081" s="5" t="s">
        <v>5088</v>
      </c>
      <c r="C2081" s="9">
        <v>43273</v>
      </c>
      <c r="D2081" s="5" t="s">
        <v>16</v>
      </c>
      <c r="E2081" s="5" t="s">
        <v>5089</v>
      </c>
      <c r="F2081" s="6">
        <v>48.5</v>
      </c>
    </row>
    <row r="2082" spans="1:6" x14ac:dyDescent="0.15">
      <c r="A2082" s="5" t="s">
        <v>37</v>
      </c>
      <c r="B2082" s="5" t="s">
        <v>7253</v>
      </c>
      <c r="C2082" s="9">
        <v>43273</v>
      </c>
      <c r="D2082" s="5" t="s">
        <v>16</v>
      </c>
      <c r="E2082" s="5" t="s">
        <v>7254</v>
      </c>
      <c r="F2082" s="6">
        <v>975</v>
      </c>
    </row>
    <row r="2083" spans="1:6" x14ac:dyDescent="0.15">
      <c r="A2083" s="5" t="s">
        <v>40</v>
      </c>
      <c r="B2083" s="5" t="s">
        <v>2438</v>
      </c>
      <c r="C2083" s="9">
        <v>43276</v>
      </c>
      <c r="D2083" s="5" t="s">
        <v>16</v>
      </c>
      <c r="E2083" s="5" t="s">
        <v>2439</v>
      </c>
      <c r="F2083" s="6">
        <v>8700</v>
      </c>
    </row>
    <row r="2084" spans="1:6" x14ac:dyDescent="0.15">
      <c r="A2084" s="5" t="s">
        <v>37</v>
      </c>
      <c r="B2084" s="5" t="s">
        <v>7255</v>
      </c>
      <c r="C2084" s="9">
        <v>43276</v>
      </c>
      <c r="D2084" s="5" t="s">
        <v>16</v>
      </c>
      <c r="E2084" s="5" t="s">
        <v>5091</v>
      </c>
      <c r="F2084" s="6">
        <v>2242.5</v>
      </c>
    </row>
    <row r="2085" spans="1:6" x14ac:dyDescent="0.15">
      <c r="A2085" s="5" t="s">
        <v>42</v>
      </c>
      <c r="B2085" s="5" t="s">
        <v>5884</v>
      </c>
      <c r="C2085" s="9">
        <v>43276</v>
      </c>
      <c r="D2085" s="5" t="s">
        <v>16</v>
      </c>
      <c r="E2085" s="5" t="s">
        <v>5091</v>
      </c>
      <c r="F2085" s="6">
        <v>1575</v>
      </c>
    </row>
    <row r="2086" spans="1:6" x14ac:dyDescent="0.15">
      <c r="A2086" s="5" t="s">
        <v>43</v>
      </c>
      <c r="B2086" s="5" t="s">
        <v>5090</v>
      </c>
      <c r="C2086" s="9">
        <v>43276</v>
      </c>
      <c r="D2086" s="5" t="s">
        <v>16</v>
      </c>
      <c r="E2086" s="5" t="s">
        <v>5091</v>
      </c>
      <c r="F2086" s="6">
        <v>97</v>
      </c>
    </row>
    <row r="2087" spans="1:6" x14ac:dyDescent="0.15">
      <c r="A2087" s="5" t="s">
        <v>37</v>
      </c>
      <c r="B2087" s="5" t="s">
        <v>7256</v>
      </c>
      <c r="C2087" s="9">
        <v>43277</v>
      </c>
      <c r="D2087" s="5" t="s">
        <v>16</v>
      </c>
      <c r="E2087" s="5" t="s">
        <v>7257</v>
      </c>
      <c r="F2087" s="6">
        <v>3510</v>
      </c>
    </row>
    <row r="2088" spans="1:6" x14ac:dyDescent="0.15">
      <c r="A2088" s="5" t="s">
        <v>43</v>
      </c>
      <c r="B2088" s="5" t="s">
        <v>5092</v>
      </c>
      <c r="C2088" s="9">
        <v>43277</v>
      </c>
      <c r="D2088" s="5" t="s">
        <v>16</v>
      </c>
      <c r="E2088" s="5" t="s">
        <v>5093</v>
      </c>
      <c r="F2088" s="6">
        <v>2425</v>
      </c>
    </row>
    <row r="2089" spans="1:6" x14ac:dyDescent="0.15">
      <c r="A2089" s="5" t="s">
        <v>37</v>
      </c>
      <c r="B2089" s="5" t="s">
        <v>7258</v>
      </c>
      <c r="C2089" s="9">
        <v>43277</v>
      </c>
      <c r="D2089" s="5" t="s">
        <v>16</v>
      </c>
      <c r="E2089" s="5" t="s">
        <v>5093</v>
      </c>
      <c r="F2089" s="6">
        <v>2340</v>
      </c>
    </row>
    <row r="2090" spans="1:6" x14ac:dyDescent="0.15">
      <c r="A2090" s="5" t="s">
        <v>37</v>
      </c>
      <c r="B2090" s="5" t="s">
        <v>7314</v>
      </c>
      <c r="C2090" s="9">
        <v>43315</v>
      </c>
      <c r="D2090" s="5" t="s">
        <v>16</v>
      </c>
      <c r="E2090" s="5" t="s">
        <v>7315</v>
      </c>
      <c r="F2090" s="6">
        <v>25350</v>
      </c>
    </row>
    <row r="2091" spans="1:6" x14ac:dyDescent="0.15">
      <c r="A2091" s="5" t="s">
        <v>37</v>
      </c>
      <c r="B2091" s="5" t="s">
        <v>7278</v>
      </c>
      <c r="C2091" s="9">
        <v>43287</v>
      </c>
      <c r="D2091" s="5" t="s">
        <v>16</v>
      </c>
      <c r="E2091" s="5" t="s">
        <v>7279</v>
      </c>
      <c r="F2091" s="6">
        <v>25350</v>
      </c>
    </row>
    <row r="2092" spans="1:6" x14ac:dyDescent="0.15">
      <c r="A2092" s="5" t="s">
        <v>37</v>
      </c>
      <c r="B2092" s="5" t="s">
        <v>7259</v>
      </c>
      <c r="C2092" s="9">
        <v>43277</v>
      </c>
      <c r="D2092" s="5" t="s">
        <v>16</v>
      </c>
      <c r="E2092" s="5" t="s">
        <v>7260</v>
      </c>
      <c r="F2092" s="6">
        <v>975</v>
      </c>
    </row>
    <row r="2093" spans="1:6" x14ac:dyDescent="0.15">
      <c r="A2093" s="5" t="s">
        <v>37</v>
      </c>
      <c r="B2093" s="5" t="s">
        <v>7261</v>
      </c>
      <c r="C2093" s="9">
        <v>43278</v>
      </c>
      <c r="D2093" s="5" t="s">
        <v>16</v>
      </c>
      <c r="E2093" s="5" t="s">
        <v>7262</v>
      </c>
      <c r="F2093" s="6">
        <v>7800</v>
      </c>
    </row>
    <row r="2094" spans="1:6" x14ac:dyDescent="0.15">
      <c r="A2094" s="5" t="s">
        <v>37</v>
      </c>
      <c r="B2094" s="5" t="s">
        <v>7263</v>
      </c>
      <c r="C2094" s="9">
        <v>43278</v>
      </c>
      <c r="D2094" s="5" t="s">
        <v>16</v>
      </c>
      <c r="E2094" s="5" t="s">
        <v>7264</v>
      </c>
      <c r="F2094" s="6">
        <v>195</v>
      </c>
    </row>
    <row r="2095" spans="1:6" x14ac:dyDescent="0.15">
      <c r="A2095" s="5" t="s">
        <v>37</v>
      </c>
      <c r="B2095" s="5" t="s">
        <v>7265</v>
      </c>
      <c r="C2095" s="9">
        <v>43278</v>
      </c>
      <c r="D2095" s="5" t="s">
        <v>16</v>
      </c>
      <c r="E2095" s="5" t="s">
        <v>7266</v>
      </c>
      <c r="F2095" s="6">
        <v>3412.5</v>
      </c>
    </row>
    <row r="2096" spans="1:6" x14ac:dyDescent="0.15">
      <c r="A2096" s="5" t="s">
        <v>35</v>
      </c>
      <c r="B2096" s="5" t="s">
        <v>3477</v>
      </c>
      <c r="C2096" s="9">
        <v>43278</v>
      </c>
      <c r="D2096" s="5" t="s">
        <v>16</v>
      </c>
      <c r="E2096" s="5" t="s">
        <v>3478</v>
      </c>
      <c r="F2096" s="6">
        <v>9750</v>
      </c>
    </row>
    <row r="2097" spans="1:6" x14ac:dyDescent="0.15">
      <c r="A2097" s="5" t="s">
        <v>35</v>
      </c>
      <c r="B2097" s="5" t="s">
        <v>3479</v>
      </c>
      <c r="C2097" s="9">
        <v>43279</v>
      </c>
      <c r="D2097" s="5" t="s">
        <v>16</v>
      </c>
      <c r="E2097" s="5" t="s">
        <v>3480</v>
      </c>
      <c r="F2097" s="6">
        <v>2632.5</v>
      </c>
    </row>
    <row r="2098" spans="1:6" x14ac:dyDescent="0.15">
      <c r="A2098" s="5" t="s">
        <v>35</v>
      </c>
      <c r="B2098" s="5" t="s">
        <v>3481</v>
      </c>
      <c r="C2098" s="9">
        <v>43279</v>
      </c>
      <c r="D2098" s="5" t="s">
        <v>16</v>
      </c>
      <c r="E2098" s="5" t="s">
        <v>3482</v>
      </c>
      <c r="F2098" s="6">
        <v>877.5</v>
      </c>
    </row>
    <row r="2099" spans="1:6" x14ac:dyDescent="0.15">
      <c r="A2099" s="5" t="s">
        <v>43</v>
      </c>
      <c r="B2099" s="5" t="s">
        <v>5094</v>
      </c>
      <c r="C2099" s="9">
        <v>43278</v>
      </c>
      <c r="D2099" s="5" t="s">
        <v>16</v>
      </c>
      <c r="E2099" s="5" t="s">
        <v>5095</v>
      </c>
      <c r="F2099" s="6">
        <v>194</v>
      </c>
    </row>
    <row r="2100" spans="1:6" x14ac:dyDescent="0.15">
      <c r="A2100" s="5" t="s">
        <v>41</v>
      </c>
      <c r="B2100" s="5" t="s">
        <v>1960</v>
      </c>
      <c r="C2100" s="9">
        <v>43279</v>
      </c>
      <c r="D2100" s="5" t="s">
        <v>16</v>
      </c>
      <c r="E2100" s="5" t="s">
        <v>1961</v>
      </c>
      <c r="F2100" s="6">
        <v>2522</v>
      </c>
    </row>
    <row r="2101" spans="1:6" x14ac:dyDescent="0.15">
      <c r="A2101" s="5" t="s">
        <v>37</v>
      </c>
      <c r="B2101" s="5" t="s">
        <v>7267</v>
      </c>
      <c r="C2101" s="9">
        <v>43278</v>
      </c>
      <c r="D2101" s="5" t="s">
        <v>16</v>
      </c>
      <c r="E2101" s="5" t="s">
        <v>5886</v>
      </c>
      <c r="F2101" s="6">
        <v>1072.5</v>
      </c>
    </row>
    <row r="2102" spans="1:6" x14ac:dyDescent="0.15">
      <c r="A2102" s="5" t="s">
        <v>42</v>
      </c>
      <c r="B2102" s="5" t="s">
        <v>5885</v>
      </c>
      <c r="C2102" s="9">
        <v>43278</v>
      </c>
      <c r="D2102" s="5" t="s">
        <v>16</v>
      </c>
      <c r="E2102" s="5" t="s">
        <v>5886</v>
      </c>
      <c r="F2102" s="6">
        <v>450</v>
      </c>
    </row>
    <row r="2103" spans="1:6" x14ac:dyDescent="0.15">
      <c r="A2103" s="5" t="s">
        <v>37</v>
      </c>
      <c r="B2103" s="5" t="s">
        <v>7268</v>
      </c>
      <c r="C2103" s="9">
        <v>43279</v>
      </c>
      <c r="D2103" s="5" t="s">
        <v>16</v>
      </c>
      <c r="E2103" s="5" t="s">
        <v>7269</v>
      </c>
      <c r="F2103" s="6">
        <v>487.5</v>
      </c>
    </row>
    <row r="2104" spans="1:6" x14ac:dyDescent="0.15">
      <c r="A2104" s="5" t="s">
        <v>43</v>
      </c>
      <c r="B2104" s="5" t="s">
        <v>5096</v>
      </c>
      <c r="C2104" s="9">
        <v>43286</v>
      </c>
      <c r="D2104" s="5" t="s">
        <v>16</v>
      </c>
      <c r="E2104" s="5" t="s">
        <v>5097</v>
      </c>
      <c r="F2104" s="6">
        <v>3880</v>
      </c>
    </row>
    <row r="2105" spans="1:6" x14ac:dyDescent="0.15">
      <c r="A2105" s="5" t="s">
        <v>37</v>
      </c>
      <c r="B2105" s="5" t="s">
        <v>7274</v>
      </c>
      <c r="C2105" s="9">
        <v>43286</v>
      </c>
      <c r="D2105" s="5" t="s">
        <v>16</v>
      </c>
      <c r="E2105" s="5" t="s">
        <v>5097</v>
      </c>
      <c r="F2105" s="6">
        <v>7800</v>
      </c>
    </row>
    <row r="2106" spans="1:6" x14ac:dyDescent="0.15">
      <c r="A2106" s="5" t="s">
        <v>35</v>
      </c>
      <c r="B2106" s="5" t="s">
        <v>3483</v>
      </c>
      <c r="C2106" s="9">
        <v>43279</v>
      </c>
      <c r="D2106" s="5" t="s">
        <v>16</v>
      </c>
      <c r="E2106" s="5" t="s">
        <v>3484</v>
      </c>
      <c r="F2106" s="6">
        <v>195</v>
      </c>
    </row>
    <row r="2107" spans="1:6" x14ac:dyDescent="0.15">
      <c r="A2107" s="5" t="s">
        <v>41</v>
      </c>
      <c r="B2107" s="5" t="s">
        <v>1964</v>
      </c>
      <c r="C2107" s="9">
        <v>43290</v>
      </c>
      <c r="D2107" s="5" t="s">
        <v>16</v>
      </c>
      <c r="E2107" s="5" t="s">
        <v>1965</v>
      </c>
      <c r="F2107" s="6">
        <v>3734.5</v>
      </c>
    </row>
    <row r="2108" spans="1:6" x14ac:dyDescent="0.15">
      <c r="A2108" s="5" t="s">
        <v>43</v>
      </c>
      <c r="B2108" s="5" t="s">
        <v>5098</v>
      </c>
      <c r="C2108" s="9">
        <v>43290</v>
      </c>
      <c r="D2108" s="5" t="s">
        <v>16</v>
      </c>
      <c r="E2108" s="5" t="s">
        <v>1965</v>
      </c>
      <c r="F2108" s="6">
        <v>3734.5</v>
      </c>
    </row>
    <row r="2109" spans="1:6" x14ac:dyDescent="0.15">
      <c r="A2109" s="5" t="s">
        <v>35</v>
      </c>
      <c r="B2109" s="5" t="s">
        <v>3493</v>
      </c>
      <c r="C2109" s="9">
        <v>43290</v>
      </c>
      <c r="D2109" s="5" t="s">
        <v>16</v>
      </c>
      <c r="E2109" s="5" t="s">
        <v>1965</v>
      </c>
      <c r="F2109" s="6">
        <v>15600</v>
      </c>
    </row>
    <row r="2110" spans="1:6" x14ac:dyDescent="0.15">
      <c r="A2110" s="5" t="s">
        <v>49</v>
      </c>
      <c r="B2110" s="5" t="s">
        <v>8674</v>
      </c>
      <c r="C2110" s="9">
        <v>43286</v>
      </c>
      <c r="D2110" s="5" t="s">
        <v>16</v>
      </c>
      <c r="E2110" s="5" t="s">
        <v>8675</v>
      </c>
      <c r="F2110" s="6">
        <v>300</v>
      </c>
    </row>
    <row r="2111" spans="1:6" x14ac:dyDescent="0.15">
      <c r="A2111" s="5" t="s">
        <v>49</v>
      </c>
      <c r="B2111" s="5" t="s">
        <v>8674</v>
      </c>
      <c r="C2111" s="9">
        <v>43286</v>
      </c>
      <c r="D2111" s="5" t="s">
        <v>16</v>
      </c>
      <c r="E2111" s="5" t="s">
        <v>8675</v>
      </c>
      <c r="F2111" s="6">
        <v>300</v>
      </c>
    </row>
    <row r="2112" spans="1:6" x14ac:dyDescent="0.15">
      <c r="A2112" s="5" t="s">
        <v>37</v>
      </c>
      <c r="B2112" s="5" t="s">
        <v>7270</v>
      </c>
      <c r="C2112" s="9">
        <v>43281</v>
      </c>
      <c r="D2112" s="5" t="s">
        <v>16</v>
      </c>
      <c r="E2112" s="5" t="s">
        <v>7271</v>
      </c>
      <c r="F2112" s="6">
        <v>390</v>
      </c>
    </row>
    <row r="2113" spans="1:6" x14ac:dyDescent="0.15">
      <c r="A2113" s="5" t="s">
        <v>35</v>
      </c>
      <c r="B2113" s="5" t="s">
        <v>3485</v>
      </c>
      <c r="C2113" s="9">
        <v>43286</v>
      </c>
      <c r="D2113" s="5" t="s">
        <v>16</v>
      </c>
      <c r="E2113" s="5" t="s">
        <v>3486</v>
      </c>
      <c r="F2113" s="6">
        <v>7312.5</v>
      </c>
    </row>
    <row r="2114" spans="1:6" x14ac:dyDescent="0.15">
      <c r="A2114" s="5" t="s">
        <v>37</v>
      </c>
      <c r="B2114" s="5" t="s">
        <v>7275</v>
      </c>
      <c r="C2114" s="9">
        <v>43286</v>
      </c>
      <c r="D2114" s="5" t="s">
        <v>16</v>
      </c>
      <c r="E2114" s="5" t="s">
        <v>7276</v>
      </c>
      <c r="F2114" s="6">
        <v>1462.5</v>
      </c>
    </row>
    <row r="2115" spans="1:6" x14ac:dyDescent="0.15">
      <c r="A2115" s="5" t="s">
        <v>55</v>
      </c>
      <c r="B2115" s="5" t="s">
        <v>4493</v>
      </c>
      <c r="C2115" s="9">
        <v>43286</v>
      </c>
      <c r="D2115" s="5" t="s">
        <v>16</v>
      </c>
      <c r="E2115" s="5" t="s">
        <v>4494</v>
      </c>
      <c r="F2115" s="6">
        <v>100</v>
      </c>
    </row>
    <row r="2116" spans="1:6" x14ac:dyDescent="0.15">
      <c r="A2116" s="5" t="s">
        <v>57</v>
      </c>
      <c r="B2116" s="5" t="s">
        <v>5592</v>
      </c>
      <c r="C2116" s="9">
        <v>43290</v>
      </c>
      <c r="D2116" s="5" t="s">
        <v>16</v>
      </c>
      <c r="E2116" s="5" t="s">
        <v>5593</v>
      </c>
      <c r="F2116" s="6">
        <v>11640</v>
      </c>
    </row>
    <row r="2117" spans="1:6" x14ac:dyDescent="0.15">
      <c r="A2117" s="5" t="s">
        <v>64</v>
      </c>
      <c r="B2117" s="5" t="s">
        <v>6128</v>
      </c>
      <c r="C2117" s="9">
        <v>43290</v>
      </c>
      <c r="D2117" s="5" t="s">
        <v>16</v>
      </c>
      <c r="E2117" s="5" t="s">
        <v>5593</v>
      </c>
      <c r="F2117" s="6">
        <v>10500</v>
      </c>
    </row>
    <row r="2118" spans="1:6" x14ac:dyDescent="0.15">
      <c r="A2118" s="5" t="s">
        <v>42</v>
      </c>
      <c r="B2118" s="5" t="s">
        <v>5887</v>
      </c>
      <c r="C2118" s="9">
        <v>43286</v>
      </c>
      <c r="D2118" s="5" t="s">
        <v>16</v>
      </c>
      <c r="E2118" s="5" t="s">
        <v>4269</v>
      </c>
      <c r="F2118" s="6">
        <v>675</v>
      </c>
    </row>
    <row r="2119" spans="1:6" x14ac:dyDescent="0.15">
      <c r="A2119" s="5" t="s">
        <v>65</v>
      </c>
      <c r="B2119" s="5" t="s">
        <v>4268</v>
      </c>
      <c r="C2119" s="9">
        <v>43286</v>
      </c>
      <c r="D2119" s="5" t="s">
        <v>16</v>
      </c>
      <c r="E2119" s="5" t="s">
        <v>4269</v>
      </c>
      <c r="F2119" s="6">
        <v>225</v>
      </c>
    </row>
    <row r="2120" spans="1:6" x14ac:dyDescent="0.15">
      <c r="A2120" s="5" t="s">
        <v>37</v>
      </c>
      <c r="B2120" s="5" t="s">
        <v>7277</v>
      </c>
      <c r="C2120" s="9">
        <v>43286</v>
      </c>
      <c r="D2120" s="5" t="s">
        <v>16</v>
      </c>
      <c r="E2120" s="5" t="s">
        <v>3488</v>
      </c>
      <c r="F2120" s="6">
        <v>11602.5</v>
      </c>
    </row>
    <row r="2121" spans="1:6" x14ac:dyDescent="0.15">
      <c r="A2121" s="5" t="s">
        <v>35</v>
      </c>
      <c r="B2121" s="5" t="s">
        <v>3487</v>
      </c>
      <c r="C2121" s="9">
        <v>43286</v>
      </c>
      <c r="D2121" s="5" t="s">
        <v>16</v>
      </c>
      <c r="E2121" s="5" t="s">
        <v>3488</v>
      </c>
      <c r="F2121" s="6">
        <v>2535</v>
      </c>
    </row>
    <row r="2122" spans="1:6" x14ac:dyDescent="0.15">
      <c r="A2122" s="5" t="s">
        <v>37</v>
      </c>
      <c r="B2122" s="5" t="s">
        <v>7272</v>
      </c>
      <c r="C2122" s="9">
        <v>43284</v>
      </c>
      <c r="D2122" s="5" t="s">
        <v>16</v>
      </c>
      <c r="E2122" s="5" t="s">
        <v>7273</v>
      </c>
      <c r="F2122" s="6">
        <v>2632.5</v>
      </c>
    </row>
    <row r="2123" spans="1:6" x14ac:dyDescent="0.15">
      <c r="A2123" s="5" t="s">
        <v>35</v>
      </c>
      <c r="B2123" s="5" t="s">
        <v>3489</v>
      </c>
      <c r="C2123" s="9">
        <v>43286</v>
      </c>
      <c r="D2123" s="5" t="s">
        <v>16</v>
      </c>
      <c r="E2123" s="5" t="s">
        <v>3490</v>
      </c>
      <c r="F2123" s="6">
        <v>15307.5</v>
      </c>
    </row>
    <row r="2124" spans="1:6" x14ac:dyDescent="0.15">
      <c r="A2124" s="5" t="s">
        <v>35</v>
      </c>
      <c r="B2124" s="5" t="s">
        <v>3491</v>
      </c>
      <c r="C2124" s="9">
        <v>43286</v>
      </c>
      <c r="D2124" s="5" t="s">
        <v>16</v>
      </c>
      <c r="E2124" s="5" t="s">
        <v>3492</v>
      </c>
      <c r="F2124" s="6">
        <v>780</v>
      </c>
    </row>
    <row r="2125" spans="1:6" x14ac:dyDescent="0.15">
      <c r="A2125" s="5" t="s">
        <v>41</v>
      </c>
      <c r="B2125" s="5" t="s">
        <v>1962</v>
      </c>
      <c r="C2125" s="9">
        <v>43287</v>
      </c>
      <c r="D2125" s="5" t="s">
        <v>16</v>
      </c>
      <c r="E2125" s="5" t="s">
        <v>1963</v>
      </c>
      <c r="F2125" s="6">
        <v>485</v>
      </c>
    </row>
    <row r="2126" spans="1:6" x14ac:dyDescent="0.15">
      <c r="A2126" s="5" t="s">
        <v>37</v>
      </c>
      <c r="B2126" s="5" t="s">
        <v>7280</v>
      </c>
      <c r="C2126" s="9">
        <v>43287</v>
      </c>
      <c r="D2126" s="5" t="s">
        <v>16</v>
      </c>
      <c r="E2126" s="5" t="s">
        <v>7281</v>
      </c>
      <c r="F2126" s="6">
        <v>5850</v>
      </c>
    </row>
    <row r="2127" spans="1:6" x14ac:dyDescent="0.15">
      <c r="A2127" s="5" t="s">
        <v>35</v>
      </c>
      <c r="B2127" s="5" t="s">
        <v>3494</v>
      </c>
      <c r="C2127" s="9">
        <v>43291</v>
      </c>
      <c r="D2127" s="5" t="s">
        <v>16</v>
      </c>
      <c r="E2127" s="5" t="s">
        <v>2441</v>
      </c>
      <c r="F2127" s="6">
        <v>4095</v>
      </c>
    </row>
    <row r="2128" spans="1:6" x14ac:dyDescent="0.15">
      <c r="A2128" s="5" t="s">
        <v>40</v>
      </c>
      <c r="B2128" s="5" t="s">
        <v>2440</v>
      </c>
      <c r="C2128" s="9">
        <v>43291</v>
      </c>
      <c r="D2128" s="5" t="s">
        <v>16</v>
      </c>
      <c r="E2128" s="5" t="s">
        <v>2441</v>
      </c>
      <c r="F2128" s="6">
        <v>9450</v>
      </c>
    </row>
    <row r="2129" spans="1:6" x14ac:dyDescent="0.15">
      <c r="A2129" s="5" t="s">
        <v>35</v>
      </c>
      <c r="B2129" s="5" t="s">
        <v>3495</v>
      </c>
      <c r="C2129" s="9">
        <v>43291</v>
      </c>
      <c r="D2129" s="5" t="s">
        <v>16</v>
      </c>
      <c r="E2129" s="5" t="s">
        <v>3496</v>
      </c>
      <c r="F2129" s="6">
        <v>2047.5</v>
      </c>
    </row>
    <row r="2130" spans="1:6" x14ac:dyDescent="0.15">
      <c r="A2130" s="5" t="s">
        <v>37</v>
      </c>
      <c r="B2130" s="5" t="s">
        <v>7282</v>
      </c>
      <c r="C2130" s="9">
        <v>43291</v>
      </c>
      <c r="D2130" s="5" t="s">
        <v>16</v>
      </c>
      <c r="E2130" s="5" t="s">
        <v>5100</v>
      </c>
      <c r="F2130" s="6">
        <v>1950</v>
      </c>
    </row>
    <row r="2131" spans="1:6" x14ac:dyDescent="0.15">
      <c r="A2131" s="5" t="s">
        <v>53</v>
      </c>
      <c r="B2131" s="5" t="s">
        <v>8471</v>
      </c>
      <c r="C2131" s="9">
        <v>43305</v>
      </c>
      <c r="D2131" s="5" t="s">
        <v>16</v>
      </c>
      <c r="E2131" s="5" t="s">
        <v>4232</v>
      </c>
      <c r="F2131" s="6">
        <v>21450</v>
      </c>
    </row>
    <row r="2132" spans="1:6" x14ac:dyDescent="0.15">
      <c r="A2132" s="5" t="s">
        <v>51</v>
      </c>
      <c r="B2132" s="5" t="s">
        <v>4231</v>
      </c>
      <c r="C2132" s="9">
        <v>43305</v>
      </c>
      <c r="D2132" s="5" t="s">
        <v>16</v>
      </c>
      <c r="E2132" s="5" t="s">
        <v>4232</v>
      </c>
      <c r="F2132" s="6">
        <v>2145</v>
      </c>
    </row>
    <row r="2133" spans="1:6" x14ac:dyDescent="0.15">
      <c r="A2133" s="5" t="s">
        <v>37</v>
      </c>
      <c r="B2133" s="5" t="s">
        <v>7299</v>
      </c>
      <c r="C2133" s="9">
        <v>43305</v>
      </c>
      <c r="D2133" s="5" t="s">
        <v>16</v>
      </c>
      <c r="E2133" s="5" t="s">
        <v>4232</v>
      </c>
      <c r="F2133" s="6">
        <v>4290</v>
      </c>
    </row>
    <row r="2134" spans="1:6" x14ac:dyDescent="0.15">
      <c r="A2134" s="5" t="s">
        <v>43</v>
      </c>
      <c r="B2134" s="5" t="s">
        <v>5099</v>
      </c>
      <c r="C2134" s="9">
        <v>43291</v>
      </c>
      <c r="D2134" s="5" t="s">
        <v>16</v>
      </c>
      <c r="E2134" s="5" t="s">
        <v>5100</v>
      </c>
      <c r="F2134" s="6">
        <v>2522</v>
      </c>
    </row>
    <row r="2135" spans="1:6" x14ac:dyDescent="0.15">
      <c r="A2135" s="5" t="s">
        <v>35</v>
      </c>
      <c r="B2135" s="5" t="s">
        <v>3497</v>
      </c>
      <c r="C2135" s="9">
        <v>43292</v>
      </c>
      <c r="D2135" s="5" t="s">
        <v>16</v>
      </c>
      <c r="E2135" s="5" t="s">
        <v>3498</v>
      </c>
      <c r="F2135" s="6">
        <v>1657.5</v>
      </c>
    </row>
    <row r="2136" spans="1:6" x14ac:dyDescent="0.15">
      <c r="A2136" s="5" t="s">
        <v>37</v>
      </c>
      <c r="B2136" s="5" t="s">
        <v>7283</v>
      </c>
      <c r="C2136" s="9">
        <v>43292</v>
      </c>
      <c r="D2136" s="5" t="s">
        <v>16</v>
      </c>
      <c r="E2136" s="5" t="s">
        <v>3500</v>
      </c>
      <c r="F2136" s="6">
        <v>19500</v>
      </c>
    </row>
    <row r="2137" spans="1:6" x14ac:dyDescent="0.15">
      <c r="A2137" s="5" t="s">
        <v>35</v>
      </c>
      <c r="B2137" s="5" t="s">
        <v>3499</v>
      </c>
      <c r="C2137" s="9">
        <v>43292</v>
      </c>
      <c r="D2137" s="5" t="s">
        <v>16</v>
      </c>
      <c r="E2137" s="5" t="s">
        <v>3500</v>
      </c>
      <c r="F2137" s="6">
        <v>1950</v>
      </c>
    </row>
    <row r="2138" spans="1:6" x14ac:dyDescent="0.15">
      <c r="A2138" s="5" t="s">
        <v>148</v>
      </c>
      <c r="B2138" s="5" t="s">
        <v>5663</v>
      </c>
      <c r="C2138" s="9">
        <v>43297</v>
      </c>
      <c r="D2138" s="5" t="s">
        <v>16</v>
      </c>
      <c r="E2138" s="5" t="s">
        <v>5664</v>
      </c>
      <c r="F2138" s="6">
        <v>2910</v>
      </c>
    </row>
    <row r="2139" spans="1:6" x14ac:dyDescent="0.15">
      <c r="A2139" s="5" t="s">
        <v>43</v>
      </c>
      <c r="B2139" s="5" t="s">
        <v>5101</v>
      </c>
      <c r="C2139" s="9">
        <v>43304</v>
      </c>
      <c r="D2139" s="5" t="s">
        <v>16</v>
      </c>
      <c r="E2139" s="5" t="s">
        <v>1973</v>
      </c>
      <c r="F2139" s="6">
        <v>5820</v>
      </c>
    </row>
    <row r="2140" spans="1:6" x14ac:dyDescent="0.15">
      <c r="A2140" s="5" t="s">
        <v>41</v>
      </c>
      <c r="B2140" s="5" t="s">
        <v>1972</v>
      </c>
      <c r="C2140" s="9">
        <v>43304</v>
      </c>
      <c r="D2140" s="5" t="s">
        <v>16</v>
      </c>
      <c r="E2140" s="5" t="s">
        <v>1973</v>
      </c>
      <c r="F2140" s="6">
        <v>1940</v>
      </c>
    </row>
    <row r="2141" spans="1:6" x14ac:dyDescent="0.15">
      <c r="A2141" s="5" t="s">
        <v>35</v>
      </c>
      <c r="B2141" s="5" t="s">
        <v>3519</v>
      </c>
      <c r="C2141" s="9">
        <v>43304</v>
      </c>
      <c r="D2141" s="5" t="s">
        <v>16</v>
      </c>
      <c r="E2141" s="5" t="s">
        <v>1973</v>
      </c>
      <c r="F2141" s="6">
        <v>5850</v>
      </c>
    </row>
    <row r="2142" spans="1:6" x14ac:dyDescent="0.15">
      <c r="A2142" s="5" t="s">
        <v>43</v>
      </c>
      <c r="B2142" s="5" t="s">
        <v>5102</v>
      </c>
      <c r="C2142" s="9">
        <v>43304</v>
      </c>
      <c r="D2142" s="5" t="s">
        <v>16</v>
      </c>
      <c r="E2142" s="5" t="s">
        <v>5103</v>
      </c>
      <c r="F2142" s="6">
        <v>3880</v>
      </c>
    </row>
    <row r="2143" spans="1:6" x14ac:dyDescent="0.15">
      <c r="A2143" s="5" t="s">
        <v>35</v>
      </c>
      <c r="B2143" s="5" t="s">
        <v>3501</v>
      </c>
      <c r="C2143" s="9">
        <v>43293</v>
      </c>
      <c r="D2143" s="5" t="s">
        <v>16</v>
      </c>
      <c r="E2143" s="5" t="s">
        <v>3502</v>
      </c>
      <c r="F2143" s="6">
        <v>7995</v>
      </c>
    </row>
    <row r="2144" spans="1:6" x14ac:dyDescent="0.15">
      <c r="A2144" s="5" t="s">
        <v>42</v>
      </c>
      <c r="B2144" s="5" t="s">
        <v>5888</v>
      </c>
      <c r="C2144" s="9">
        <v>43293</v>
      </c>
      <c r="D2144" s="5" t="s">
        <v>16</v>
      </c>
      <c r="E2144" s="5" t="s">
        <v>5889</v>
      </c>
      <c r="F2144" s="6">
        <v>7500</v>
      </c>
    </row>
    <row r="2145" spans="1:6" x14ac:dyDescent="0.15">
      <c r="A2145" s="5" t="s">
        <v>37</v>
      </c>
      <c r="B2145" s="5" t="s">
        <v>7284</v>
      </c>
      <c r="C2145" s="9">
        <v>43293</v>
      </c>
      <c r="D2145" s="5" t="s">
        <v>16</v>
      </c>
      <c r="E2145" s="5" t="s">
        <v>5889</v>
      </c>
      <c r="F2145" s="6">
        <v>292.5</v>
      </c>
    </row>
    <row r="2146" spans="1:6" x14ac:dyDescent="0.15">
      <c r="A2146" s="5" t="s">
        <v>37</v>
      </c>
      <c r="B2146" s="5" t="s">
        <v>7304</v>
      </c>
      <c r="C2146" s="9">
        <v>43307</v>
      </c>
      <c r="D2146" s="5" t="s">
        <v>16</v>
      </c>
      <c r="E2146" s="5" t="s">
        <v>2445</v>
      </c>
      <c r="F2146" s="6">
        <v>17550</v>
      </c>
    </row>
    <row r="2147" spans="1:6" x14ac:dyDescent="0.15">
      <c r="A2147" s="5" t="s">
        <v>44</v>
      </c>
      <c r="B2147" s="5" t="s">
        <v>4395</v>
      </c>
      <c r="C2147" s="9">
        <v>43307</v>
      </c>
      <c r="D2147" s="5" t="s">
        <v>16</v>
      </c>
      <c r="E2147" s="5" t="s">
        <v>2445</v>
      </c>
      <c r="F2147" s="6">
        <v>3900</v>
      </c>
    </row>
    <row r="2148" spans="1:6" x14ac:dyDescent="0.15">
      <c r="A2148" s="5" t="s">
        <v>42</v>
      </c>
      <c r="B2148" s="5" t="s">
        <v>5892</v>
      </c>
      <c r="C2148" s="9">
        <v>43294</v>
      </c>
      <c r="D2148" s="5" t="s">
        <v>16</v>
      </c>
      <c r="E2148" s="5" t="s">
        <v>5893</v>
      </c>
      <c r="F2148" s="6">
        <v>-7500</v>
      </c>
    </row>
    <row r="2149" spans="1:6" x14ac:dyDescent="0.15">
      <c r="A2149" s="5" t="s">
        <v>37</v>
      </c>
      <c r="B2149" s="5" t="s">
        <v>7286</v>
      </c>
      <c r="C2149" s="9">
        <v>43294</v>
      </c>
      <c r="D2149" s="5" t="s">
        <v>16</v>
      </c>
      <c r="E2149" s="5" t="s">
        <v>5893</v>
      </c>
      <c r="F2149" s="6">
        <v>-292.5</v>
      </c>
    </row>
    <row r="2150" spans="1:6" x14ac:dyDescent="0.15">
      <c r="A2150" s="5" t="s">
        <v>42</v>
      </c>
      <c r="B2150" s="5" t="s">
        <v>5890</v>
      </c>
      <c r="C2150" s="9">
        <v>43293</v>
      </c>
      <c r="D2150" s="5" t="s">
        <v>16</v>
      </c>
      <c r="E2150" s="5" t="s">
        <v>5891</v>
      </c>
      <c r="F2150" s="6">
        <v>7500</v>
      </c>
    </row>
    <row r="2151" spans="1:6" x14ac:dyDescent="0.15">
      <c r="A2151" s="5" t="s">
        <v>37</v>
      </c>
      <c r="B2151" s="5" t="s">
        <v>7285</v>
      </c>
      <c r="C2151" s="9">
        <v>43293</v>
      </c>
      <c r="D2151" s="5" t="s">
        <v>16</v>
      </c>
      <c r="E2151" s="5" t="s">
        <v>5891</v>
      </c>
      <c r="F2151" s="6">
        <v>292.5</v>
      </c>
    </row>
    <row r="2152" spans="1:6" x14ac:dyDescent="0.15">
      <c r="A2152" s="5" t="s">
        <v>57</v>
      </c>
      <c r="B2152" s="5" t="s">
        <v>5594</v>
      </c>
      <c r="C2152" s="9">
        <v>43294</v>
      </c>
      <c r="D2152" s="5" t="s">
        <v>16</v>
      </c>
      <c r="E2152" s="5" t="s">
        <v>5595</v>
      </c>
      <c r="F2152" s="6">
        <v>194</v>
      </c>
    </row>
    <row r="2153" spans="1:6" x14ac:dyDescent="0.15">
      <c r="A2153" s="5" t="s">
        <v>40</v>
      </c>
      <c r="B2153" s="5" t="s">
        <v>2444</v>
      </c>
      <c r="C2153" s="9">
        <v>43307</v>
      </c>
      <c r="D2153" s="5" t="s">
        <v>16</v>
      </c>
      <c r="E2153" s="5" t="s">
        <v>2445</v>
      </c>
      <c r="F2153" s="6">
        <v>1500</v>
      </c>
    </row>
    <row r="2154" spans="1:6" x14ac:dyDescent="0.15">
      <c r="A2154" s="5" t="s">
        <v>37</v>
      </c>
      <c r="B2154" s="5" t="s">
        <v>7316</v>
      </c>
      <c r="C2154" s="9">
        <v>43318</v>
      </c>
      <c r="D2154" s="5" t="s">
        <v>16</v>
      </c>
      <c r="E2154" s="5" t="s">
        <v>7317</v>
      </c>
      <c r="F2154" s="6">
        <v>25350</v>
      </c>
    </row>
    <row r="2155" spans="1:6" x14ac:dyDescent="0.15">
      <c r="A2155" s="5" t="s">
        <v>43</v>
      </c>
      <c r="B2155" s="5" t="s">
        <v>5116</v>
      </c>
      <c r="C2155" s="9">
        <v>43312</v>
      </c>
      <c r="D2155" s="5" t="s">
        <v>16</v>
      </c>
      <c r="E2155" s="5" t="s">
        <v>5117</v>
      </c>
      <c r="F2155" s="6">
        <v>5820</v>
      </c>
    </row>
    <row r="2156" spans="1:6" x14ac:dyDescent="0.15">
      <c r="A2156" s="5" t="s">
        <v>37</v>
      </c>
      <c r="B2156" s="5" t="s">
        <v>7309</v>
      </c>
      <c r="C2156" s="9">
        <v>43312</v>
      </c>
      <c r="D2156" s="5" t="s">
        <v>16</v>
      </c>
      <c r="E2156" s="5" t="s">
        <v>5117</v>
      </c>
      <c r="F2156" s="6">
        <v>5850</v>
      </c>
    </row>
    <row r="2157" spans="1:6" x14ac:dyDescent="0.15">
      <c r="A2157" s="5" t="s">
        <v>35</v>
      </c>
      <c r="B2157" s="5" t="s">
        <v>3503</v>
      </c>
      <c r="C2157" s="9">
        <v>43297</v>
      </c>
      <c r="D2157" s="5" t="s">
        <v>16</v>
      </c>
      <c r="E2157" s="5" t="s">
        <v>3504</v>
      </c>
      <c r="F2157" s="6">
        <v>9750</v>
      </c>
    </row>
    <row r="2158" spans="1:6" x14ac:dyDescent="0.15">
      <c r="A2158" s="5" t="s">
        <v>37</v>
      </c>
      <c r="B2158" s="5" t="s">
        <v>7287</v>
      </c>
      <c r="C2158" s="9">
        <v>43294</v>
      </c>
      <c r="D2158" s="5" t="s">
        <v>16</v>
      </c>
      <c r="E2158" s="5" t="s">
        <v>7288</v>
      </c>
      <c r="F2158" s="6">
        <v>1950</v>
      </c>
    </row>
    <row r="2159" spans="1:6" x14ac:dyDescent="0.15">
      <c r="A2159" s="5" t="s">
        <v>37</v>
      </c>
      <c r="B2159" s="5" t="s">
        <v>7289</v>
      </c>
      <c r="C2159" s="9">
        <v>43297</v>
      </c>
      <c r="D2159" s="5" t="s">
        <v>16</v>
      </c>
      <c r="E2159" s="5" t="s">
        <v>7290</v>
      </c>
      <c r="F2159" s="6">
        <v>12187.5</v>
      </c>
    </row>
    <row r="2160" spans="1:6" x14ac:dyDescent="0.15">
      <c r="A2160" s="5" t="s">
        <v>43</v>
      </c>
      <c r="B2160" s="5" t="s">
        <v>5112</v>
      </c>
      <c r="C2160" s="9">
        <v>43307</v>
      </c>
      <c r="D2160" s="5" t="s">
        <v>16</v>
      </c>
      <c r="E2160" s="5" t="s">
        <v>5113</v>
      </c>
      <c r="F2160" s="6">
        <v>3201</v>
      </c>
    </row>
    <row r="2161" spans="1:6" x14ac:dyDescent="0.15">
      <c r="A2161" s="5" t="s">
        <v>43</v>
      </c>
      <c r="B2161" s="5" t="s">
        <v>5114</v>
      </c>
      <c r="C2161" s="9">
        <v>43308</v>
      </c>
      <c r="D2161" s="5" t="s">
        <v>16</v>
      </c>
      <c r="E2161" s="5" t="s">
        <v>5115</v>
      </c>
      <c r="F2161" s="6">
        <v>4268</v>
      </c>
    </row>
    <row r="2162" spans="1:6" x14ac:dyDescent="0.15">
      <c r="A2162" s="5" t="s">
        <v>148</v>
      </c>
      <c r="B2162" s="5" t="s">
        <v>5667</v>
      </c>
      <c r="C2162" s="9">
        <v>43322</v>
      </c>
      <c r="D2162" s="5" t="s">
        <v>16</v>
      </c>
      <c r="E2162" s="5" t="s">
        <v>5668</v>
      </c>
      <c r="F2162" s="6">
        <v>18915</v>
      </c>
    </row>
    <row r="2163" spans="1:6" x14ac:dyDescent="0.15">
      <c r="A2163" s="5" t="s">
        <v>148</v>
      </c>
      <c r="B2163" s="5" t="s">
        <v>5669</v>
      </c>
      <c r="C2163" s="9">
        <v>43322</v>
      </c>
      <c r="D2163" s="5" t="s">
        <v>16</v>
      </c>
      <c r="E2163" s="5" t="s">
        <v>5670</v>
      </c>
      <c r="F2163" s="6">
        <v>18915</v>
      </c>
    </row>
    <row r="2164" spans="1:6" x14ac:dyDescent="0.15">
      <c r="A2164" s="5" t="s">
        <v>148</v>
      </c>
      <c r="B2164" s="5" t="s">
        <v>5665</v>
      </c>
      <c r="C2164" s="9">
        <v>43321</v>
      </c>
      <c r="D2164" s="5" t="s">
        <v>16</v>
      </c>
      <c r="E2164" s="5" t="s">
        <v>5666</v>
      </c>
      <c r="F2164" s="6">
        <v>10912.5</v>
      </c>
    </row>
    <row r="2165" spans="1:6" x14ac:dyDescent="0.15">
      <c r="A2165" s="5" t="s">
        <v>148</v>
      </c>
      <c r="B2165" s="5" t="s">
        <v>5671</v>
      </c>
      <c r="C2165" s="9">
        <v>43322</v>
      </c>
      <c r="D2165" s="5" t="s">
        <v>16</v>
      </c>
      <c r="E2165" s="5" t="s">
        <v>5672</v>
      </c>
      <c r="F2165" s="6">
        <v>18915</v>
      </c>
    </row>
    <row r="2166" spans="1:6" x14ac:dyDescent="0.15">
      <c r="A2166" s="5" t="s">
        <v>37</v>
      </c>
      <c r="B2166" s="5" t="s">
        <v>7291</v>
      </c>
      <c r="C2166" s="9">
        <v>43297</v>
      </c>
      <c r="D2166" s="5" t="s">
        <v>16</v>
      </c>
      <c r="E2166" s="5" t="s">
        <v>7292</v>
      </c>
      <c r="F2166" s="6">
        <v>10725</v>
      </c>
    </row>
    <row r="2167" spans="1:6" x14ac:dyDescent="0.15">
      <c r="A2167" s="5" t="s">
        <v>148</v>
      </c>
      <c r="B2167" s="5" t="s">
        <v>5681</v>
      </c>
      <c r="C2167" s="9">
        <v>43349</v>
      </c>
      <c r="D2167" s="5" t="s">
        <v>16</v>
      </c>
      <c r="E2167" s="5" t="s">
        <v>5682</v>
      </c>
      <c r="F2167" s="6">
        <v>18915</v>
      </c>
    </row>
    <row r="2168" spans="1:6" x14ac:dyDescent="0.15">
      <c r="A2168" s="5" t="s">
        <v>42</v>
      </c>
      <c r="B2168" s="5" t="s">
        <v>5894</v>
      </c>
      <c r="C2168" s="9">
        <v>43297</v>
      </c>
      <c r="D2168" s="5" t="s">
        <v>16</v>
      </c>
      <c r="E2168" s="5" t="s">
        <v>5895</v>
      </c>
      <c r="F2168" s="6">
        <v>75</v>
      </c>
    </row>
    <row r="2169" spans="1:6" x14ac:dyDescent="0.15">
      <c r="A2169" s="5" t="s">
        <v>174</v>
      </c>
      <c r="B2169" s="5" t="s">
        <v>2661</v>
      </c>
      <c r="C2169" s="9">
        <v>43299</v>
      </c>
      <c r="D2169" s="5" t="s">
        <v>16</v>
      </c>
      <c r="E2169" s="5" t="s">
        <v>2662</v>
      </c>
      <c r="F2169" s="6">
        <v>6000</v>
      </c>
    </row>
    <row r="2170" spans="1:6" x14ac:dyDescent="0.15">
      <c r="A2170" s="5" t="s">
        <v>37</v>
      </c>
      <c r="B2170" s="5" t="s">
        <v>7293</v>
      </c>
      <c r="C2170" s="9">
        <v>43299</v>
      </c>
      <c r="D2170" s="5" t="s">
        <v>16</v>
      </c>
      <c r="E2170" s="5" t="s">
        <v>3506</v>
      </c>
      <c r="F2170" s="6">
        <v>6045</v>
      </c>
    </row>
    <row r="2171" spans="1:6" x14ac:dyDescent="0.15">
      <c r="A2171" s="5" t="s">
        <v>35</v>
      </c>
      <c r="B2171" s="5" t="s">
        <v>3505</v>
      </c>
      <c r="C2171" s="9">
        <v>43299</v>
      </c>
      <c r="D2171" s="5" t="s">
        <v>16</v>
      </c>
      <c r="E2171" s="5" t="s">
        <v>3506</v>
      </c>
      <c r="F2171" s="6">
        <v>585</v>
      </c>
    </row>
    <row r="2172" spans="1:6" x14ac:dyDescent="0.15">
      <c r="A2172" s="5" t="s">
        <v>174</v>
      </c>
      <c r="B2172" s="5" t="s">
        <v>2663</v>
      </c>
      <c r="C2172" s="9">
        <v>43299</v>
      </c>
      <c r="D2172" s="5" t="s">
        <v>16</v>
      </c>
      <c r="E2172" s="5" t="s">
        <v>2664</v>
      </c>
      <c r="F2172" s="6">
        <v>-1125</v>
      </c>
    </row>
    <row r="2173" spans="1:6" x14ac:dyDescent="0.15">
      <c r="A2173" s="5" t="s">
        <v>174</v>
      </c>
      <c r="B2173" s="5" t="s">
        <v>2663</v>
      </c>
      <c r="C2173" s="9">
        <v>43299</v>
      </c>
      <c r="D2173" s="5" t="s">
        <v>16</v>
      </c>
      <c r="E2173" s="5" t="s">
        <v>2664</v>
      </c>
      <c r="F2173" s="6">
        <v>-1125</v>
      </c>
    </row>
    <row r="2174" spans="1:6" x14ac:dyDescent="0.15">
      <c r="A2174" s="5" t="s">
        <v>174</v>
      </c>
      <c r="B2174" s="5" t="s">
        <v>2663</v>
      </c>
      <c r="C2174" s="9">
        <v>43299</v>
      </c>
      <c r="D2174" s="5" t="s">
        <v>16</v>
      </c>
      <c r="E2174" s="5" t="s">
        <v>2664</v>
      </c>
      <c r="F2174" s="6">
        <v>-3750</v>
      </c>
    </row>
    <row r="2175" spans="1:6" x14ac:dyDescent="0.15">
      <c r="A2175" s="5" t="s">
        <v>35</v>
      </c>
      <c r="B2175" s="5" t="s">
        <v>3507</v>
      </c>
      <c r="C2175" s="9">
        <v>43299</v>
      </c>
      <c r="D2175" s="5" t="s">
        <v>16</v>
      </c>
      <c r="E2175" s="5" t="s">
        <v>3508</v>
      </c>
      <c r="F2175" s="6">
        <v>3802.5</v>
      </c>
    </row>
    <row r="2176" spans="1:6" x14ac:dyDescent="0.15">
      <c r="A2176" s="5" t="s">
        <v>37</v>
      </c>
      <c r="B2176" s="5" t="s">
        <v>7294</v>
      </c>
      <c r="C2176" s="9">
        <v>43299</v>
      </c>
      <c r="D2176" s="5" t="s">
        <v>16</v>
      </c>
      <c r="E2176" s="5" t="s">
        <v>3510</v>
      </c>
      <c r="F2176" s="6">
        <v>11017.5</v>
      </c>
    </row>
    <row r="2177" spans="1:6" x14ac:dyDescent="0.15">
      <c r="A2177" s="5" t="s">
        <v>35</v>
      </c>
      <c r="B2177" s="5" t="s">
        <v>3509</v>
      </c>
      <c r="C2177" s="9">
        <v>43299</v>
      </c>
      <c r="D2177" s="5" t="s">
        <v>16</v>
      </c>
      <c r="E2177" s="5" t="s">
        <v>3510</v>
      </c>
      <c r="F2177" s="6">
        <v>780</v>
      </c>
    </row>
    <row r="2178" spans="1:6" x14ac:dyDescent="0.15">
      <c r="A2178" s="5" t="s">
        <v>42</v>
      </c>
      <c r="B2178" s="5" t="s">
        <v>5896</v>
      </c>
      <c r="C2178" s="9">
        <v>43299</v>
      </c>
      <c r="D2178" s="5" t="s">
        <v>16</v>
      </c>
      <c r="E2178" s="5" t="s">
        <v>5897</v>
      </c>
      <c r="F2178" s="6">
        <v>15900</v>
      </c>
    </row>
    <row r="2179" spans="1:6" x14ac:dyDescent="0.15">
      <c r="A2179" s="5" t="s">
        <v>42</v>
      </c>
      <c r="B2179" s="5" t="s">
        <v>5896</v>
      </c>
      <c r="C2179" s="9">
        <v>43299</v>
      </c>
      <c r="D2179" s="5" t="s">
        <v>16</v>
      </c>
      <c r="E2179" s="5" t="s">
        <v>5897</v>
      </c>
      <c r="F2179" s="6">
        <v>3000</v>
      </c>
    </row>
    <row r="2180" spans="1:6" x14ac:dyDescent="0.15">
      <c r="A2180" s="5" t="s">
        <v>35</v>
      </c>
      <c r="B2180" s="5" t="s">
        <v>3511</v>
      </c>
      <c r="C2180" s="9">
        <v>43299</v>
      </c>
      <c r="D2180" s="5" t="s">
        <v>16</v>
      </c>
      <c r="E2180" s="5" t="s">
        <v>3512</v>
      </c>
      <c r="F2180" s="6">
        <v>11700</v>
      </c>
    </row>
    <row r="2181" spans="1:6" x14ac:dyDescent="0.15">
      <c r="A2181" s="5" t="s">
        <v>35</v>
      </c>
      <c r="B2181" s="5" t="s">
        <v>3513</v>
      </c>
      <c r="C2181" s="9">
        <v>43300</v>
      </c>
      <c r="D2181" s="5" t="s">
        <v>16</v>
      </c>
      <c r="E2181" s="5" t="s">
        <v>3514</v>
      </c>
      <c r="F2181" s="6">
        <v>487.5</v>
      </c>
    </row>
    <row r="2182" spans="1:6" x14ac:dyDescent="0.15">
      <c r="A2182" s="5" t="s">
        <v>37</v>
      </c>
      <c r="B2182" s="5" t="s">
        <v>7295</v>
      </c>
      <c r="C2182" s="9">
        <v>43300</v>
      </c>
      <c r="D2182" s="5" t="s">
        <v>16</v>
      </c>
      <c r="E2182" s="5" t="s">
        <v>7296</v>
      </c>
      <c r="F2182" s="6">
        <v>8190</v>
      </c>
    </row>
    <row r="2183" spans="1:6" x14ac:dyDescent="0.15">
      <c r="A2183" s="5" t="s">
        <v>35</v>
      </c>
      <c r="B2183" s="5" t="s">
        <v>3515</v>
      </c>
      <c r="C2183" s="9">
        <v>43301</v>
      </c>
      <c r="D2183" s="5" t="s">
        <v>16</v>
      </c>
      <c r="E2183" s="5" t="s">
        <v>3516</v>
      </c>
      <c r="F2183" s="6">
        <v>6240</v>
      </c>
    </row>
    <row r="2184" spans="1:6" x14ac:dyDescent="0.15">
      <c r="A2184" s="5" t="s">
        <v>35</v>
      </c>
      <c r="B2184" s="5" t="s">
        <v>3517</v>
      </c>
      <c r="C2184" s="9">
        <v>43301</v>
      </c>
      <c r="D2184" s="5" t="s">
        <v>16</v>
      </c>
      <c r="E2184" s="5" t="s">
        <v>1969</v>
      </c>
      <c r="F2184" s="6">
        <v>1365</v>
      </c>
    </row>
    <row r="2185" spans="1:6" x14ac:dyDescent="0.15">
      <c r="A2185" s="5" t="s">
        <v>41</v>
      </c>
      <c r="B2185" s="5" t="s">
        <v>1968</v>
      </c>
      <c r="C2185" s="9">
        <v>43301</v>
      </c>
      <c r="D2185" s="5" t="s">
        <v>16</v>
      </c>
      <c r="E2185" s="5" t="s">
        <v>1969</v>
      </c>
      <c r="F2185" s="6">
        <v>679</v>
      </c>
    </row>
    <row r="2186" spans="1:6" x14ac:dyDescent="0.15">
      <c r="A2186" s="5" t="s">
        <v>41</v>
      </c>
      <c r="B2186" s="5" t="s">
        <v>1966</v>
      </c>
      <c r="C2186" s="9">
        <v>43300</v>
      </c>
      <c r="D2186" s="5" t="s">
        <v>16</v>
      </c>
      <c r="E2186" s="5" t="s">
        <v>1967</v>
      </c>
      <c r="F2186" s="6">
        <v>2182.5</v>
      </c>
    </row>
    <row r="2187" spans="1:6" x14ac:dyDescent="0.15">
      <c r="A2187" s="5" t="s">
        <v>35</v>
      </c>
      <c r="B2187" s="5" t="s">
        <v>3518</v>
      </c>
      <c r="C2187" s="9">
        <v>43301</v>
      </c>
      <c r="D2187" s="5" t="s">
        <v>16</v>
      </c>
      <c r="E2187" s="5" t="s">
        <v>1971</v>
      </c>
      <c r="F2187" s="6">
        <v>1560</v>
      </c>
    </row>
    <row r="2188" spans="1:6" x14ac:dyDescent="0.15">
      <c r="A2188" s="5" t="s">
        <v>41</v>
      </c>
      <c r="B2188" s="5" t="s">
        <v>1970</v>
      </c>
      <c r="C2188" s="9">
        <v>43301</v>
      </c>
      <c r="D2188" s="5" t="s">
        <v>16</v>
      </c>
      <c r="E2188" s="5" t="s">
        <v>1971</v>
      </c>
      <c r="F2188" s="6">
        <v>242.5</v>
      </c>
    </row>
    <row r="2189" spans="1:6" x14ac:dyDescent="0.15">
      <c r="A2189" s="5" t="s">
        <v>43</v>
      </c>
      <c r="B2189" s="5" t="s">
        <v>5106</v>
      </c>
      <c r="C2189" s="9">
        <v>43305</v>
      </c>
      <c r="D2189" s="5" t="s">
        <v>16</v>
      </c>
      <c r="E2189" s="5" t="s">
        <v>5107</v>
      </c>
      <c r="F2189" s="6">
        <v>2134</v>
      </c>
    </row>
    <row r="2190" spans="1:6" x14ac:dyDescent="0.15">
      <c r="A2190" s="5" t="s">
        <v>43</v>
      </c>
      <c r="B2190" s="5" t="s">
        <v>5104</v>
      </c>
      <c r="C2190" s="9">
        <v>43304</v>
      </c>
      <c r="D2190" s="5" t="s">
        <v>16</v>
      </c>
      <c r="E2190" s="5" t="s">
        <v>5105</v>
      </c>
      <c r="F2190" s="6">
        <v>3686</v>
      </c>
    </row>
    <row r="2191" spans="1:6" x14ac:dyDescent="0.15">
      <c r="A2191" s="5" t="s">
        <v>40</v>
      </c>
      <c r="B2191" s="5" t="s">
        <v>2442</v>
      </c>
      <c r="C2191" s="9">
        <v>43304</v>
      </c>
      <c r="D2191" s="5" t="s">
        <v>16</v>
      </c>
      <c r="E2191" s="5" t="s">
        <v>2443</v>
      </c>
      <c r="F2191" s="6">
        <v>3825</v>
      </c>
    </row>
    <row r="2192" spans="1:6" x14ac:dyDescent="0.15">
      <c r="A2192" s="5" t="s">
        <v>37</v>
      </c>
      <c r="B2192" s="5" t="s">
        <v>7297</v>
      </c>
      <c r="C2192" s="9">
        <v>43304</v>
      </c>
      <c r="D2192" s="5" t="s">
        <v>16</v>
      </c>
      <c r="E2192" s="5" t="s">
        <v>7298</v>
      </c>
      <c r="F2192" s="6">
        <v>2047.5</v>
      </c>
    </row>
    <row r="2193" spans="1:6" x14ac:dyDescent="0.15">
      <c r="A2193" s="5" t="s">
        <v>174</v>
      </c>
      <c r="B2193" s="5" t="s">
        <v>2665</v>
      </c>
      <c r="C2193" s="9">
        <v>43299</v>
      </c>
      <c r="D2193" s="5" t="s">
        <v>16</v>
      </c>
      <c r="E2193" s="5" t="s">
        <v>2666</v>
      </c>
      <c r="F2193" s="6">
        <v>3000</v>
      </c>
    </row>
    <row r="2194" spans="1:6" x14ac:dyDescent="0.15">
      <c r="A2194" s="5" t="s">
        <v>42</v>
      </c>
      <c r="B2194" s="5" t="s">
        <v>5898</v>
      </c>
      <c r="C2194" s="9">
        <v>43304</v>
      </c>
      <c r="D2194" s="5" t="s">
        <v>16</v>
      </c>
      <c r="E2194" s="5" t="s">
        <v>5899</v>
      </c>
      <c r="F2194" s="6">
        <v>1500</v>
      </c>
    </row>
    <row r="2195" spans="1:6" x14ac:dyDescent="0.15">
      <c r="A2195" s="5" t="s">
        <v>43</v>
      </c>
      <c r="B2195" s="5" t="s">
        <v>5108</v>
      </c>
      <c r="C2195" s="9">
        <v>43306</v>
      </c>
      <c r="D2195" s="5" t="s">
        <v>16</v>
      </c>
      <c r="E2195" s="5" t="s">
        <v>5109</v>
      </c>
      <c r="F2195" s="6">
        <v>145.5</v>
      </c>
    </row>
    <row r="2196" spans="1:6" x14ac:dyDescent="0.15">
      <c r="A2196" s="5" t="s">
        <v>37</v>
      </c>
      <c r="B2196" s="5" t="s">
        <v>7300</v>
      </c>
      <c r="C2196" s="9">
        <v>43306</v>
      </c>
      <c r="D2196" s="5" t="s">
        <v>16</v>
      </c>
      <c r="E2196" s="5" t="s">
        <v>7301</v>
      </c>
      <c r="F2196" s="6">
        <v>1950</v>
      </c>
    </row>
    <row r="2197" spans="1:6" x14ac:dyDescent="0.15">
      <c r="A2197" s="5" t="s">
        <v>37</v>
      </c>
      <c r="B2197" s="5" t="s">
        <v>7302</v>
      </c>
      <c r="C2197" s="9">
        <v>43306</v>
      </c>
      <c r="D2197" s="5" t="s">
        <v>16</v>
      </c>
      <c r="E2197" s="5" t="s">
        <v>3521</v>
      </c>
      <c r="F2197" s="6">
        <v>9750</v>
      </c>
    </row>
    <row r="2198" spans="1:6" x14ac:dyDescent="0.15">
      <c r="A2198" s="5" t="s">
        <v>35</v>
      </c>
      <c r="B2198" s="5" t="s">
        <v>3520</v>
      </c>
      <c r="C2198" s="9">
        <v>43306</v>
      </c>
      <c r="D2198" s="5" t="s">
        <v>16</v>
      </c>
      <c r="E2198" s="5" t="s">
        <v>3521</v>
      </c>
      <c r="F2198" s="6">
        <v>1950</v>
      </c>
    </row>
    <row r="2199" spans="1:6" x14ac:dyDescent="0.15">
      <c r="A2199" s="5" t="s">
        <v>43</v>
      </c>
      <c r="B2199" s="5" t="s">
        <v>5110</v>
      </c>
      <c r="C2199" s="9">
        <v>43306</v>
      </c>
      <c r="D2199" s="5" t="s">
        <v>16</v>
      </c>
      <c r="E2199" s="5" t="s">
        <v>5111</v>
      </c>
      <c r="F2199" s="6">
        <v>97</v>
      </c>
    </row>
    <row r="2200" spans="1:6" x14ac:dyDescent="0.15">
      <c r="A2200" s="5" t="s">
        <v>37</v>
      </c>
      <c r="B2200" s="5" t="s">
        <v>7303</v>
      </c>
      <c r="C2200" s="9">
        <v>43306</v>
      </c>
      <c r="D2200" s="5" t="s">
        <v>16</v>
      </c>
      <c r="E2200" s="5" t="s">
        <v>5111</v>
      </c>
      <c r="F2200" s="6">
        <v>390</v>
      </c>
    </row>
    <row r="2201" spans="1:6" x14ac:dyDescent="0.15">
      <c r="A2201" s="5" t="s">
        <v>35</v>
      </c>
      <c r="B2201" s="5" t="s">
        <v>3522</v>
      </c>
      <c r="C2201" s="9">
        <v>43308</v>
      </c>
      <c r="D2201" s="5" t="s">
        <v>16</v>
      </c>
      <c r="E2201" s="5" t="s">
        <v>3523</v>
      </c>
      <c r="F2201" s="6">
        <v>-487.5</v>
      </c>
    </row>
    <row r="2202" spans="1:6" x14ac:dyDescent="0.15">
      <c r="A2202" s="5" t="s">
        <v>35</v>
      </c>
      <c r="B2202" s="5" t="s">
        <v>3524</v>
      </c>
      <c r="C2202" s="9">
        <v>43308</v>
      </c>
      <c r="D2202" s="5" t="s">
        <v>16</v>
      </c>
      <c r="E2202" s="5" t="s">
        <v>3525</v>
      </c>
      <c r="F2202" s="6">
        <v>485</v>
      </c>
    </row>
    <row r="2203" spans="1:6" x14ac:dyDescent="0.15">
      <c r="A2203" s="5" t="s">
        <v>37</v>
      </c>
      <c r="B2203" s="5" t="s">
        <v>7305</v>
      </c>
      <c r="C2203" s="9">
        <v>43307</v>
      </c>
      <c r="D2203" s="5" t="s">
        <v>16</v>
      </c>
      <c r="E2203" s="5" t="s">
        <v>7306</v>
      </c>
      <c r="F2203" s="6">
        <v>2437.5</v>
      </c>
    </row>
    <row r="2204" spans="1:6" x14ac:dyDescent="0.15">
      <c r="A2204" s="5" t="s">
        <v>35</v>
      </c>
      <c r="B2204" s="5" t="s">
        <v>3526</v>
      </c>
      <c r="C2204" s="9">
        <v>43308</v>
      </c>
      <c r="D2204" s="5" t="s">
        <v>16</v>
      </c>
      <c r="E2204" s="5" t="s">
        <v>3527</v>
      </c>
      <c r="F2204" s="6">
        <v>975</v>
      </c>
    </row>
    <row r="2205" spans="1:6" x14ac:dyDescent="0.15">
      <c r="A2205" s="5" t="s">
        <v>174</v>
      </c>
      <c r="B2205" s="5" t="s">
        <v>2667</v>
      </c>
      <c r="C2205" s="9">
        <v>43299</v>
      </c>
      <c r="D2205" s="5" t="s">
        <v>16</v>
      </c>
      <c r="E2205" s="5" t="s">
        <v>2668</v>
      </c>
      <c r="F2205" s="6">
        <v>3000</v>
      </c>
    </row>
    <row r="2206" spans="1:6" x14ac:dyDescent="0.15">
      <c r="A2206" s="5" t="s">
        <v>37</v>
      </c>
      <c r="B2206" s="5" t="s">
        <v>7307</v>
      </c>
      <c r="C2206" s="9">
        <v>43311</v>
      </c>
      <c r="D2206" s="5" t="s">
        <v>16</v>
      </c>
      <c r="E2206" s="5" t="s">
        <v>7308</v>
      </c>
      <c r="F2206" s="6">
        <v>3412.5</v>
      </c>
    </row>
    <row r="2207" spans="1:6" x14ac:dyDescent="0.15">
      <c r="A2207" s="5" t="s">
        <v>37</v>
      </c>
      <c r="B2207" s="5" t="s">
        <v>7310</v>
      </c>
      <c r="C2207" s="9">
        <v>43312</v>
      </c>
      <c r="D2207" s="5" t="s">
        <v>16</v>
      </c>
      <c r="E2207" s="5" t="s">
        <v>7311</v>
      </c>
      <c r="F2207" s="6">
        <v>780</v>
      </c>
    </row>
    <row r="2208" spans="1:6" x14ac:dyDescent="0.15">
      <c r="A2208" s="5" t="s">
        <v>8588</v>
      </c>
      <c r="B2208" s="5" t="s">
        <v>8596</v>
      </c>
      <c r="C2208" s="9">
        <v>43340</v>
      </c>
      <c r="D2208" s="5" t="s">
        <v>16</v>
      </c>
      <c r="E2208" s="5" t="s">
        <v>8597</v>
      </c>
      <c r="F2208" s="6">
        <v>25350</v>
      </c>
    </row>
    <row r="2209" spans="1:6" x14ac:dyDescent="0.15">
      <c r="A2209" s="5" t="s">
        <v>43</v>
      </c>
      <c r="B2209" s="5" t="s">
        <v>5118</v>
      </c>
      <c r="C2209" s="9">
        <v>43313</v>
      </c>
      <c r="D2209" s="5" t="s">
        <v>16</v>
      </c>
      <c r="E2209" s="5" t="s">
        <v>5119</v>
      </c>
      <c r="F2209" s="6">
        <v>679</v>
      </c>
    </row>
    <row r="2210" spans="1:6" x14ac:dyDescent="0.15">
      <c r="A2210" s="5" t="s">
        <v>37</v>
      </c>
      <c r="B2210" s="5" t="s">
        <v>7312</v>
      </c>
      <c r="C2210" s="9">
        <v>43313</v>
      </c>
      <c r="D2210" s="5" t="s">
        <v>16</v>
      </c>
      <c r="E2210" s="5" t="s">
        <v>5119</v>
      </c>
      <c r="F2210" s="6">
        <v>1365</v>
      </c>
    </row>
    <row r="2211" spans="1:6" x14ac:dyDescent="0.15">
      <c r="A2211" s="5" t="s">
        <v>37</v>
      </c>
      <c r="B2211" s="5" t="s">
        <v>7313</v>
      </c>
      <c r="C2211" s="9">
        <v>43313</v>
      </c>
      <c r="D2211" s="5" t="s">
        <v>16</v>
      </c>
      <c r="E2211" s="5" t="s">
        <v>3529</v>
      </c>
      <c r="F2211" s="6">
        <v>12090</v>
      </c>
    </row>
    <row r="2212" spans="1:6" x14ac:dyDescent="0.15">
      <c r="A2212" s="5" t="s">
        <v>35</v>
      </c>
      <c r="B2212" s="5" t="s">
        <v>3528</v>
      </c>
      <c r="C2212" s="9">
        <v>43313</v>
      </c>
      <c r="D2212" s="5" t="s">
        <v>16</v>
      </c>
      <c r="E2212" s="5" t="s">
        <v>3529</v>
      </c>
      <c r="F2212" s="6">
        <v>1755</v>
      </c>
    </row>
    <row r="2213" spans="1:6" x14ac:dyDescent="0.15">
      <c r="A2213" s="5" t="s">
        <v>53</v>
      </c>
      <c r="B2213" s="5" t="s">
        <v>8472</v>
      </c>
      <c r="C2213" s="9">
        <v>43315</v>
      </c>
      <c r="D2213" s="5" t="s">
        <v>16</v>
      </c>
      <c r="E2213" s="5" t="s">
        <v>8473</v>
      </c>
      <c r="F2213" s="6">
        <v>292.5</v>
      </c>
    </row>
    <row r="2214" spans="1:6" x14ac:dyDescent="0.15">
      <c r="A2214" s="5" t="s">
        <v>35</v>
      </c>
      <c r="B2214" s="5" t="s">
        <v>3530</v>
      </c>
      <c r="C2214" s="9">
        <v>43315</v>
      </c>
      <c r="D2214" s="5" t="s">
        <v>16</v>
      </c>
      <c r="E2214" s="5" t="s">
        <v>3531</v>
      </c>
      <c r="F2214" s="6">
        <v>390</v>
      </c>
    </row>
    <row r="2215" spans="1:6" x14ac:dyDescent="0.15">
      <c r="A2215" s="5" t="s">
        <v>35</v>
      </c>
      <c r="B2215" s="5" t="s">
        <v>3532</v>
      </c>
      <c r="C2215" s="9">
        <v>43319</v>
      </c>
      <c r="D2215" s="5" t="s">
        <v>16</v>
      </c>
      <c r="E2215" s="5" t="s">
        <v>3533</v>
      </c>
      <c r="F2215" s="6">
        <v>1950</v>
      </c>
    </row>
    <row r="2216" spans="1:6" x14ac:dyDescent="0.15">
      <c r="A2216" s="5" t="s">
        <v>43</v>
      </c>
      <c r="B2216" s="5" t="s">
        <v>5120</v>
      </c>
      <c r="C2216" s="9">
        <v>43319</v>
      </c>
      <c r="D2216" s="5" t="s">
        <v>16</v>
      </c>
      <c r="E2216" s="5" t="s">
        <v>5121</v>
      </c>
      <c r="F2216" s="6">
        <v>145.5</v>
      </c>
    </row>
    <row r="2217" spans="1:6" x14ac:dyDescent="0.15">
      <c r="A2217" s="5" t="s">
        <v>37</v>
      </c>
      <c r="B2217" s="5" t="s">
        <v>7318</v>
      </c>
      <c r="C2217" s="9">
        <v>43319</v>
      </c>
      <c r="D2217" s="5" t="s">
        <v>16</v>
      </c>
      <c r="E2217" s="5" t="s">
        <v>5121</v>
      </c>
      <c r="F2217" s="6">
        <v>487.5</v>
      </c>
    </row>
    <row r="2218" spans="1:6" x14ac:dyDescent="0.15">
      <c r="A2218" s="5" t="s">
        <v>35</v>
      </c>
      <c r="B2218" s="5" t="s">
        <v>3534</v>
      </c>
      <c r="C2218" s="9">
        <v>43319</v>
      </c>
      <c r="D2218" s="5" t="s">
        <v>16</v>
      </c>
      <c r="E2218" s="5" t="s">
        <v>3535</v>
      </c>
      <c r="F2218" s="6">
        <v>1365</v>
      </c>
    </row>
    <row r="2219" spans="1:6" x14ac:dyDescent="0.15">
      <c r="A2219" s="5" t="s">
        <v>37</v>
      </c>
      <c r="B2219" s="5" t="s">
        <v>7319</v>
      </c>
      <c r="C2219" s="9">
        <v>43320</v>
      </c>
      <c r="D2219" s="5" t="s">
        <v>16</v>
      </c>
      <c r="E2219" s="5" t="s">
        <v>3537</v>
      </c>
      <c r="F2219" s="6">
        <v>7995</v>
      </c>
    </row>
    <row r="2220" spans="1:6" x14ac:dyDescent="0.15">
      <c r="A2220" s="5" t="s">
        <v>35</v>
      </c>
      <c r="B2220" s="5" t="s">
        <v>3536</v>
      </c>
      <c r="C2220" s="9">
        <v>43320</v>
      </c>
      <c r="D2220" s="5" t="s">
        <v>16</v>
      </c>
      <c r="E2220" s="5" t="s">
        <v>3537</v>
      </c>
      <c r="F2220" s="6">
        <v>1462.5</v>
      </c>
    </row>
    <row r="2221" spans="1:6" x14ac:dyDescent="0.15">
      <c r="A2221" s="5" t="s">
        <v>37</v>
      </c>
      <c r="B2221" s="5" t="s">
        <v>7324</v>
      </c>
      <c r="C2221" s="9">
        <v>43321</v>
      </c>
      <c r="D2221" s="5" t="s">
        <v>16</v>
      </c>
      <c r="E2221" s="5" t="s">
        <v>7325</v>
      </c>
      <c r="F2221" s="6">
        <v>97.5</v>
      </c>
    </row>
    <row r="2222" spans="1:6" x14ac:dyDescent="0.15">
      <c r="A2222" s="5" t="s">
        <v>37</v>
      </c>
      <c r="B2222" s="5" t="s">
        <v>7320</v>
      </c>
      <c r="C2222" s="9">
        <v>43320</v>
      </c>
      <c r="D2222" s="5" t="s">
        <v>16</v>
      </c>
      <c r="E2222" s="5" t="s">
        <v>7321</v>
      </c>
      <c r="F2222" s="6">
        <v>292.5</v>
      </c>
    </row>
    <row r="2223" spans="1:6" x14ac:dyDescent="0.15">
      <c r="A2223" s="5" t="s">
        <v>37</v>
      </c>
      <c r="B2223" s="5" t="s">
        <v>7322</v>
      </c>
      <c r="C2223" s="9">
        <v>43320</v>
      </c>
      <c r="D2223" s="5" t="s">
        <v>16</v>
      </c>
      <c r="E2223" s="5" t="s">
        <v>7323</v>
      </c>
      <c r="F2223" s="6">
        <v>780</v>
      </c>
    </row>
    <row r="2224" spans="1:6" x14ac:dyDescent="0.15">
      <c r="A2224" s="5" t="s">
        <v>43</v>
      </c>
      <c r="B2224" s="5" t="s">
        <v>5122</v>
      </c>
      <c r="C2224" s="9">
        <v>43322</v>
      </c>
      <c r="D2224" s="5" t="s">
        <v>16</v>
      </c>
      <c r="E2224" s="5" t="s">
        <v>5123</v>
      </c>
      <c r="F2224" s="6">
        <v>3443.5</v>
      </c>
    </row>
    <row r="2225" spans="1:6" x14ac:dyDescent="0.15">
      <c r="A2225" s="5" t="s">
        <v>37</v>
      </c>
      <c r="B2225" s="5" t="s">
        <v>7326</v>
      </c>
      <c r="C2225" s="9">
        <v>43322</v>
      </c>
      <c r="D2225" s="5" t="s">
        <v>16</v>
      </c>
      <c r="E2225" s="5" t="s">
        <v>5123</v>
      </c>
      <c r="F2225" s="6">
        <v>3315</v>
      </c>
    </row>
    <row r="2226" spans="1:6" x14ac:dyDescent="0.15">
      <c r="A2226" s="5" t="s">
        <v>41</v>
      </c>
      <c r="B2226" s="5" t="s">
        <v>1974</v>
      </c>
      <c r="C2226" s="9">
        <v>43325</v>
      </c>
      <c r="D2226" s="5" t="s">
        <v>16</v>
      </c>
      <c r="E2226" s="5" t="s">
        <v>1975</v>
      </c>
      <c r="F2226" s="6">
        <v>194</v>
      </c>
    </row>
    <row r="2227" spans="1:6" x14ac:dyDescent="0.15">
      <c r="A2227" s="5" t="s">
        <v>40</v>
      </c>
      <c r="B2227" s="5" t="s">
        <v>2446</v>
      </c>
      <c r="C2227" s="9">
        <v>43325</v>
      </c>
      <c r="D2227" s="5" t="s">
        <v>16</v>
      </c>
      <c r="E2227" s="5" t="s">
        <v>1975</v>
      </c>
      <c r="F2227" s="6">
        <v>1200</v>
      </c>
    </row>
    <row r="2228" spans="1:6" x14ac:dyDescent="0.15">
      <c r="A2228" s="5" t="s">
        <v>35</v>
      </c>
      <c r="B2228" s="5" t="s">
        <v>3538</v>
      </c>
      <c r="C2228" s="9">
        <v>43325</v>
      </c>
      <c r="D2228" s="5" t="s">
        <v>16</v>
      </c>
      <c r="E2228" s="5" t="s">
        <v>1975</v>
      </c>
      <c r="F2228" s="6">
        <v>5167.5</v>
      </c>
    </row>
    <row r="2229" spans="1:6" x14ac:dyDescent="0.15">
      <c r="A2229" s="5" t="s">
        <v>43</v>
      </c>
      <c r="B2229" s="5" t="s">
        <v>5126</v>
      </c>
      <c r="C2229" s="9">
        <v>43332</v>
      </c>
      <c r="D2229" s="5" t="s">
        <v>16</v>
      </c>
      <c r="E2229" s="5" t="s">
        <v>5127</v>
      </c>
      <c r="F2229" s="6">
        <v>7760</v>
      </c>
    </row>
    <row r="2230" spans="1:6" x14ac:dyDescent="0.15">
      <c r="A2230" s="5" t="s">
        <v>148</v>
      </c>
      <c r="B2230" s="5" t="s">
        <v>5675</v>
      </c>
      <c r="C2230" s="9">
        <v>43326</v>
      </c>
      <c r="D2230" s="5" t="s">
        <v>16</v>
      </c>
      <c r="E2230" s="5" t="s">
        <v>5676</v>
      </c>
      <c r="F2230" s="6">
        <v>-18915</v>
      </c>
    </row>
    <row r="2231" spans="1:6" x14ac:dyDescent="0.15">
      <c r="A2231" s="5" t="s">
        <v>35</v>
      </c>
      <c r="B2231" s="5" t="s">
        <v>3539</v>
      </c>
      <c r="C2231" s="9">
        <v>43325</v>
      </c>
      <c r="D2231" s="5" t="s">
        <v>16</v>
      </c>
      <c r="E2231" s="5" t="s">
        <v>3540</v>
      </c>
      <c r="F2231" s="6">
        <v>5265</v>
      </c>
    </row>
    <row r="2232" spans="1:6" x14ac:dyDescent="0.15">
      <c r="A2232" s="5" t="s">
        <v>148</v>
      </c>
      <c r="B2232" s="5" t="s">
        <v>5673</v>
      </c>
      <c r="C2232" s="9">
        <v>43322</v>
      </c>
      <c r="D2232" s="5" t="s">
        <v>16</v>
      </c>
      <c r="E2232" s="5" t="s">
        <v>5674</v>
      </c>
      <c r="F2232" s="6">
        <v>18915</v>
      </c>
    </row>
    <row r="2233" spans="1:6" x14ac:dyDescent="0.15">
      <c r="A2233" s="5" t="s">
        <v>37</v>
      </c>
      <c r="B2233" s="5" t="s">
        <v>7327</v>
      </c>
      <c r="C2233" s="9">
        <v>43326</v>
      </c>
      <c r="D2233" s="5" t="s">
        <v>16</v>
      </c>
      <c r="E2233" s="5" t="s">
        <v>7328</v>
      </c>
      <c r="F2233" s="6">
        <v>975</v>
      </c>
    </row>
    <row r="2234" spans="1:6" x14ac:dyDescent="0.15">
      <c r="A2234" s="5" t="s">
        <v>43</v>
      </c>
      <c r="B2234" s="5" t="s">
        <v>5128</v>
      </c>
      <c r="C2234" s="9">
        <v>43339</v>
      </c>
      <c r="D2234" s="5" t="s">
        <v>16</v>
      </c>
      <c r="E2234" s="5" t="s">
        <v>5129</v>
      </c>
      <c r="F2234" s="6">
        <v>9700</v>
      </c>
    </row>
    <row r="2235" spans="1:6" x14ac:dyDescent="0.15">
      <c r="A2235" s="5" t="s">
        <v>37</v>
      </c>
      <c r="B2235" s="5" t="s">
        <v>7349</v>
      </c>
      <c r="C2235" s="9">
        <v>43339</v>
      </c>
      <c r="D2235" s="5" t="s">
        <v>16</v>
      </c>
      <c r="E2235" s="5" t="s">
        <v>5129</v>
      </c>
      <c r="F2235" s="6">
        <v>9750</v>
      </c>
    </row>
    <row r="2236" spans="1:6" x14ac:dyDescent="0.15">
      <c r="A2236" s="5" t="s">
        <v>37</v>
      </c>
      <c r="B2236" s="5" t="s">
        <v>7329</v>
      </c>
      <c r="C2236" s="9">
        <v>43326</v>
      </c>
      <c r="D2236" s="5" t="s">
        <v>16</v>
      </c>
      <c r="E2236" s="5" t="s">
        <v>3542</v>
      </c>
      <c r="F2236" s="6">
        <v>19500</v>
      </c>
    </row>
    <row r="2237" spans="1:6" x14ac:dyDescent="0.15">
      <c r="A2237" s="5" t="s">
        <v>35</v>
      </c>
      <c r="B2237" s="5" t="s">
        <v>3541</v>
      </c>
      <c r="C2237" s="9">
        <v>43326</v>
      </c>
      <c r="D2237" s="5" t="s">
        <v>16</v>
      </c>
      <c r="E2237" s="5" t="s">
        <v>3542</v>
      </c>
      <c r="F2237" s="6">
        <v>1950</v>
      </c>
    </row>
    <row r="2238" spans="1:6" x14ac:dyDescent="0.15">
      <c r="A2238" s="5" t="s">
        <v>37</v>
      </c>
      <c r="B2238" s="5" t="s">
        <v>7330</v>
      </c>
      <c r="C2238" s="9">
        <v>43326</v>
      </c>
      <c r="D2238" s="5" t="s">
        <v>16</v>
      </c>
      <c r="E2238" s="5" t="s">
        <v>7331</v>
      </c>
      <c r="F2238" s="6">
        <v>1852.5</v>
      </c>
    </row>
    <row r="2239" spans="1:6" x14ac:dyDescent="0.15">
      <c r="A2239" s="5" t="s">
        <v>51</v>
      </c>
      <c r="B2239" s="5" t="s">
        <v>4233</v>
      </c>
      <c r="C2239" s="9">
        <v>43326</v>
      </c>
      <c r="D2239" s="5" t="s">
        <v>16</v>
      </c>
      <c r="E2239" s="5" t="s">
        <v>4234</v>
      </c>
      <c r="F2239" s="6">
        <v>585</v>
      </c>
    </row>
    <row r="2240" spans="1:6" x14ac:dyDescent="0.15">
      <c r="A2240" s="5" t="s">
        <v>37</v>
      </c>
      <c r="B2240" s="5" t="s">
        <v>7332</v>
      </c>
      <c r="C2240" s="9">
        <v>43329</v>
      </c>
      <c r="D2240" s="5" t="s">
        <v>16</v>
      </c>
      <c r="E2240" s="5" t="s">
        <v>7333</v>
      </c>
      <c r="F2240" s="6">
        <v>-2047.5</v>
      </c>
    </row>
    <row r="2241" spans="1:6" x14ac:dyDescent="0.15">
      <c r="A2241" s="5" t="s">
        <v>37</v>
      </c>
      <c r="B2241" s="5" t="s">
        <v>7334</v>
      </c>
      <c r="C2241" s="9">
        <v>43329</v>
      </c>
      <c r="D2241" s="5" t="s">
        <v>16</v>
      </c>
      <c r="E2241" s="5" t="s">
        <v>7335</v>
      </c>
      <c r="F2241" s="6">
        <v>2047.5</v>
      </c>
    </row>
    <row r="2242" spans="1:6" x14ac:dyDescent="0.15">
      <c r="A2242" s="5" t="s">
        <v>42</v>
      </c>
      <c r="B2242" s="5" t="s">
        <v>5900</v>
      </c>
      <c r="C2242" s="9">
        <v>43328</v>
      </c>
      <c r="D2242" s="5" t="s">
        <v>16</v>
      </c>
      <c r="E2242" s="5" t="s">
        <v>5901</v>
      </c>
      <c r="F2242" s="6">
        <v>750</v>
      </c>
    </row>
    <row r="2243" spans="1:6" x14ac:dyDescent="0.15">
      <c r="A2243" s="5" t="s">
        <v>41</v>
      </c>
      <c r="B2243" s="5" t="s">
        <v>1976</v>
      </c>
      <c r="C2243" s="9">
        <v>43329</v>
      </c>
      <c r="D2243" s="5" t="s">
        <v>16</v>
      </c>
      <c r="E2243" s="5" t="s">
        <v>1977</v>
      </c>
      <c r="F2243" s="6">
        <v>582</v>
      </c>
    </row>
    <row r="2244" spans="1:6" x14ac:dyDescent="0.15">
      <c r="A2244" s="5" t="s">
        <v>40</v>
      </c>
      <c r="B2244" s="5" t="s">
        <v>2447</v>
      </c>
      <c r="C2244" s="9">
        <v>43329</v>
      </c>
      <c r="D2244" s="5" t="s">
        <v>16</v>
      </c>
      <c r="E2244" s="5" t="s">
        <v>1977</v>
      </c>
      <c r="F2244" s="6">
        <v>900</v>
      </c>
    </row>
    <row r="2245" spans="1:6" x14ac:dyDescent="0.15">
      <c r="A2245" s="5" t="s">
        <v>35</v>
      </c>
      <c r="B2245" s="5" t="s">
        <v>3543</v>
      </c>
      <c r="C2245" s="9">
        <v>43329</v>
      </c>
      <c r="D2245" s="5" t="s">
        <v>16</v>
      </c>
      <c r="E2245" s="5" t="s">
        <v>1977</v>
      </c>
      <c r="F2245" s="6">
        <v>1170</v>
      </c>
    </row>
    <row r="2246" spans="1:6" x14ac:dyDescent="0.15">
      <c r="A2246" s="5" t="s">
        <v>37</v>
      </c>
      <c r="B2246" s="5" t="s">
        <v>7336</v>
      </c>
      <c r="C2246" s="9">
        <v>43329</v>
      </c>
      <c r="D2246" s="5" t="s">
        <v>16</v>
      </c>
      <c r="E2246" s="5" t="s">
        <v>7337</v>
      </c>
      <c r="F2246" s="6">
        <v>3997.5</v>
      </c>
    </row>
    <row r="2247" spans="1:6" x14ac:dyDescent="0.15">
      <c r="A2247" s="5" t="s">
        <v>43</v>
      </c>
      <c r="B2247" s="5" t="s">
        <v>5124</v>
      </c>
      <c r="C2247" s="9">
        <v>43329</v>
      </c>
      <c r="D2247" s="5" t="s">
        <v>16</v>
      </c>
      <c r="E2247" s="5" t="s">
        <v>5125</v>
      </c>
      <c r="F2247" s="6">
        <v>1649</v>
      </c>
    </row>
    <row r="2248" spans="1:6" x14ac:dyDescent="0.15">
      <c r="A2248" s="5" t="s">
        <v>35</v>
      </c>
      <c r="B2248" s="5" t="s">
        <v>3544</v>
      </c>
      <c r="C2248" s="9">
        <v>43329</v>
      </c>
      <c r="D2248" s="5" t="s">
        <v>16</v>
      </c>
      <c r="E2248" s="5" t="s">
        <v>3545</v>
      </c>
      <c r="F2248" s="6">
        <v>4680</v>
      </c>
    </row>
    <row r="2249" spans="1:6" x14ac:dyDescent="0.15">
      <c r="A2249" s="5" t="s">
        <v>37</v>
      </c>
      <c r="B2249" s="5" t="s">
        <v>7338</v>
      </c>
      <c r="C2249" s="9">
        <v>43329</v>
      </c>
      <c r="D2249" s="5" t="s">
        <v>16</v>
      </c>
      <c r="E2249" s="5" t="s">
        <v>5903</v>
      </c>
      <c r="F2249" s="6">
        <v>3900</v>
      </c>
    </row>
    <row r="2250" spans="1:6" x14ac:dyDescent="0.15">
      <c r="A2250" s="5" t="s">
        <v>42</v>
      </c>
      <c r="B2250" s="5" t="s">
        <v>5902</v>
      </c>
      <c r="C2250" s="9">
        <v>43329</v>
      </c>
      <c r="D2250" s="5" t="s">
        <v>16</v>
      </c>
      <c r="E2250" s="5" t="s">
        <v>5903</v>
      </c>
      <c r="F2250" s="6">
        <v>9000</v>
      </c>
    </row>
    <row r="2251" spans="1:6" x14ac:dyDescent="0.15">
      <c r="A2251" s="5" t="s">
        <v>37</v>
      </c>
      <c r="B2251" s="5" t="s">
        <v>7339</v>
      </c>
      <c r="C2251" s="9">
        <v>43332</v>
      </c>
      <c r="D2251" s="5" t="s">
        <v>16</v>
      </c>
      <c r="E2251" s="5" t="s">
        <v>5905</v>
      </c>
      <c r="F2251" s="6">
        <v>292.5</v>
      </c>
    </row>
    <row r="2252" spans="1:6" x14ac:dyDescent="0.15">
      <c r="A2252" s="5" t="s">
        <v>42</v>
      </c>
      <c r="B2252" s="5" t="s">
        <v>5904</v>
      </c>
      <c r="C2252" s="9">
        <v>43332</v>
      </c>
      <c r="D2252" s="5" t="s">
        <v>16</v>
      </c>
      <c r="E2252" s="5" t="s">
        <v>5905</v>
      </c>
      <c r="F2252" s="6">
        <v>675</v>
      </c>
    </row>
    <row r="2253" spans="1:6" x14ac:dyDescent="0.15">
      <c r="A2253" s="5" t="s">
        <v>35</v>
      </c>
      <c r="B2253" s="5" t="s">
        <v>3546</v>
      </c>
      <c r="C2253" s="9">
        <v>43332</v>
      </c>
      <c r="D2253" s="5" t="s">
        <v>16</v>
      </c>
      <c r="E2253" s="5" t="s">
        <v>3547</v>
      </c>
      <c r="F2253" s="6">
        <v>390</v>
      </c>
    </row>
    <row r="2254" spans="1:6" x14ac:dyDescent="0.15">
      <c r="A2254" s="5" t="s">
        <v>35</v>
      </c>
      <c r="B2254" s="5" t="s">
        <v>3548</v>
      </c>
      <c r="C2254" s="9">
        <v>43332</v>
      </c>
      <c r="D2254" s="5" t="s">
        <v>16</v>
      </c>
      <c r="E2254" s="5" t="s">
        <v>3549</v>
      </c>
      <c r="F2254" s="6">
        <v>292.5</v>
      </c>
    </row>
    <row r="2255" spans="1:6" x14ac:dyDescent="0.15">
      <c r="A2255" s="5" t="s">
        <v>35</v>
      </c>
      <c r="B2255" s="5" t="s">
        <v>3550</v>
      </c>
      <c r="C2255" s="9">
        <v>43332</v>
      </c>
      <c r="D2255" s="5" t="s">
        <v>16</v>
      </c>
      <c r="E2255" s="5" t="s">
        <v>3551</v>
      </c>
      <c r="F2255" s="6">
        <v>682.5</v>
      </c>
    </row>
    <row r="2256" spans="1:6" x14ac:dyDescent="0.15">
      <c r="A2256" s="5" t="s">
        <v>37</v>
      </c>
      <c r="B2256" s="5" t="s">
        <v>7340</v>
      </c>
      <c r="C2256" s="9">
        <v>43333</v>
      </c>
      <c r="D2256" s="5" t="s">
        <v>16</v>
      </c>
      <c r="E2256" s="5" t="s">
        <v>7341</v>
      </c>
      <c r="F2256" s="6">
        <v>6630</v>
      </c>
    </row>
    <row r="2257" spans="1:6" x14ac:dyDescent="0.15">
      <c r="A2257" s="5" t="s">
        <v>35</v>
      </c>
      <c r="B2257" s="5" t="s">
        <v>3552</v>
      </c>
      <c r="C2257" s="9">
        <v>43333</v>
      </c>
      <c r="D2257" s="5" t="s">
        <v>16</v>
      </c>
      <c r="E2257" s="5" t="s">
        <v>3553</v>
      </c>
      <c r="F2257" s="6">
        <v>97.5</v>
      </c>
    </row>
    <row r="2258" spans="1:6" x14ac:dyDescent="0.15">
      <c r="A2258" s="5" t="s">
        <v>35</v>
      </c>
      <c r="B2258" s="5" t="s">
        <v>3554</v>
      </c>
      <c r="C2258" s="9">
        <v>43333</v>
      </c>
      <c r="D2258" s="5" t="s">
        <v>16</v>
      </c>
      <c r="E2258" s="5" t="s">
        <v>3555</v>
      </c>
      <c r="F2258" s="6">
        <v>3315</v>
      </c>
    </row>
    <row r="2259" spans="1:6" x14ac:dyDescent="0.15">
      <c r="A2259" s="5" t="s">
        <v>37</v>
      </c>
      <c r="B2259" s="5" t="s">
        <v>7342</v>
      </c>
      <c r="C2259" s="9">
        <v>43335</v>
      </c>
      <c r="D2259" s="5" t="s">
        <v>16</v>
      </c>
      <c r="E2259" s="5" t="s">
        <v>7343</v>
      </c>
      <c r="F2259" s="6">
        <v>3412.5</v>
      </c>
    </row>
    <row r="2260" spans="1:6" x14ac:dyDescent="0.15">
      <c r="A2260" s="5" t="s">
        <v>57</v>
      </c>
      <c r="B2260" s="5" t="s">
        <v>5596</v>
      </c>
      <c r="C2260" s="9">
        <v>43335</v>
      </c>
      <c r="D2260" s="5" t="s">
        <v>16</v>
      </c>
      <c r="E2260" s="5" t="s">
        <v>5597</v>
      </c>
      <c r="F2260" s="6">
        <v>485</v>
      </c>
    </row>
    <row r="2261" spans="1:6" x14ac:dyDescent="0.15">
      <c r="A2261" s="5" t="s">
        <v>58</v>
      </c>
      <c r="B2261" s="5" t="s">
        <v>6184</v>
      </c>
      <c r="C2261" s="9">
        <v>43335</v>
      </c>
      <c r="D2261" s="5" t="s">
        <v>16</v>
      </c>
      <c r="E2261" s="5" t="s">
        <v>5597</v>
      </c>
      <c r="F2261" s="6">
        <v>1500</v>
      </c>
    </row>
    <row r="2262" spans="1:6" x14ac:dyDescent="0.15">
      <c r="A2262" s="5" t="s">
        <v>37</v>
      </c>
      <c r="B2262" s="5" t="s">
        <v>7344</v>
      </c>
      <c r="C2262" s="9">
        <v>43335</v>
      </c>
      <c r="D2262" s="5" t="s">
        <v>16</v>
      </c>
      <c r="E2262" s="5" t="s">
        <v>3559</v>
      </c>
      <c r="F2262" s="6">
        <v>11017.5</v>
      </c>
    </row>
    <row r="2263" spans="1:6" x14ac:dyDescent="0.15">
      <c r="A2263" s="5" t="s">
        <v>35</v>
      </c>
      <c r="B2263" s="5" t="s">
        <v>3558</v>
      </c>
      <c r="C2263" s="9">
        <v>43335</v>
      </c>
      <c r="D2263" s="5" t="s">
        <v>16</v>
      </c>
      <c r="E2263" s="5" t="s">
        <v>3559</v>
      </c>
      <c r="F2263" s="6">
        <v>4095</v>
      </c>
    </row>
    <row r="2264" spans="1:6" x14ac:dyDescent="0.15">
      <c r="A2264" s="5" t="s">
        <v>35</v>
      </c>
      <c r="B2264" s="5" t="s">
        <v>3560</v>
      </c>
      <c r="C2264" s="9">
        <v>43335</v>
      </c>
      <c r="D2264" s="5" t="s">
        <v>16</v>
      </c>
      <c r="E2264" s="5" t="s">
        <v>3561</v>
      </c>
      <c r="F2264" s="6">
        <v>1267.5</v>
      </c>
    </row>
    <row r="2265" spans="1:6" x14ac:dyDescent="0.15">
      <c r="A2265" s="5" t="s">
        <v>40</v>
      </c>
      <c r="B2265" s="5" t="s">
        <v>2448</v>
      </c>
      <c r="C2265" s="9">
        <v>43336</v>
      </c>
      <c r="D2265" s="5" t="s">
        <v>16</v>
      </c>
      <c r="E2265" s="5" t="s">
        <v>2449</v>
      </c>
      <c r="F2265" s="6">
        <v>1350</v>
      </c>
    </row>
    <row r="2266" spans="1:6" x14ac:dyDescent="0.15">
      <c r="A2266" s="5" t="s">
        <v>35</v>
      </c>
      <c r="B2266" s="5" t="s">
        <v>3562</v>
      </c>
      <c r="C2266" s="9">
        <v>43336</v>
      </c>
      <c r="D2266" s="5" t="s">
        <v>16</v>
      </c>
      <c r="E2266" s="5" t="s">
        <v>2449</v>
      </c>
      <c r="F2266" s="6">
        <v>5167.5</v>
      </c>
    </row>
    <row r="2267" spans="1:6" x14ac:dyDescent="0.15">
      <c r="A2267" s="5" t="s">
        <v>37</v>
      </c>
      <c r="B2267" s="5" t="s">
        <v>7345</v>
      </c>
      <c r="C2267" s="9">
        <v>43335</v>
      </c>
      <c r="D2267" s="5" t="s">
        <v>16</v>
      </c>
      <c r="E2267" s="5" t="s">
        <v>7346</v>
      </c>
      <c r="F2267" s="6">
        <v>97.5</v>
      </c>
    </row>
    <row r="2268" spans="1:6" x14ac:dyDescent="0.15">
      <c r="A2268" s="5" t="s">
        <v>37</v>
      </c>
      <c r="B2268" s="5" t="s">
        <v>7347</v>
      </c>
      <c r="C2268" s="9">
        <v>43336</v>
      </c>
      <c r="D2268" s="5" t="s">
        <v>16</v>
      </c>
      <c r="E2268" s="5" t="s">
        <v>7348</v>
      </c>
      <c r="F2268" s="6">
        <v>975</v>
      </c>
    </row>
    <row r="2269" spans="1:6" x14ac:dyDescent="0.15">
      <c r="A2269" s="5" t="s">
        <v>37</v>
      </c>
      <c r="B2269" s="5" t="s">
        <v>7350</v>
      </c>
      <c r="C2269" s="9">
        <v>43339</v>
      </c>
      <c r="D2269" s="5" t="s">
        <v>16</v>
      </c>
      <c r="E2269" s="5" t="s">
        <v>7351</v>
      </c>
      <c r="F2269" s="6">
        <v>4095</v>
      </c>
    </row>
    <row r="2270" spans="1:6" x14ac:dyDescent="0.15">
      <c r="A2270" s="5" t="s">
        <v>35</v>
      </c>
      <c r="B2270" s="5" t="s">
        <v>3563</v>
      </c>
      <c r="C2270" s="9">
        <v>43339</v>
      </c>
      <c r="D2270" s="5" t="s">
        <v>16</v>
      </c>
      <c r="E2270" s="5" t="s">
        <v>3564</v>
      </c>
      <c r="F2270" s="6">
        <v>13065</v>
      </c>
    </row>
    <row r="2271" spans="1:6" x14ac:dyDescent="0.15">
      <c r="A2271" s="5" t="s">
        <v>37</v>
      </c>
      <c r="B2271" s="5" t="s">
        <v>7352</v>
      </c>
      <c r="C2271" s="9">
        <v>43339</v>
      </c>
      <c r="D2271" s="5" t="s">
        <v>16</v>
      </c>
      <c r="E2271" s="5" t="s">
        <v>3564</v>
      </c>
      <c r="F2271" s="6">
        <v>975</v>
      </c>
    </row>
    <row r="2272" spans="1:6" x14ac:dyDescent="0.15">
      <c r="A2272" s="5" t="s">
        <v>41</v>
      </c>
      <c r="B2272" s="5" t="s">
        <v>1978</v>
      </c>
      <c r="C2272" s="9">
        <v>43339</v>
      </c>
      <c r="D2272" s="5" t="s">
        <v>16</v>
      </c>
      <c r="E2272" s="5" t="s">
        <v>1979</v>
      </c>
      <c r="F2272" s="6">
        <v>291</v>
      </c>
    </row>
    <row r="2273" spans="1:6" x14ac:dyDescent="0.15">
      <c r="A2273" s="5" t="s">
        <v>35</v>
      </c>
      <c r="B2273" s="5" t="s">
        <v>3565</v>
      </c>
      <c r="C2273" s="9">
        <v>43339</v>
      </c>
      <c r="D2273" s="5" t="s">
        <v>16</v>
      </c>
      <c r="E2273" s="5" t="s">
        <v>3566</v>
      </c>
      <c r="F2273" s="6">
        <v>1560</v>
      </c>
    </row>
    <row r="2274" spans="1:6" x14ac:dyDescent="0.15">
      <c r="A2274" s="5" t="s">
        <v>35</v>
      </c>
      <c r="B2274" s="5" t="s">
        <v>3567</v>
      </c>
      <c r="C2274" s="9">
        <v>43339</v>
      </c>
      <c r="D2274" s="5" t="s">
        <v>16</v>
      </c>
      <c r="E2274" s="5" t="s">
        <v>1981</v>
      </c>
      <c r="F2274" s="6">
        <v>16575</v>
      </c>
    </row>
    <row r="2275" spans="1:6" x14ac:dyDescent="0.15">
      <c r="A2275" s="5" t="s">
        <v>41</v>
      </c>
      <c r="B2275" s="5" t="s">
        <v>1980</v>
      </c>
      <c r="C2275" s="9">
        <v>43339</v>
      </c>
      <c r="D2275" s="5" t="s">
        <v>16</v>
      </c>
      <c r="E2275" s="5" t="s">
        <v>1981</v>
      </c>
      <c r="F2275" s="6">
        <v>291</v>
      </c>
    </row>
    <row r="2276" spans="1:6" x14ac:dyDescent="0.15">
      <c r="A2276" s="5" t="s">
        <v>49</v>
      </c>
      <c r="B2276" s="5" t="s">
        <v>8676</v>
      </c>
      <c r="C2276" s="9">
        <v>43339</v>
      </c>
      <c r="D2276" s="5" t="s">
        <v>16</v>
      </c>
      <c r="E2276" s="5" t="s">
        <v>8677</v>
      </c>
      <c r="F2276" s="6">
        <v>400</v>
      </c>
    </row>
    <row r="2277" spans="1:6" x14ac:dyDescent="0.15">
      <c r="A2277" s="5" t="s">
        <v>51</v>
      </c>
      <c r="B2277" s="5" t="s">
        <v>4235</v>
      </c>
      <c r="C2277" s="9">
        <v>43341</v>
      </c>
      <c r="D2277" s="5" t="s">
        <v>16</v>
      </c>
      <c r="E2277" s="5" t="s">
        <v>4236</v>
      </c>
      <c r="F2277" s="6">
        <v>877.5</v>
      </c>
    </row>
    <row r="2278" spans="1:6" x14ac:dyDescent="0.15">
      <c r="A2278" s="5" t="s">
        <v>41</v>
      </c>
      <c r="B2278" s="5" t="s">
        <v>1982</v>
      </c>
      <c r="C2278" s="9">
        <v>43340</v>
      </c>
      <c r="D2278" s="5" t="s">
        <v>16</v>
      </c>
      <c r="E2278" s="5" t="s">
        <v>1983</v>
      </c>
      <c r="F2278" s="6">
        <v>48.5</v>
      </c>
    </row>
    <row r="2279" spans="1:6" x14ac:dyDescent="0.15">
      <c r="A2279" s="5" t="s">
        <v>35</v>
      </c>
      <c r="B2279" s="5" t="s">
        <v>3568</v>
      </c>
      <c r="C2279" s="9">
        <v>43340</v>
      </c>
      <c r="D2279" s="5" t="s">
        <v>16</v>
      </c>
      <c r="E2279" s="5" t="s">
        <v>1983</v>
      </c>
      <c r="F2279" s="6">
        <v>292.5</v>
      </c>
    </row>
    <row r="2280" spans="1:6" x14ac:dyDescent="0.15">
      <c r="A2280" s="5" t="s">
        <v>57</v>
      </c>
      <c r="B2280" s="5" t="s">
        <v>5598</v>
      </c>
      <c r="C2280" s="9">
        <v>43340</v>
      </c>
      <c r="D2280" s="5" t="s">
        <v>16</v>
      </c>
      <c r="E2280" s="5" t="s">
        <v>5599</v>
      </c>
      <c r="F2280" s="6">
        <v>145.5</v>
      </c>
    </row>
    <row r="2281" spans="1:6" x14ac:dyDescent="0.15">
      <c r="A2281" s="5" t="s">
        <v>64</v>
      </c>
      <c r="B2281" s="5" t="s">
        <v>6129</v>
      </c>
      <c r="C2281" s="9">
        <v>43340</v>
      </c>
      <c r="D2281" s="5" t="s">
        <v>16</v>
      </c>
      <c r="E2281" s="5" t="s">
        <v>5599</v>
      </c>
      <c r="F2281" s="6">
        <v>225</v>
      </c>
    </row>
    <row r="2282" spans="1:6" x14ac:dyDescent="0.15">
      <c r="A2282" s="5" t="s">
        <v>35</v>
      </c>
      <c r="B2282" s="5" t="s">
        <v>3556</v>
      </c>
      <c r="C2282" s="9">
        <v>43334</v>
      </c>
      <c r="D2282" s="5" t="s">
        <v>16</v>
      </c>
      <c r="E2282" s="5" t="s">
        <v>3557</v>
      </c>
      <c r="F2282" s="6">
        <v>4095</v>
      </c>
    </row>
    <row r="2283" spans="1:6" x14ac:dyDescent="0.15">
      <c r="A2283" s="5" t="s">
        <v>37</v>
      </c>
      <c r="B2283" s="5" t="s">
        <v>7380</v>
      </c>
      <c r="C2283" s="9">
        <v>43354</v>
      </c>
      <c r="D2283" s="5" t="s">
        <v>16</v>
      </c>
      <c r="E2283" s="5" t="s">
        <v>7381</v>
      </c>
      <c r="F2283" s="6">
        <v>9750</v>
      </c>
    </row>
    <row r="2284" spans="1:6" x14ac:dyDescent="0.15">
      <c r="A2284" s="5" t="s">
        <v>43</v>
      </c>
      <c r="B2284" s="5" t="s">
        <v>5130</v>
      </c>
      <c r="C2284" s="9">
        <v>43341</v>
      </c>
      <c r="D2284" s="5" t="s">
        <v>16</v>
      </c>
      <c r="E2284" s="5" t="s">
        <v>5131</v>
      </c>
      <c r="F2284" s="6">
        <v>97</v>
      </c>
    </row>
    <row r="2285" spans="1:6" x14ac:dyDescent="0.15">
      <c r="A2285" s="5" t="s">
        <v>37</v>
      </c>
      <c r="B2285" s="5" t="s">
        <v>7353</v>
      </c>
      <c r="C2285" s="9">
        <v>43341</v>
      </c>
      <c r="D2285" s="5" t="s">
        <v>16</v>
      </c>
      <c r="E2285" s="5" t="s">
        <v>5131</v>
      </c>
      <c r="F2285" s="6">
        <v>780</v>
      </c>
    </row>
    <row r="2286" spans="1:6" x14ac:dyDescent="0.15">
      <c r="A2286" s="5" t="s">
        <v>49</v>
      </c>
      <c r="B2286" s="5" t="s">
        <v>8678</v>
      </c>
      <c r="C2286" s="9">
        <v>43341</v>
      </c>
      <c r="D2286" s="5" t="s">
        <v>16</v>
      </c>
      <c r="E2286" s="5" t="s">
        <v>5131</v>
      </c>
      <c r="F2286" s="6">
        <v>48.5</v>
      </c>
    </row>
    <row r="2287" spans="1:6" x14ac:dyDescent="0.15">
      <c r="A2287" s="5" t="s">
        <v>35</v>
      </c>
      <c r="B2287" s="5" t="s">
        <v>3569</v>
      </c>
      <c r="C2287" s="9">
        <v>43341</v>
      </c>
      <c r="D2287" s="5" t="s">
        <v>16</v>
      </c>
      <c r="E2287" s="5" t="s">
        <v>3570</v>
      </c>
      <c r="F2287" s="6">
        <v>10725</v>
      </c>
    </row>
    <row r="2288" spans="1:6" x14ac:dyDescent="0.15">
      <c r="A2288" s="5" t="s">
        <v>40</v>
      </c>
      <c r="B2288" s="5" t="s">
        <v>2450</v>
      </c>
      <c r="C2288" s="9">
        <v>43341</v>
      </c>
      <c r="D2288" s="5" t="s">
        <v>16</v>
      </c>
      <c r="E2288" s="5" t="s">
        <v>2451</v>
      </c>
      <c r="F2288" s="6">
        <v>3000</v>
      </c>
    </row>
    <row r="2289" spans="1:6" x14ac:dyDescent="0.15">
      <c r="A2289" s="5" t="s">
        <v>35</v>
      </c>
      <c r="B2289" s="5" t="s">
        <v>3571</v>
      </c>
      <c r="C2289" s="9">
        <v>43341</v>
      </c>
      <c r="D2289" s="5" t="s">
        <v>16</v>
      </c>
      <c r="E2289" s="5" t="s">
        <v>2451</v>
      </c>
      <c r="F2289" s="6">
        <v>3900</v>
      </c>
    </row>
    <row r="2290" spans="1:6" x14ac:dyDescent="0.15">
      <c r="A2290" s="5" t="s">
        <v>43</v>
      </c>
      <c r="B2290" s="5" t="s">
        <v>5132</v>
      </c>
      <c r="C2290" s="9">
        <v>43342</v>
      </c>
      <c r="D2290" s="5" t="s">
        <v>16</v>
      </c>
      <c r="E2290" s="5" t="s">
        <v>5133</v>
      </c>
      <c r="F2290" s="6">
        <v>291</v>
      </c>
    </row>
    <row r="2291" spans="1:6" x14ac:dyDescent="0.15">
      <c r="A2291" s="5" t="s">
        <v>57</v>
      </c>
      <c r="B2291" s="5" t="s">
        <v>5600</v>
      </c>
      <c r="C2291" s="9">
        <v>43342</v>
      </c>
      <c r="D2291" s="5" t="s">
        <v>16</v>
      </c>
      <c r="E2291" s="5" t="s">
        <v>5601</v>
      </c>
      <c r="F2291" s="6">
        <v>485</v>
      </c>
    </row>
    <row r="2292" spans="1:6" x14ac:dyDescent="0.15">
      <c r="A2292" s="5" t="s">
        <v>40</v>
      </c>
      <c r="B2292" s="5" t="s">
        <v>2452</v>
      </c>
      <c r="C2292" s="9">
        <v>43343</v>
      </c>
      <c r="D2292" s="5" t="s">
        <v>16</v>
      </c>
      <c r="E2292" s="5" t="s">
        <v>2453</v>
      </c>
      <c r="F2292" s="6">
        <v>4800</v>
      </c>
    </row>
    <row r="2293" spans="1:6" x14ac:dyDescent="0.15">
      <c r="A2293" s="5" t="s">
        <v>35</v>
      </c>
      <c r="B2293" s="5" t="s">
        <v>3572</v>
      </c>
      <c r="C2293" s="9">
        <v>43343</v>
      </c>
      <c r="D2293" s="5" t="s">
        <v>16</v>
      </c>
      <c r="E2293" s="5" t="s">
        <v>2453</v>
      </c>
      <c r="F2293" s="6">
        <v>6337.5</v>
      </c>
    </row>
    <row r="2294" spans="1:6" x14ac:dyDescent="0.15">
      <c r="A2294" s="5" t="s">
        <v>37</v>
      </c>
      <c r="B2294" s="5" t="s">
        <v>7354</v>
      </c>
      <c r="C2294" s="9">
        <v>43342</v>
      </c>
      <c r="D2294" s="5" t="s">
        <v>16</v>
      </c>
      <c r="E2294" s="5" t="s">
        <v>7355</v>
      </c>
      <c r="F2294" s="6">
        <v>12285</v>
      </c>
    </row>
    <row r="2295" spans="1:6" x14ac:dyDescent="0.15">
      <c r="A2295" s="5" t="s">
        <v>148</v>
      </c>
      <c r="B2295" s="5" t="s">
        <v>5683</v>
      </c>
      <c r="C2295" s="9">
        <v>43353</v>
      </c>
      <c r="D2295" s="5" t="s">
        <v>16</v>
      </c>
      <c r="E2295" s="5" t="s">
        <v>5684</v>
      </c>
      <c r="F2295" s="6">
        <v>11640</v>
      </c>
    </row>
    <row r="2296" spans="1:6" x14ac:dyDescent="0.15">
      <c r="A2296" s="5" t="s">
        <v>37</v>
      </c>
      <c r="B2296" s="5" t="s">
        <v>7356</v>
      </c>
      <c r="C2296" s="9">
        <v>43342</v>
      </c>
      <c r="D2296" s="5" t="s">
        <v>16</v>
      </c>
      <c r="E2296" s="5" t="s">
        <v>7357</v>
      </c>
      <c r="F2296" s="6">
        <v>1950</v>
      </c>
    </row>
    <row r="2297" spans="1:6" x14ac:dyDescent="0.15">
      <c r="A2297" s="5" t="s">
        <v>148</v>
      </c>
      <c r="B2297" s="5" t="s">
        <v>5677</v>
      </c>
      <c r="C2297" s="9">
        <v>43347</v>
      </c>
      <c r="D2297" s="5" t="s">
        <v>16</v>
      </c>
      <c r="E2297" s="5" t="s">
        <v>5678</v>
      </c>
      <c r="F2297" s="6">
        <v>6790</v>
      </c>
    </row>
    <row r="2298" spans="1:6" x14ac:dyDescent="0.15">
      <c r="A2298" s="5" t="s">
        <v>148</v>
      </c>
      <c r="B2298" s="5" t="s">
        <v>5679</v>
      </c>
      <c r="C2298" s="9">
        <v>43347</v>
      </c>
      <c r="D2298" s="5" t="s">
        <v>16</v>
      </c>
      <c r="E2298" s="5" t="s">
        <v>5680</v>
      </c>
      <c r="F2298" s="6">
        <v>11640</v>
      </c>
    </row>
    <row r="2299" spans="1:6" x14ac:dyDescent="0.15">
      <c r="A2299" s="5" t="s">
        <v>37</v>
      </c>
      <c r="B2299" s="5" t="s">
        <v>7358</v>
      </c>
      <c r="C2299" s="9">
        <v>43346</v>
      </c>
      <c r="D2299" s="5" t="s">
        <v>16</v>
      </c>
      <c r="E2299" s="5" t="s">
        <v>7359</v>
      </c>
      <c r="F2299" s="6">
        <v>3607.5</v>
      </c>
    </row>
    <row r="2300" spans="1:6" x14ac:dyDescent="0.15">
      <c r="A2300" s="5" t="s">
        <v>35</v>
      </c>
      <c r="B2300" s="5" t="s">
        <v>3573</v>
      </c>
      <c r="C2300" s="9">
        <v>43346</v>
      </c>
      <c r="D2300" s="5" t="s">
        <v>16</v>
      </c>
      <c r="E2300" s="5" t="s">
        <v>3574</v>
      </c>
      <c r="F2300" s="6">
        <v>6240</v>
      </c>
    </row>
    <row r="2301" spans="1:6" x14ac:dyDescent="0.15">
      <c r="A2301" s="5" t="s">
        <v>35</v>
      </c>
      <c r="B2301" s="5" t="s">
        <v>3575</v>
      </c>
      <c r="C2301" s="9">
        <v>43346</v>
      </c>
      <c r="D2301" s="5" t="s">
        <v>16</v>
      </c>
      <c r="E2301" s="5" t="s">
        <v>3576</v>
      </c>
      <c r="F2301" s="6">
        <v>390</v>
      </c>
    </row>
    <row r="2302" spans="1:6" x14ac:dyDescent="0.15">
      <c r="A2302" s="5" t="s">
        <v>37</v>
      </c>
      <c r="B2302" s="5" t="s">
        <v>7360</v>
      </c>
      <c r="C2302" s="9">
        <v>43346</v>
      </c>
      <c r="D2302" s="5" t="s">
        <v>16</v>
      </c>
      <c r="E2302" s="5" t="s">
        <v>7361</v>
      </c>
      <c r="F2302" s="6">
        <v>15015</v>
      </c>
    </row>
    <row r="2303" spans="1:6" x14ac:dyDescent="0.15">
      <c r="A2303" s="5" t="s">
        <v>37</v>
      </c>
      <c r="B2303" s="5" t="s">
        <v>7362</v>
      </c>
      <c r="C2303" s="9">
        <v>43346</v>
      </c>
      <c r="D2303" s="5" t="s">
        <v>16</v>
      </c>
      <c r="E2303" s="5" t="s">
        <v>7363</v>
      </c>
      <c r="F2303" s="6">
        <v>3900</v>
      </c>
    </row>
    <row r="2304" spans="1:6" x14ac:dyDescent="0.15">
      <c r="A2304" s="5" t="s">
        <v>41</v>
      </c>
      <c r="B2304" s="5" t="s">
        <v>1984</v>
      </c>
      <c r="C2304" s="9">
        <v>43346</v>
      </c>
      <c r="D2304" s="5" t="s">
        <v>16</v>
      </c>
      <c r="E2304" s="5" t="s">
        <v>1985</v>
      </c>
      <c r="F2304" s="6">
        <v>3977</v>
      </c>
    </row>
    <row r="2305" spans="1:6" x14ac:dyDescent="0.15">
      <c r="A2305" s="5" t="s">
        <v>35</v>
      </c>
      <c r="B2305" s="5" t="s">
        <v>3577</v>
      </c>
      <c r="C2305" s="9">
        <v>43346</v>
      </c>
      <c r="D2305" s="5" t="s">
        <v>16</v>
      </c>
      <c r="E2305" s="5" t="s">
        <v>1985</v>
      </c>
      <c r="F2305" s="6">
        <v>7995</v>
      </c>
    </row>
    <row r="2306" spans="1:6" x14ac:dyDescent="0.15">
      <c r="A2306" s="5" t="s">
        <v>35</v>
      </c>
      <c r="B2306" s="5" t="s">
        <v>3578</v>
      </c>
      <c r="C2306" s="9">
        <v>43346</v>
      </c>
      <c r="D2306" s="5" t="s">
        <v>16</v>
      </c>
      <c r="E2306" s="5" t="s">
        <v>3579</v>
      </c>
      <c r="F2306" s="6">
        <v>292.5</v>
      </c>
    </row>
    <row r="2307" spans="1:6" x14ac:dyDescent="0.15">
      <c r="A2307" s="5" t="s">
        <v>46</v>
      </c>
      <c r="B2307" s="5" t="s">
        <v>2200</v>
      </c>
      <c r="C2307" s="9">
        <v>43353</v>
      </c>
      <c r="D2307" s="5" t="s">
        <v>16</v>
      </c>
      <c r="E2307" s="5" t="s">
        <v>2201</v>
      </c>
      <c r="F2307" s="6">
        <v>1940</v>
      </c>
    </row>
    <row r="2308" spans="1:6" x14ac:dyDescent="0.15">
      <c r="A2308" s="5" t="s">
        <v>40</v>
      </c>
      <c r="B2308" s="5" t="s">
        <v>2454</v>
      </c>
      <c r="C2308" s="9">
        <v>43346</v>
      </c>
      <c r="D2308" s="5" t="s">
        <v>16</v>
      </c>
      <c r="E2308" s="5" t="s">
        <v>2455</v>
      </c>
      <c r="F2308" s="6">
        <v>150</v>
      </c>
    </row>
    <row r="2309" spans="1:6" x14ac:dyDescent="0.15">
      <c r="A2309" s="5" t="s">
        <v>35</v>
      </c>
      <c r="B2309" s="5" t="s">
        <v>3580</v>
      </c>
      <c r="C2309" s="9">
        <v>43346</v>
      </c>
      <c r="D2309" s="5" t="s">
        <v>16</v>
      </c>
      <c r="E2309" s="5" t="s">
        <v>2455</v>
      </c>
      <c r="F2309" s="6">
        <v>585</v>
      </c>
    </row>
    <row r="2310" spans="1:6" x14ac:dyDescent="0.15">
      <c r="A2310" s="5" t="s">
        <v>37</v>
      </c>
      <c r="B2310" s="5" t="s">
        <v>7364</v>
      </c>
      <c r="C2310" s="9">
        <v>43346</v>
      </c>
      <c r="D2310" s="5" t="s">
        <v>16</v>
      </c>
      <c r="E2310" s="5" t="s">
        <v>7365</v>
      </c>
      <c r="F2310" s="6">
        <v>97.5</v>
      </c>
    </row>
    <row r="2311" spans="1:6" x14ac:dyDescent="0.15">
      <c r="A2311" s="5" t="s">
        <v>43</v>
      </c>
      <c r="B2311" s="5" t="s">
        <v>5134</v>
      </c>
      <c r="C2311" s="9">
        <v>43347</v>
      </c>
      <c r="D2311" s="5" t="s">
        <v>16</v>
      </c>
      <c r="E2311" s="5" t="s">
        <v>5135</v>
      </c>
      <c r="F2311" s="6">
        <v>679</v>
      </c>
    </row>
    <row r="2312" spans="1:6" x14ac:dyDescent="0.15">
      <c r="A2312" s="5" t="s">
        <v>35</v>
      </c>
      <c r="B2312" s="5" t="s">
        <v>3581</v>
      </c>
      <c r="C2312" s="9">
        <v>43347</v>
      </c>
      <c r="D2312" s="5" t="s">
        <v>16</v>
      </c>
      <c r="E2312" s="5" t="s">
        <v>3582</v>
      </c>
      <c r="F2312" s="6">
        <v>2047.5</v>
      </c>
    </row>
    <row r="2313" spans="1:6" x14ac:dyDescent="0.15">
      <c r="A2313" s="5" t="s">
        <v>64</v>
      </c>
      <c r="B2313" s="5" t="s">
        <v>6130</v>
      </c>
      <c r="C2313" s="9">
        <v>43348</v>
      </c>
      <c r="D2313" s="5" t="s">
        <v>16</v>
      </c>
      <c r="E2313" s="5" t="s">
        <v>6131</v>
      </c>
      <c r="F2313" s="6">
        <v>1500</v>
      </c>
    </row>
    <row r="2314" spans="1:6" x14ac:dyDescent="0.15">
      <c r="A2314" s="5" t="s">
        <v>58</v>
      </c>
      <c r="B2314" s="5" t="s">
        <v>6185</v>
      </c>
      <c r="C2314" s="9">
        <v>43348</v>
      </c>
      <c r="D2314" s="5" t="s">
        <v>16</v>
      </c>
      <c r="E2314" s="5" t="s">
        <v>6131</v>
      </c>
      <c r="F2314" s="6">
        <v>1800</v>
      </c>
    </row>
    <row r="2315" spans="1:6" x14ac:dyDescent="0.15">
      <c r="A2315" s="5" t="s">
        <v>37</v>
      </c>
      <c r="B2315" s="5" t="s">
        <v>7366</v>
      </c>
      <c r="C2315" s="9">
        <v>43348</v>
      </c>
      <c r="D2315" s="5" t="s">
        <v>16</v>
      </c>
      <c r="E2315" s="5" t="s">
        <v>7367</v>
      </c>
      <c r="F2315" s="6">
        <v>487.5</v>
      </c>
    </row>
    <row r="2316" spans="1:6" x14ac:dyDescent="0.15">
      <c r="A2316" s="5" t="s">
        <v>43</v>
      </c>
      <c r="B2316" s="5" t="s">
        <v>5136</v>
      </c>
      <c r="C2316" s="9">
        <v>43348</v>
      </c>
      <c r="D2316" s="5" t="s">
        <v>16</v>
      </c>
      <c r="E2316" s="5" t="s">
        <v>5137</v>
      </c>
      <c r="F2316" s="6">
        <v>3880</v>
      </c>
    </row>
    <row r="2317" spans="1:6" x14ac:dyDescent="0.15">
      <c r="A2317" s="5" t="s">
        <v>37</v>
      </c>
      <c r="B2317" s="5" t="s">
        <v>7368</v>
      </c>
      <c r="C2317" s="9">
        <v>43348</v>
      </c>
      <c r="D2317" s="5" t="s">
        <v>16</v>
      </c>
      <c r="E2317" s="5" t="s">
        <v>5137</v>
      </c>
      <c r="F2317" s="6">
        <v>975</v>
      </c>
    </row>
    <row r="2318" spans="1:6" x14ac:dyDescent="0.15">
      <c r="A2318" s="5" t="s">
        <v>37</v>
      </c>
      <c r="B2318" s="5" t="s">
        <v>7369</v>
      </c>
      <c r="C2318" s="9">
        <v>43348</v>
      </c>
      <c r="D2318" s="5" t="s">
        <v>16</v>
      </c>
      <c r="E2318" s="5" t="s">
        <v>3584</v>
      </c>
      <c r="F2318" s="6">
        <v>10530</v>
      </c>
    </row>
    <row r="2319" spans="1:6" x14ac:dyDescent="0.15">
      <c r="A2319" s="5" t="s">
        <v>35</v>
      </c>
      <c r="B2319" s="5" t="s">
        <v>3583</v>
      </c>
      <c r="C2319" s="9">
        <v>43348</v>
      </c>
      <c r="D2319" s="5" t="s">
        <v>16</v>
      </c>
      <c r="E2319" s="5" t="s">
        <v>3584</v>
      </c>
      <c r="F2319" s="6">
        <v>1560</v>
      </c>
    </row>
    <row r="2320" spans="1:6" x14ac:dyDescent="0.15">
      <c r="A2320" s="5" t="s">
        <v>37</v>
      </c>
      <c r="B2320" s="5" t="s">
        <v>7370</v>
      </c>
      <c r="C2320" s="9">
        <v>43348</v>
      </c>
      <c r="D2320" s="5" t="s">
        <v>16</v>
      </c>
      <c r="E2320" s="5" t="s">
        <v>7371</v>
      </c>
      <c r="F2320" s="6">
        <v>7800</v>
      </c>
    </row>
    <row r="2321" spans="1:6" x14ac:dyDescent="0.15">
      <c r="A2321" s="5" t="s">
        <v>37</v>
      </c>
      <c r="B2321" s="5" t="s">
        <v>7372</v>
      </c>
      <c r="C2321" s="9">
        <v>43348</v>
      </c>
      <c r="D2321" s="5" t="s">
        <v>16</v>
      </c>
      <c r="E2321" s="5" t="s">
        <v>7373</v>
      </c>
      <c r="F2321" s="6">
        <v>7800</v>
      </c>
    </row>
    <row r="2322" spans="1:6" x14ac:dyDescent="0.15">
      <c r="A2322" s="5" t="s">
        <v>37</v>
      </c>
      <c r="B2322" s="5" t="s">
        <v>7374</v>
      </c>
      <c r="C2322" s="9">
        <v>43348</v>
      </c>
      <c r="D2322" s="5" t="s">
        <v>16</v>
      </c>
      <c r="E2322" s="5" t="s">
        <v>7375</v>
      </c>
      <c r="F2322" s="6">
        <v>1950</v>
      </c>
    </row>
    <row r="2323" spans="1:6" x14ac:dyDescent="0.15">
      <c r="A2323" s="5" t="s">
        <v>44</v>
      </c>
      <c r="B2323" s="5" t="s">
        <v>4398</v>
      </c>
      <c r="C2323" s="9">
        <v>43353</v>
      </c>
      <c r="D2323" s="5" t="s">
        <v>16</v>
      </c>
      <c r="E2323" s="5" t="s">
        <v>4399</v>
      </c>
      <c r="F2323" s="6">
        <v>5850</v>
      </c>
    </row>
    <row r="2324" spans="1:6" x14ac:dyDescent="0.15">
      <c r="A2324" s="5" t="s">
        <v>35</v>
      </c>
      <c r="B2324" s="5" t="s">
        <v>3585</v>
      </c>
      <c r="C2324" s="9">
        <v>43348</v>
      </c>
      <c r="D2324" s="5" t="s">
        <v>16</v>
      </c>
      <c r="E2324" s="5" t="s">
        <v>3586</v>
      </c>
      <c r="F2324" s="6">
        <v>5850</v>
      </c>
    </row>
    <row r="2325" spans="1:6" x14ac:dyDescent="0.15">
      <c r="A2325" s="5" t="s">
        <v>35</v>
      </c>
      <c r="B2325" s="5" t="s">
        <v>3616</v>
      </c>
      <c r="C2325" s="9">
        <v>43367</v>
      </c>
      <c r="D2325" s="5" t="s">
        <v>16</v>
      </c>
      <c r="E2325" s="5" t="s">
        <v>3617</v>
      </c>
      <c r="F2325" s="6">
        <v>17550</v>
      </c>
    </row>
    <row r="2326" spans="1:6" x14ac:dyDescent="0.15">
      <c r="A2326" s="5" t="s">
        <v>37</v>
      </c>
      <c r="B2326" s="5" t="s">
        <v>7417</v>
      </c>
      <c r="C2326" s="9">
        <v>43367</v>
      </c>
      <c r="D2326" s="5" t="s">
        <v>16</v>
      </c>
      <c r="E2326" s="5" t="s">
        <v>3617</v>
      </c>
      <c r="F2326" s="6">
        <v>7800</v>
      </c>
    </row>
    <row r="2327" spans="1:6" x14ac:dyDescent="0.15">
      <c r="A2327" s="5" t="s">
        <v>35</v>
      </c>
      <c r="B2327" s="5" t="s">
        <v>3587</v>
      </c>
      <c r="C2327" s="9">
        <v>43353</v>
      </c>
      <c r="D2327" s="5" t="s">
        <v>16</v>
      </c>
      <c r="E2327" s="5" t="s">
        <v>3588</v>
      </c>
      <c r="F2327" s="6">
        <v>975</v>
      </c>
    </row>
    <row r="2328" spans="1:6" x14ac:dyDescent="0.15">
      <c r="A2328" s="5" t="s">
        <v>37</v>
      </c>
      <c r="B2328" s="5" t="s">
        <v>7376</v>
      </c>
      <c r="C2328" s="9">
        <v>43348</v>
      </c>
      <c r="D2328" s="5" t="s">
        <v>16</v>
      </c>
      <c r="E2328" s="5" t="s">
        <v>7377</v>
      </c>
      <c r="F2328" s="6">
        <v>6142.5</v>
      </c>
    </row>
    <row r="2329" spans="1:6" x14ac:dyDescent="0.15">
      <c r="A2329" s="5" t="s">
        <v>43</v>
      </c>
      <c r="B2329" s="5" t="s">
        <v>5138</v>
      </c>
      <c r="C2329" s="9">
        <v>43360</v>
      </c>
      <c r="D2329" s="5" t="s">
        <v>16</v>
      </c>
      <c r="E2329" s="5" t="s">
        <v>5139</v>
      </c>
      <c r="F2329" s="6">
        <v>3880</v>
      </c>
    </row>
    <row r="2330" spans="1:6" x14ac:dyDescent="0.15">
      <c r="A2330" s="5" t="s">
        <v>37</v>
      </c>
      <c r="B2330" s="5" t="s">
        <v>7398</v>
      </c>
      <c r="C2330" s="9">
        <v>43360</v>
      </c>
      <c r="D2330" s="5" t="s">
        <v>16</v>
      </c>
      <c r="E2330" s="5" t="s">
        <v>5139</v>
      </c>
      <c r="F2330" s="6">
        <v>9750</v>
      </c>
    </row>
    <row r="2331" spans="1:6" x14ac:dyDescent="0.15">
      <c r="A2331" s="5" t="s">
        <v>37</v>
      </c>
      <c r="B2331" s="5" t="s">
        <v>7378</v>
      </c>
      <c r="C2331" s="9">
        <v>43353</v>
      </c>
      <c r="D2331" s="5" t="s">
        <v>16</v>
      </c>
      <c r="E2331" s="5" t="s">
        <v>7379</v>
      </c>
      <c r="F2331" s="6">
        <v>9750</v>
      </c>
    </row>
    <row r="2332" spans="1:6" x14ac:dyDescent="0.15">
      <c r="A2332" s="5" t="s">
        <v>41</v>
      </c>
      <c r="B2332" s="5" t="s">
        <v>1986</v>
      </c>
      <c r="C2332" s="9">
        <v>43353</v>
      </c>
      <c r="D2332" s="5" t="s">
        <v>16</v>
      </c>
      <c r="E2332" s="5" t="s">
        <v>1987</v>
      </c>
      <c r="F2332" s="6">
        <v>242.5</v>
      </c>
    </row>
    <row r="2333" spans="1:6" x14ac:dyDescent="0.15">
      <c r="A2333" s="5" t="s">
        <v>35</v>
      </c>
      <c r="B2333" s="5" t="s">
        <v>3589</v>
      </c>
      <c r="C2333" s="9">
        <v>43353</v>
      </c>
      <c r="D2333" s="5" t="s">
        <v>16</v>
      </c>
      <c r="E2333" s="5" t="s">
        <v>1987</v>
      </c>
      <c r="F2333" s="6">
        <v>2925</v>
      </c>
    </row>
    <row r="2334" spans="1:6" x14ac:dyDescent="0.15">
      <c r="A2334" s="5" t="s">
        <v>42</v>
      </c>
      <c r="B2334" s="5" t="s">
        <v>5906</v>
      </c>
      <c r="C2334" s="9">
        <v>43353</v>
      </c>
      <c r="D2334" s="5" t="s">
        <v>16</v>
      </c>
      <c r="E2334" s="5" t="s">
        <v>5907</v>
      </c>
      <c r="F2334" s="6">
        <v>4500</v>
      </c>
    </row>
    <row r="2335" spans="1:6" x14ac:dyDescent="0.15">
      <c r="A2335" s="5" t="s">
        <v>40</v>
      </c>
      <c r="B2335" s="5" t="s">
        <v>2456</v>
      </c>
      <c r="C2335" s="9">
        <v>43353</v>
      </c>
      <c r="D2335" s="5" t="s">
        <v>16</v>
      </c>
      <c r="E2335" s="5" t="s">
        <v>2457</v>
      </c>
      <c r="F2335" s="6">
        <v>1950</v>
      </c>
    </row>
    <row r="2336" spans="1:6" x14ac:dyDescent="0.15">
      <c r="A2336" s="5" t="s">
        <v>35</v>
      </c>
      <c r="B2336" s="5" t="s">
        <v>3590</v>
      </c>
      <c r="C2336" s="9">
        <v>43353</v>
      </c>
      <c r="D2336" s="5" t="s">
        <v>16</v>
      </c>
      <c r="E2336" s="5" t="s">
        <v>2457</v>
      </c>
      <c r="F2336" s="6">
        <v>11700</v>
      </c>
    </row>
    <row r="2337" spans="1:6" x14ac:dyDescent="0.15">
      <c r="A2337" s="5" t="s">
        <v>35</v>
      </c>
      <c r="B2337" s="5" t="s">
        <v>3592</v>
      </c>
      <c r="C2337" s="9">
        <v>43354</v>
      </c>
      <c r="D2337" s="5" t="s">
        <v>16</v>
      </c>
      <c r="E2337" s="5" t="s">
        <v>3593</v>
      </c>
      <c r="F2337" s="6">
        <v>97.5</v>
      </c>
    </row>
    <row r="2338" spans="1:6" x14ac:dyDescent="0.15">
      <c r="A2338" s="5" t="s">
        <v>41</v>
      </c>
      <c r="B2338" s="5" t="s">
        <v>1988</v>
      </c>
      <c r="C2338" s="9">
        <v>43353</v>
      </c>
      <c r="D2338" s="5" t="s">
        <v>16</v>
      </c>
      <c r="E2338" s="5" t="s">
        <v>1989</v>
      </c>
      <c r="F2338" s="6">
        <v>388</v>
      </c>
    </row>
    <row r="2339" spans="1:6" x14ac:dyDescent="0.15">
      <c r="A2339" s="5" t="s">
        <v>40</v>
      </c>
      <c r="B2339" s="5" t="s">
        <v>2458</v>
      </c>
      <c r="C2339" s="9">
        <v>43353</v>
      </c>
      <c r="D2339" s="5" t="s">
        <v>16</v>
      </c>
      <c r="E2339" s="5" t="s">
        <v>1989</v>
      </c>
      <c r="F2339" s="6">
        <v>4050</v>
      </c>
    </row>
    <row r="2340" spans="1:6" x14ac:dyDescent="0.15">
      <c r="A2340" s="5" t="s">
        <v>35</v>
      </c>
      <c r="B2340" s="5" t="s">
        <v>3591</v>
      </c>
      <c r="C2340" s="9">
        <v>43353</v>
      </c>
      <c r="D2340" s="5" t="s">
        <v>16</v>
      </c>
      <c r="E2340" s="5" t="s">
        <v>1989</v>
      </c>
      <c r="F2340" s="6">
        <v>4485</v>
      </c>
    </row>
    <row r="2341" spans="1:6" x14ac:dyDescent="0.15">
      <c r="A2341" s="5" t="s">
        <v>37</v>
      </c>
      <c r="B2341" s="5" t="s">
        <v>7382</v>
      </c>
      <c r="C2341" s="9">
        <v>43355</v>
      </c>
      <c r="D2341" s="5" t="s">
        <v>16</v>
      </c>
      <c r="E2341" s="5" t="s">
        <v>7383</v>
      </c>
      <c r="F2341" s="6">
        <v>292.5</v>
      </c>
    </row>
    <row r="2342" spans="1:6" x14ac:dyDescent="0.15">
      <c r="A2342" s="5" t="s">
        <v>41</v>
      </c>
      <c r="B2342" s="5" t="s">
        <v>1990</v>
      </c>
      <c r="C2342" s="9">
        <v>43354</v>
      </c>
      <c r="D2342" s="5" t="s">
        <v>16</v>
      </c>
      <c r="E2342" s="5" t="s">
        <v>1991</v>
      </c>
      <c r="F2342" s="6">
        <v>5335</v>
      </c>
    </row>
    <row r="2343" spans="1:6" x14ac:dyDescent="0.15">
      <c r="A2343" s="5" t="s">
        <v>35</v>
      </c>
      <c r="B2343" s="5" t="s">
        <v>3594</v>
      </c>
      <c r="C2343" s="9">
        <v>43354</v>
      </c>
      <c r="D2343" s="5" t="s">
        <v>16</v>
      </c>
      <c r="E2343" s="5" t="s">
        <v>1991</v>
      </c>
      <c r="F2343" s="6">
        <v>975</v>
      </c>
    </row>
    <row r="2344" spans="1:6" x14ac:dyDescent="0.15">
      <c r="A2344" s="5" t="s">
        <v>35</v>
      </c>
      <c r="B2344" s="5" t="s">
        <v>3595</v>
      </c>
      <c r="C2344" s="9">
        <v>43354</v>
      </c>
      <c r="D2344" s="5" t="s">
        <v>16</v>
      </c>
      <c r="E2344" s="5" t="s">
        <v>3596</v>
      </c>
      <c r="F2344" s="6">
        <v>3217.5</v>
      </c>
    </row>
    <row r="2345" spans="1:6" x14ac:dyDescent="0.15">
      <c r="A2345" s="5" t="s">
        <v>49</v>
      </c>
      <c r="B2345" s="5" t="s">
        <v>8679</v>
      </c>
      <c r="C2345" s="9">
        <v>43355</v>
      </c>
      <c r="D2345" s="5" t="s">
        <v>16</v>
      </c>
      <c r="E2345" s="5" t="s">
        <v>8680</v>
      </c>
      <c r="F2345" s="6">
        <v>1000</v>
      </c>
    </row>
    <row r="2346" spans="1:6" x14ac:dyDescent="0.15">
      <c r="A2346" s="5" t="s">
        <v>35</v>
      </c>
      <c r="B2346" s="5" t="s">
        <v>3597</v>
      </c>
      <c r="C2346" s="9">
        <v>43355</v>
      </c>
      <c r="D2346" s="5" t="s">
        <v>16</v>
      </c>
      <c r="E2346" s="5" t="s">
        <v>3598</v>
      </c>
      <c r="F2346" s="6">
        <v>390</v>
      </c>
    </row>
    <row r="2347" spans="1:6" x14ac:dyDescent="0.15">
      <c r="A2347" s="5" t="s">
        <v>55</v>
      </c>
      <c r="B2347" s="5" t="s">
        <v>4495</v>
      </c>
      <c r="C2347" s="9">
        <v>43355</v>
      </c>
      <c r="D2347" s="5" t="s">
        <v>16</v>
      </c>
      <c r="E2347" s="5" t="s">
        <v>3598</v>
      </c>
      <c r="F2347" s="6">
        <v>97.5</v>
      </c>
    </row>
    <row r="2348" spans="1:6" x14ac:dyDescent="0.15">
      <c r="A2348" s="5" t="s">
        <v>37</v>
      </c>
      <c r="B2348" s="5" t="s">
        <v>7384</v>
      </c>
      <c r="C2348" s="9">
        <v>43355</v>
      </c>
      <c r="D2348" s="5" t="s">
        <v>16</v>
      </c>
      <c r="E2348" s="5" t="s">
        <v>7385</v>
      </c>
      <c r="F2348" s="6">
        <v>487.5</v>
      </c>
    </row>
    <row r="2349" spans="1:6" x14ac:dyDescent="0.15">
      <c r="A2349" s="5" t="s">
        <v>37</v>
      </c>
      <c r="B2349" s="5" t="s">
        <v>7386</v>
      </c>
      <c r="C2349" s="9">
        <v>43355</v>
      </c>
      <c r="D2349" s="5" t="s">
        <v>16</v>
      </c>
      <c r="E2349" s="5" t="s">
        <v>7387</v>
      </c>
      <c r="F2349" s="6">
        <v>585</v>
      </c>
    </row>
    <row r="2350" spans="1:6" x14ac:dyDescent="0.15">
      <c r="A2350" s="5" t="s">
        <v>37</v>
      </c>
      <c r="B2350" s="5" t="s">
        <v>7388</v>
      </c>
      <c r="C2350" s="9">
        <v>43355</v>
      </c>
      <c r="D2350" s="5" t="s">
        <v>16</v>
      </c>
      <c r="E2350" s="5" t="s">
        <v>7389</v>
      </c>
      <c r="F2350" s="6">
        <v>7605</v>
      </c>
    </row>
    <row r="2351" spans="1:6" x14ac:dyDescent="0.15">
      <c r="A2351" s="5" t="s">
        <v>35</v>
      </c>
      <c r="B2351" s="5" t="s">
        <v>3599</v>
      </c>
      <c r="C2351" s="9">
        <v>43355</v>
      </c>
      <c r="D2351" s="5" t="s">
        <v>16</v>
      </c>
      <c r="E2351" s="5" t="s">
        <v>3600</v>
      </c>
      <c r="F2351" s="6">
        <v>1852.5</v>
      </c>
    </row>
    <row r="2352" spans="1:6" x14ac:dyDescent="0.15">
      <c r="A2352" s="5" t="s">
        <v>53</v>
      </c>
      <c r="B2352" s="5" t="s">
        <v>8474</v>
      </c>
      <c r="C2352" s="9">
        <v>43357</v>
      </c>
      <c r="D2352" s="5" t="s">
        <v>16</v>
      </c>
      <c r="E2352" s="5" t="s">
        <v>8475</v>
      </c>
      <c r="F2352" s="6">
        <v>25350</v>
      </c>
    </row>
    <row r="2353" spans="1:6" x14ac:dyDescent="0.15">
      <c r="A2353" s="5" t="s">
        <v>43</v>
      </c>
      <c r="B2353" s="5" t="s">
        <v>5144</v>
      </c>
      <c r="C2353" s="9">
        <v>43367</v>
      </c>
      <c r="D2353" s="5" t="s">
        <v>16</v>
      </c>
      <c r="E2353" s="5" t="s">
        <v>5145</v>
      </c>
      <c r="F2353" s="6">
        <v>7760</v>
      </c>
    </row>
    <row r="2354" spans="1:6" x14ac:dyDescent="0.15">
      <c r="A2354" s="5" t="s">
        <v>37</v>
      </c>
      <c r="B2354" s="5" t="s">
        <v>7418</v>
      </c>
      <c r="C2354" s="9">
        <v>43367</v>
      </c>
      <c r="D2354" s="5" t="s">
        <v>16</v>
      </c>
      <c r="E2354" s="5" t="s">
        <v>5145</v>
      </c>
      <c r="F2354" s="6">
        <v>13650</v>
      </c>
    </row>
    <row r="2355" spans="1:6" x14ac:dyDescent="0.15">
      <c r="A2355" s="5" t="s">
        <v>35</v>
      </c>
      <c r="B2355" s="5" t="s">
        <v>3601</v>
      </c>
      <c r="C2355" s="9">
        <v>43356</v>
      </c>
      <c r="D2355" s="5" t="s">
        <v>16</v>
      </c>
      <c r="E2355" s="5" t="s">
        <v>3602</v>
      </c>
      <c r="F2355" s="6">
        <v>6240</v>
      </c>
    </row>
    <row r="2356" spans="1:6" x14ac:dyDescent="0.15">
      <c r="A2356" s="5" t="s">
        <v>37</v>
      </c>
      <c r="B2356" s="5" t="s">
        <v>7390</v>
      </c>
      <c r="C2356" s="9">
        <v>43357</v>
      </c>
      <c r="D2356" s="5" t="s">
        <v>16</v>
      </c>
      <c r="E2356" s="5" t="s">
        <v>7391</v>
      </c>
      <c r="F2356" s="6">
        <v>-3607.5</v>
      </c>
    </row>
    <row r="2357" spans="1:6" x14ac:dyDescent="0.15">
      <c r="A2357" s="5" t="s">
        <v>37</v>
      </c>
      <c r="B2357" s="5" t="s">
        <v>7392</v>
      </c>
      <c r="C2357" s="9">
        <v>43357</v>
      </c>
      <c r="D2357" s="5" t="s">
        <v>16</v>
      </c>
      <c r="E2357" s="5" t="s">
        <v>7393</v>
      </c>
      <c r="F2357" s="6">
        <v>3607.5</v>
      </c>
    </row>
    <row r="2358" spans="1:6" x14ac:dyDescent="0.15">
      <c r="A2358" s="5" t="s">
        <v>43</v>
      </c>
      <c r="B2358" s="5" t="s">
        <v>5140</v>
      </c>
      <c r="C2358" s="9">
        <v>43360</v>
      </c>
      <c r="D2358" s="5" t="s">
        <v>16</v>
      </c>
      <c r="E2358" s="5" t="s">
        <v>5141</v>
      </c>
      <c r="F2358" s="6">
        <v>-3880</v>
      </c>
    </row>
    <row r="2359" spans="1:6" x14ac:dyDescent="0.15">
      <c r="A2359" s="5" t="s">
        <v>37</v>
      </c>
      <c r="B2359" s="5" t="s">
        <v>7399</v>
      </c>
      <c r="C2359" s="9">
        <v>43360</v>
      </c>
      <c r="D2359" s="5" t="s">
        <v>16</v>
      </c>
      <c r="E2359" s="5" t="s">
        <v>5141</v>
      </c>
      <c r="F2359" s="6">
        <v>-975</v>
      </c>
    </row>
    <row r="2360" spans="1:6" x14ac:dyDescent="0.15">
      <c r="A2360" s="5" t="s">
        <v>43</v>
      </c>
      <c r="B2360" s="5" t="s">
        <v>5142</v>
      </c>
      <c r="C2360" s="9">
        <v>43360</v>
      </c>
      <c r="D2360" s="5" t="s">
        <v>16</v>
      </c>
      <c r="E2360" s="5" t="s">
        <v>5143</v>
      </c>
      <c r="F2360" s="6">
        <v>1940</v>
      </c>
    </row>
    <row r="2361" spans="1:6" x14ac:dyDescent="0.15">
      <c r="A2361" s="5" t="s">
        <v>37</v>
      </c>
      <c r="B2361" s="5" t="s">
        <v>7400</v>
      </c>
      <c r="C2361" s="9">
        <v>43360</v>
      </c>
      <c r="D2361" s="5" t="s">
        <v>16</v>
      </c>
      <c r="E2361" s="5" t="s">
        <v>5143</v>
      </c>
      <c r="F2361" s="6">
        <v>975</v>
      </c>
    </row>
    <row r="2362" spans="1:6" x14ac:dyDescent="0.15">
      <c r="A2362" s="5" t="s">
        <v>37</v>
      </c>
      <c r="B2362" s="5" t="s">
        <v>7394</v>
      </c>
      <c r="C2362" s="9">
        <v>43357</v>
      </c>
      <c r="D2362" s="5" t="s">
        <v>16</v>
      </c>
      <c r="E2362" s="5" t="s">
        <v>7395</v>
      </c>
      <c r="F2362" s="6">
        <v>1267.5</v>
      </c>
    </row>
    <row r="2363" spans="1:6" x14ac:dyDescent="0.15">
      <c r="A2363" s="5" t="s">
        <v>37</v>
      </c>
      <c r="B2363" s="5" t="s">
        <v>7396</v>
      </c>
      <c r="C2363" s="9">
        <v>43357</v>
      </c>
      <c r="D2363" s="5" t="s">
        <v>16</v>
      </c>
      <c r="E2363" s="5" t="s">
        <v>7397</v>
      </c>
      <c r="F2363" s="6">
        <v>2827.5</v>
      </c>
    </row>
    <row r="2364" spans="1:6" x14ac:dyDescent="0.15">
      <c r="A2364" s="5" t="s">
        <v>37</v>
      </c>
      <c r="B2364" s="5" t="s">
        <v>7401</v>
      </c>
      <c r="C2364" s="9">
        <v>43361</v>
      </c>
      <c r="D2364" s="5" t="s">
        <v>16</v>
      </c>
      <c r="E2364" s="5" t="s">
        <v>7402</v>
      </c>
      <c r="F2364" s="6">
        <v>292.5</v>
      </c>
    </row>
    <row r="2365" spans="1:6" x14ac:dyDescent="0.15">
      <c r="A2365" s="5" t="s">
        <v>51</v>
      </c>
      <c r="B2365" s="5" t="s">
        <v>4237</v>
      </c>
      <c r="C2365" s="9">
        <v>43367</v>
      </c>
      <c r="D2365" s="5" t="s">
        <v>16</v>
      </c>
      <c r="E2365" s="5" t="s">
        <v>4238</v>
      </c>
      <c r="F2365" s="6">
        <v>2145</v>
      </c>
    </row>
    <row r="2366" spans="1:6" x14ac:dyDescent="0.15">
      <c r="A2366" s="5" t="s">
        <v>35</v>
      </c>
      <c r="B2366" s="5" t="s">
        <v>3603</v>
      </c>
      <c r="C2366" s="9">
        <v>43360</v>
      </c>
      <c r="D2366" s="5" t="s">
        <v>16</v>
      </c>
      <c r="E2366" s="5" t="s">
        <v>3604</v>
      </c>
      <c r="F2366" s="6">
        <v>390</v>
      </c>
    </row>
    <row r="2367" spans="1:6" x14ac:dyDescent="0.15">
      <c r="A2367" s="5" t="s">
        <v>35</v>
      </c>
      <c r="B2367" s="5" t="s">
        <v>3605</v>
      </c>
      <c r="C2367" s="9">
        <v>43360</v>
      </c>
      <c r="D2367" s="5" t="s">
        <v>16</v>
      </c>
      <c r="E2367" s="5" t="s">
        <v>3606</v>
      </c>
      <c r="F2367" s="6">
        <v>3900</v>
      </c>
    </row>
    <row r="2368" spans="1:6" x14ac:dyDescent="0.15">
      <c r="A2368" s="5" t="s">
        <v>37</v>
      </c>
      <c r="B2368" s="5" t="s">
        <v>7403</v>
      </c>
      <c r="C2368" s="9">
        <v>43361</v>
      </c>
      <c r="D2368" s="5" t="s">
        <v>16</v>
      </c>
      <c r="E2368" s="5" t="s">
        <v>7404</v>
      </c>
      <c r="F2368" s="6">
        <v>9750</v>
      </c>
    </row>
    <row r="2369" spans="1:6" x14ac:dyDescent="0.15">
      <c r="A2369" s="5" t="s">
        <v>42</v>
      </c>
      <c r="B2369" s="5" t="s">
        <v>5908</v>
      </c>
      <c r="C2369" s="9">
        <v>43361</v>
      </c>
      <c r="D2369" s="5" t="s">
        <v>16</v>
      </c>
      <c r="E2369" s="5" t="s">
        <v>5909</v>
      </c>
      <c r="F2369" s="6">
        <v>750</v>
      </c>
    </row>
    <row r="2370" spans="1:6" x14ac:dyDescent="0.15">
      <c r="A2370" s="5" t="s">
        <v>37</v>
      </c>
      <c r="B2370" s="5" t="s">
        <v>7412</v>
      </c>
      <c r="C2370" s="9">
        <v>43363</v>
      </c>
      <c r="D2370" s="5" t="s">
        <v>16</v>
      </c>
      <c r="E2370" s="5" t="s">
        <v>3610</v>
      </c>
      <c r="F2370" s="6">
        <v>11017.5</v>
      </c>
    </row>
    <row r="2371" spans="1:6" x14ac:dyDescent="0.15">
      <c r="A2371" s="5" t="s">
        <v>35</v>
      </c>
      <c r="B2371" s="5" t="s">
        <v>3609</v>
      </c>
      <c r="C2371" s="9">
        <v>43363</v>
      </c>
      <c r="D2371" s="5" t="s">
        <v>16</v>
      </c>
      <c r="E2371" s="5" t="s">
        <v>3610</v>
      </c>
      <c r="F2371" s="6">
        <v>3120</v>
      </c>
    </row>
    <row r="2372" spans="1:6" x14ac:dyDescent="0.15">
      <c r="A2372" s="5" t="s">
        <v>37</v>
      </c>
      <c r="B2372" s="5" t="s">
        <v>7405</v>
      </c>
      <c r="C2372" s="9">
        <v>43362</v>
      </c>
      <c r="D2372" s="5" t="s">
        <v>16</v>
      </c>
      <c r="E2372" s="5" t="s">
        <v>3608</v>
      </c>
      <c r="F2372" s="6">
        <v>5850</v>
      </c>
    </row>
    <row r="2373" spans="1:6" x14ac:dyDescent="0.15">
      <c r="A2373" s="5" t="s">
        <v>35</v>
      </c>
      <c r="B2373" s="5" t="s">
        <v>3607</v>
      </c>
      <c r="C2373" s="9">
        <v>43362</v>
      </c>
      <c r="D2373" s="5" t="s">
        <v>16</v>
      </c>
      <c r="E2373" s="5" t="s">
        <v>3608</v>
      </c>
      <c r="F2373" s="6">
        <v>1950</v>
      </c>
    </row>
    <row r="2374" spans="1:6" x14ac:dyDescent="0.15">
      <c r="A2374" s="5" t="s">
        <v>37</v>
      </c>
      <c r="B2374" s="5" t="s">
        <v>7406</v>
      </c>
      <c r="C2374" s="9">
        <v>43362</v>
      </c>
      <c r="D2374" s="5" t="s">
        <v>16</v>
      </c>
      <c r="E2374" s="5" t="s">
        <v>7407</v>
      </c>
      <c r="F2374" s="6">
        <v>16965</v>
      </c>
    </row>
    <row r="2375" spans="1:6" x14ac:dyDescent="0.15">
      <c r="A2375" s="5" t="s">
        <v>37</v>
      </c>
      <c r="B2375" s="5" t="s">
        <v>7408</v>
      </c>
      <c r="C2375" s="9">
        <v>43362</v>
      </c>
      <c r="D2375" s="5" t="s">
        <v>16</v>
      </c>
      <c r="E2375" s="5" t="s">
        <v>7409</v>
      </c>
      <c r="F2375" s="6">
        <v>-16965</v>
      </c>
    </row>
    <row r="2376" spans="1:6" x14ac:dyDescent="0.15">
      <c r="A2376" s="5" t="s">
        <v>37</v>
      </c>
      <c r="B2376" s="5" t="s">
        <v>7410</v>
      </c>
      <c r="C2376" s="9">
        <v>43362</v>
      </c>
      <c r="D2376" s="5" t="s">
        <v>16</v>
      </c>
      <c r="E2376" s="5" t="s">
        <v>7411</v>
      </c>
      <c r="F2376" s="6">
        <v>16087.5</v>
      </c>
    </row>
    <row r="2377" spans="1:6" x14ac:dyDescent="0.15">
      <c r="A2377" s="5" t="s">
        <v>37</v>
      </c>
      <c r="B2377" s="5" t="s">
        <v>7421</v>
      </c>
      <c r="C2377" s="9">
        <v>43368</v>
      </c>
      <c r="D2377" s="5" t="s">
        <v>16</v>
      </c>
      <c r="E2377" s="5" t="s">
        <v>7422</v>
      </c>
      <c r="F2377" s="6">
        <v>3900</v>
      </c>
    </row>
    <row r="2378" spans="1:6" x14ac:dyDescent="0.15">
      <c r="A2378" s="5" t="s">
        <v>44</v>
      </c>
      <c r="B2378" s="5" t="s">
        <v>4404</v>
      </c>
      <c r="C2378" s="9">
        <v>43382</v>
      </c>
      <c r="D2378" s="5" t="s">
        <v>16</v>
      </c>
      <c r="E2378" s="5" t="s">
        <v>2205</v>
      </c>
      <c r="F2378" s="6">
        <v>11700</v>
      </c>
    </row>
    <row r="2379" spans="1:6" x14ac:dyDescent="0.15">
      <c r="A2379" s="5" t="s">
        <v>46</v>
      </c>
      <c r="B2379" s="5" t="s">
        <v>2204</v>
      </c>
      <c r="C2379" s="9">
        <v>43382</v>
      </c>
      <c r="D2379" s="5" t="s">
        <v>16</v>
      </c>
      <c r="E2379" s="5" t="s">
        <v>2205</v>
      </c>
      <c r="F2379" s="6">
        <v>1940</v>
      </c>
    </row>
    <row r="2380" spans="1:6" x14ac:dyDescent="0.15">
      <c r="A2380" s="5" t="s">
        <v>44</v>
      </c>
      <c r="B2380" s="5" t="s">
        <v>4405</v>
      </c>
      <c r="C2380" s="9">
        <v>43382</v>
      </c>
      <c r="D2380" s="5" t="s">
        <v>16</v>
      </c>
      <c r="E2380" s="5" t="s">
        <v>4406</v>
      </c>
      <c r="F2380" s="6">
        <v>1950</v>
      </c>
    </row>
    <row r="2381" spans="1:6" x14ac:dyDescent="0.15">
      <c r="A2381" s="5" t="s">
        <v>35</v>
      </c>
      <c r="B2381" s="5" t="s">
        <v>3611</v>
      </c>
      <c r="C2381" s="9">
        <v>43363</v>
      </c>
      <c r="D2381" s="5" t="s">
        <v>16</v>
      </c>
      <c r="E2381" s="5" t="s">
        <v>3612</v>
      </c>
      <c r="F2381" s="6">
        <v>3217.5</v>
      </c>
    </row>
    <row r="2382" spans="1:6" x14ac:dyDescent="0.15">
      <c r="A2382" s="5" t="s">
        <v>35</v>
      </c>
      <c r="B2382" s="5" t="s">
        <v>3613</v>
      </c>
      <c r="C2382" s="9">
        <v>43363</v>
      </c>
      <c r="D2382" s="5" t="s">
        <v>16</v>
      </c>
      <c r="E2382" s="5" t="s">
        <v>2460</v>
      </c>
      <c r="F2382" s="6">
        <v>975</v>
      </c>
    </row>
    <row r="2383" spans="1:6" x14ac:dyDescent="0.15">
      <c r="A2383" s="5" t="s">
        <v>40</v>
      </c>
      <c r="B2383" s="5" t="s">
        <v>2459</v>
      </c>
      <c r="C2383" s="9">
        <v>43363</v>
      </c>
      <c r="D2383" s="5" t="s">
        <v>16</v>
      </c>
      <c r="E2383" s="5" t="s">
        <v>2460</v>
      </c>
      <c r="F2383" s="6">
        <v>375</v>
      </c>
    </row>
    <row r="2384" spans="1:6" x14ac:dyDescent="0.15">
      <c r="A2384" s="5" t="s">
        <v>37</v>
      </c>
      <c r="B2384" s="5" t="s">
        <v>7413</v>
      </c>
      <c r="C2384" s="9">
        <v>43364</v>
      </c>
      <c r="D2384" s="5" t="s">
        <v>16</v>
      </c>
      <c r="E2384" s="5" t="s">
        <v>7414</v>
      </c>
      <c r="F2384" s="6">
        <v>2437.5</v>
      </c>
    </row>
    <row r="2385" spans="1:6" x14ac:dyDescent="0.15">
      <c r="A2385" s="5" t="s">
        <v>35</v>
      </c>
      <c r="B2385" s="5" t="s">
        <v>3614</v>
      </c>
      <c r="C2385" s="9">
        <v>43363</v>
      </c>
      <c r="D2385" s="5" t="s">
        <v>16</v>
      </c>
      <c r="E2385" s="5" t="s">
        <v>3615</v>
      </c>
      <c r="F2385" s="6">
        <v>585</v>
      </c>
    </row>
    <row r="2386" spans="1:6" x14ac:dyDescent="0.15">
      <c r="A2386" s="5" t="s">
        <v>55</v>
      </c>
      <c r="B2386" s="5" t="s">
        <v>4496</v>
      </c>
      <c r="C2386" s="9">
        <v>43364</v>
      </c>
      <c r="D2386" s="5" t="s">
        <v>16</v>
      </c>
      <c r="E2386" s="5" t="s">
        <v>4497</v>
      </c>
      <c r="F2386" s="6">
        <v>100</v>
      </c>
    </row>
    <row r="2387" spans="1:6" x14ac:dyDescent="0.15">
      <c r="A2387" s="5" t="s">
        <v>37</v>
      </c>
      <c r="B2387" s="5" t="s">
        <v>7415</v>
      </c>
      <c r="C2387" s="9">
        <v>43364</v>
      </c>
      <c r="D2387" s="5" t="s">
        <v>16</v>
      </c>
      <c r="E2387" s="5" t="s">
        <v>7416</v>
      </c>
      <c r="F2387" s="6">
        <v>10042.5</v>
      </c>
    </row>
    <row r="2388" spans="1:6" x14ac:dyDescent="0.15">
      <c r="A2388" s="5" t="s">
        <v>42</v>
      </c>
      <c r="B2388" s="5" t="s">
        <v>5910</v>
      </c>
      <c r="C2388" s="9">
        <v>43367</v>
      </c>
      <c r="D2388" s="5" t="s">
        <v>16</v>
      </c>
      <c r="E2388" s="5" t="s">
        <v>5911</v>
      </c>
      <c r="F2388" s="6">
        <v>-750</v>
      </c>
    </row>
    <row r="2389" spans="1:6" x14ac:dyDescent="0.15">
      <c r="A2389" s="5" t="s">
        <v>37</v>
      </c>
      <c r="B2389" s="5" t="s">
        <v>7419</v>
      </c>
      <c r="C2389" s="9">
        <v>43367</v>
      </c>
      <c r="D2389" s="5" t="s">
        <v>16</v>
      </c>
      <c r="E2389" s="5" t="s">
        <v>7420</v>
      </c>
      <c r="F2389" s="6">
        <v>390</v>
      </c>
    </row>
    <row r="2390" spans="1:6" x14ac:dyDescent="0.15">
      <c r="A2390" s="5" t="s">
        <v>35</v>
      </c>
      <c r="B2390" s="5" t="s">
        <v>3618</v>
      </c>
      <c r="C2390" s="9">
        <v>43368</v>
      </c>
      <c r="D2390" s="5" t="s">
        <v>16</v>
      </c>
      <c r="E2390" s="5" t="s">
        <v>2462</v>
      </c>
      <c r="F2390" s="6">
        <v>1950</v>
      </c>
    </row>
    <row r="2391" spans="1:6" x14ac:dyDescent="0.15">
      <c r="A2391" s="5" t="s">
        <v>40</v>
      </c>
      <c r="B2391" s="5" t="s">
        <v>2461</v>
      </c>
      <c r="C2391" s="9">
        <v>43368</v>
      </c>
      <c r="D2391" s="5" t="s">
        <v>16</v>
      </c>
      <c r="E2391" s="5" t="s">
        <v>2462</v>
      </c>
      <c r="F2391" s="6">
        <v>1500</v>
      </c>
    </row>
    <row r="2392" spans="1:6" x14ac:dyDescent="0.15">
      <c r="A2392" s="5" t="s">
        <v>53</v>
      </c>
      <c r="B2392" s="5" t="s">
        <v>8484</v>
      </c>
      <c r="C2392" s="9">
        <v>43381</v>
      </c>
      <c r="D2392" s="5" t="s">
        <v>16</v>
      </c>
      <c r="E2392" s="5" t="s">
        <v>5603</v>
      </c>
      <c r="F2392" s="6">
        <v>15600</v>
      </c>
    </row>
    <row r="2393" spans="1:6" x14ac:dyDescent="0.15">
      <c r="A2393" s="5" t="s">
        <v>57</v>
      </c>
      <c r="B2393" s="5" t="s">
        <v>5602</v>
      </c>
      <c r="C2393" s="9">
        <v>43381</v>
      </c>
      <c r="D2393" s="5" t="s">
        <v>16</v>
      </c>
      <c r="E2393" s="5" t="s">
        <v>5603</v>
      </c>
      <c r="F2393" s="6">
        <v>9700</v>
      </c>
    </row>
    <row r="2394" spans="1:6" x14ac:dyDescent="0.15">
      <c r="A2394" s="5" t="s">
        <v>41</v>
      </c>
      <c r="B2394" s="5" t="s">
        <v>1996</v>
      </c>
      <c r="C2394" s="9">
        <v>43381</v>
      </c>
      <c r="D2394" s="5" t="s">
        <v>16</v>
      </c>
      <c r="E2394" s="5" t="s">
        <v>1997</v>
      </c>
      <c r="F2394" s="6">
        <v>2667.5</v>
      </c>
    </row>
    <row r="2395" spans="1:6" x14ac:dyDescent="0.15">
      <c r="A2395" s="5" t="s">
        <v>40</v>
      </c>
      <c r="B2395" s="5" t="s">
        <v>2466</v>
      </c>
      <c r="C2395" s="9">
        <v>43381</v>
      </c>
      <c r="D2395" s="5" t="s">
        <v>16</v>
      </c>
      <c r="E2395" s="5" t="s">
        <v>1997</v>
      </c>
      <c r="F2395" s="6">
        <v>1500</v>
      </c>
    </row>
    <row r="2396" spans="1:6" x14ac:dyDescent="0.15">
      <c r="A2396" s="5" t="s">
        <v>43</v>
      </c>
      <c r="B2396" s="5" t="s">
        <v>5154</v>
      </c>
      <c r="C2396" s="9">
        <v>43381</v>
      </c>
      <c r="D2396" s="5" t="s">
        <v>16</v>
      </c>
      <c r="E2396" s="5" t="s">
        <v>1997</v>
      </c>
      <c r="F2396" s="6">
        <v>8536</v>
      </c>
    </row>
    <row r="2397" spans="1:6" x14ac:dyDescent="0.15">
      <c r="A2397" s="5" t="s">
        <v>35</v>
      </c>
      <c r="B2397" s="5" t="s">
        <v>3619</v>
      </c>
      <c r="C2397" s="9">
        <v>43369</v>
      </c>
      <c r="D2397" s="5" t="s">
        <v>16</v>
      </c>
      <c r="E2397" s="5" t="s">
        <v>3620</v>
      </c>
      <c r="F2397" s="6">
        <v>8190</v>
      </c>
    </row>
    <row r="2398" spans="1:6" x14ac:dyDescent="0.15">
      <c r="A2398" s="5" t="s">
        <v>35</v>
      </c>
      <c r="B2398" s="5" t="s">
        <v>3621</v>
      </c>
      <c r="C2398" s="9">
        <v>43369</v>
      </c>
      <c r="D2398" s="5" t="s">
        <v>16</v>
      </c>
      <c r="E2398" s="5" t="s">
        <v>2464</v>
      </c>
      <c r="F2398" s="6">
        <v>3607.5</v>
      </c>
    </row>
    <row r="2399" spans="1:6" x14ac:dyDescent="0.15">
      <c r="A2399" s="5" t="s">
        <v>40</v>
      </c>
      <c r="B2399" s="5" t="s">
        <v>2463</v>
      </c>
      <c r="C2399" s="9">
        <v>43369</v>
      </c>
      <c r="D2399" s="5" t="s">
        <v>16</v>
      </c>
      <c r="E2399" s="5" t="s">
        <v>2464</v>
      </c>
      <c r="F2399" s="6">
        <v>1650</v>
      </c>
    </row>
    <row r="2400" spans="1:6" x14ac:dyDescent="0.15">
      <c r="A2400" s="5" t="s">
        <v>37</v>
      </c>
      <c r="B2400" s="5" t="s">
        <v>7423</v>
      </c>
      <c r="C2400" s="9">
        <v>43369</v>
      </c>
      <c r="D2400" s="5" t="s">
        <v>16</v>
      </c>
      <c r="E2400" s="5" t="s">
        <v>7424</v>
      </c>
      <c r="F2400" s="6">
        <v>7800</v>
      </c>
    </row>
    <row r="2401" spans="1:6" x14ac:dyDescent="0.15">
      <c r="A2401" s="5" t="s">
        <v>43</v>
      </c>
      <c r="B2401" s="5" t="s">
        <v>5146</v>
      </c>
      <c r="C2401" s="9">
        <v>43369</v>
      </c>
      <c r="D2401" s="5" t="s">
        <v>16</v>
      </c>
      <c r="E2401" s="5" t="s">
        <v>5147</v>
      </c>
      <c r="F2401" s="6">
        <v>873</v>
      </c>
    </row>
    <row r="2402" spans="1:6" x14ac:dyDescent="0.15">
      <c r="A2402" s="5" t="s">
        <v>37</v>
      </c>
      <c r="B2402" s="5" t="s">
        <v>7425</v>
      </c>
      <c r="C2402" s="9">
        <v>43369</v>
      </c>
      <c r="D2402" s="5" t="s">
        <v>16</v>
      </c>
      <c r="E2402" s="5" t="s">
        <v>5147</v>
      </c>
      <c r="F2402" s="6">
        <v>5070</v>
      </c>
    </row>
    <row r="2403" spans="1:6" x14ac:dyDescent="0.15">
      <c r="A2403" s="5" t="s">
        <v>37</v>
      </c>
      <c r="B2403" s="5" t="s">
        <v>7429</v>
      </c>
      <c r="C2403" s="9">
        <v>43370</v>
      </c>
      <c r="D2403" s="5" t="s">
        <v>16</v>
      </c>
      <c r="E2403" s="5" t="s">
        <v>7430</v>
      </c>
      <c r="F2403" s="6">
        <v>292.5</v>
      </c>
    </row>
    <row r="2404" spans="1:6" x14ac:dyDescent="0.15">
      <c r="A2404" s="5" t="s">
        <v>37</v>
      </c>
      <c r="B2404" s="5" t="s">
        <v>7439</v>
      </c>
      <c r="C2404" s="9">
        <v>43374</v>
      </c>
      <c r="D2404" s="5" t="s">
        <v>16</v>
      </c>
      <c r="E2404" s="5" t="s">
        <v>7440</v>
      </c>
      <c r="F2404" s="6">
        <v>12480</v>
      </c>
    </row>
    <row r="2405" spans="1:6" x14ac:dyDescent="0.15">
      <c r="A2405" s="5" t="s">
        <v>37</v>
      </c>
      <c r="B2405" s="5" t="s">
        <v>7431</v>
      </c>
      <c r="C2405" s="9">
        <v>43371</v>
      </c>
      <c r="D2405" s="5" t="s">
        <v>16</v>
      </c>
      <c r="E2405" s="5" t="s">
        <v>7432</v>
      </c>
      <c r="F2405" s="6">
        <v>2047.5</v>
      </c>
    </row>
    <row r="2406" spans="1:6" x14ac:dyDescent="0.15">
      <c r="A2406" s="5" t="s">
        <v>37</v>
      </c>
      <c r="B2406" s="5" t="s">
        <v>7433</v>
      </c>
      <c r="C2406" s="9">
        <v>43371</v>
      </c>
      <c r="D2406" s="5" t="s">
        <v>16</v>
      </c>
      <c r="E2406" s="5" t="s">
        <v>7434</v>
      </c>
      <c r="F2406" s="6">
        <v>-2047.5</v>
      </c>
    </row>
    <row r="2407" spans="1:6" x14ac:dyDescent="0.15">
      <c r="A2407" s="5" t="s">
        <v>37</v>
      </c>
      <c r="B2407" s="5" t="s">
        <v>7435</v>
      </c>
      <c r="C2407" s="9">
        <v>43371</v>
      </c>
      <c r="D2407" s="5" t="s">
        <v>16</v>
      </c>
      <c r="E2407" s="5" t="s">
        <v>7436</v>
      </c>
      <c r="F2407" s="6">
        <v>3607.5</v>
      </c>
    </row>
    <row r="2408" spans="1:6" x14ac:dyDescent="0.15">
      <c r="A2408" s="5" t="s">
        <v>37</v>
      </c>
      <c r="B2408" s="5" t="s">
        <v>7437</v>
      </c>
      <c r="C2408" s="9">
        <v>43371</v>
      </c>
      <c r="D2408" s="5" t="s">
        <v>16</v>
      </c>
      <c r="E2408" s="5" t="s">
        <v>7438</v>
      </c>
      <c r="F2408" s="6">
        <v>-3607.5</v>
      </c>
    </row>
    <row r="2409" spans="1:6" x14ac:dyDescent="0.15">
      <c r="A2409" s="5" t="s">
        <v>37</v>
      </c>
      <c r="B2409" s="5" t="s">
        <v>7426</v>
      </c>
      <c r="C2409" s="9">
        <v>43369</v>
      </c>
      <c r="D2409" s="5" t="s">
        <v>16</v>
      </c>
      <c r="E2409" s="5" t="s">
        <v>7427</v>
      </c>
      <c r="F2409" s="6">
        <v>3120</v>
      </c>
    </row>
    <row r="2410" spans="1:6" x14ac:dyDescent="0.15">
      <c r="A2410" s="5" t="s">
        <v>37</v>
      </c>
      <c r="B2410" s="5" t="s">
        <v>7428</v>
      </c>
      <c r="C2410" s="9">
        <v>43369</v>
      </c>
      <c r="D2410" s="5" t="s">
        <v>16</v>
      </c>
      <c r="E2410" s="5" t="s">
        <v>7427</v>
      </c>
      <c r="F2410" s="6">
        <v>3607.5</v>
      </c>
    </row>
    <row r="2411" spans="1:6" x14ac:dyDescent="0.15">
      <c r="A2411" s="5" t="s">
        <v>37</v>
      </c>
      <c r="B2411" s="5" t="s">
        <v>7441</v>
      </c>
      <c r="C2411" s="9">
        <v>43374</v>
      </c>
      <c r="D2411" s="5" t="s">
        <v>16</v>
      </c>
      <c r="E2411" s="5" t="s">
        <v>7442</v>
      </c>
      <c r="F2411" s="6">
        <v>195</v>
      </c>
    </row>
    <row r="2412" spans="1:6" x14ac:dyDescent="0.15">
      <c r="A2412" s="5" t="s">
        <v>37</v>
      </c>
      <c r="B2412" s="5" t="s">
        <v>7454</v>
      </c>
      <c r="C2412" s="9">
        <v>43382</v>
      </c>
      <c r="D2412" s="5" t="s">
        <v>16</v>
      </c>
      <c r="E2412" s="5" t="s">
        <v>7455</v>
      </c>
      <c r="F2412" s="6">
        <v>9750</v>
      </c>
    </row>
    <row r="2413" spans="1:6" x14ac:dyDescent="0.15">
      <c r="A2413" s="5" t="s">
        <v>37</v>
      </c>
      <c r="B2413" s="5" t="s">
        <v>7443</v>
      </c>
      <c r="C2413" s="9">
        <v>43374</v>
      </c>
      <c r="D2413" s="5" t="s">
        <v>16</v>
      </c>
      <c r="E2413" s="5" t="s">
        <v>7444</v>
      </c>
      <c r="F2413" s="6">
        <v>11505</v>
      </c>
    </row>
    <row r="2414" spans="1:6" x14ac:dyDescent="0.15">
      <c r="A2414" s="5" t="s">
        <v>64</v>
      </c>
      <c r="B2414" s="5" t="s">
        <v>6132</v>
      </c>
      <c r="C2414" s="9">
        <v>43374</v>
      </c>
      <c r="D2414" s="5" t="s">
        <v>16</v>
      </c>
      <c r="E2414" s="5" t="s">
        <v>6133</v>
      </c>
      <c r="F2414" s="6">
        <v>2250</v>
      </c>
    </row>
    <row r="2415" spans="1:6" x14ac:dyDescent="0.15">
      <c r="A2415" s="5" t="s">
        <v>8588</v>
      </c>
      <c r="B2415" s="5" t="s">
        <v>8598</v>
      </c>
      <c r="C2415" s="9">
        <v>43374</v>
      </c>
      <c r="D2415" s="5" t="s">
        <v>16</v>
      </c>
      <c r="E2415" s="5" t="s">
        <v>8599</v>
      </c>
      <c r="F2415" s="6">
        <v>4350</v>
      </c>
    </row>
    <row r="2416" spans="1:6" x14ac:dyDescent="0.15">
      <c r="A2416" s="5" t="s">
        <v>8588</v>
      </c>
      <c r="B2416" s="5" t="s">
        <v>8600</v>
      </c>
      <c r="C2416" s="9">
        <v>43374</v>
      </c>
      <c r="D2416" s="5" t="s">
        <v>16</v>
      </c>
      <c r="E2416" s="5" t="s">
        <v>5711</v>
      </c>
      <c r="F2416" s="6">
        <v>135</v>
      </c>
    </row>
    <row r="2417" spans="1:6" x14ac:dyDescent="0.15">
      <c r="A2417" s="5" t="s">
        <v>66</v>
      </c>
      <c r="B2417" s="5" t="s">
        <v>5710</v>
      </c>
      <c r="C2417" s="9">
        <v>43374</v>
      </c>
      <c r="D2417" s="5" t="s">
        <v>16</v>
      </c>
      <c r="E2417" s="5" t="s">
        <v>5711</v>
      </c>
      <c r="F2417" s="6">
        <v>1358</v>
      </c>
    </row>
    <row r="2418" spans="1:6" x14ac:dyDescent="0.15">
      <c r="A2418" s="5" t="s">
        <v>42</v>
      </c>
      <c r="B2418" s="5" t="s">
        <v>5912</v>
      </c>
      <c r="C2418" s="9">
        <v>43374</v>
      </c>
      <c r="D2418" s="5" t="s">
        <v>16</v>
      </c>
      <c r="E2418" s="5" t="s">
        <v>5711</v>
      </c>
      <c r="F2418" s="6">
        <v>3225</v>
      </c>
    </row>
    <row r="2419" spans="1:6" x14ac:dyDescent="0.15">
      <c r="A2419" s="5" t="s">
        <v>53</v>
      </c>
      <c r="B2419" s="5" t="s">
        <v>8476</v>
      </c>
      <c r="C2419" s="9">
        <v>43374</v>
      </c>
      <c r="D2419" s="5" t="s">
        <v>16</v>
      </c>
      <c r="E2419" s="5" t="s">
        <v>5711</v>
      </c>
      <c r="F2419" s="6">
        <v>5032</v>
      </c>
    </row>
    <row r="2420" spans="1:6" x14ac:dyDescent="0.15">
      <c r="A2420" s="5" t="s">
        <v>8588</v>
      </c>
      <c r="B2420" s="5" t="s">
        <v>8601</v>
      </c>
      <c r="C2420" s="9">
        <v>43374</v>
      </c>
      <c r="D2420" s="5" t="s">
        <v>16</v>
      </c>
      <c r="E2420" s="5" t="s">
        <v>8478</v>
      </c>
      <c r="F2420" s="6">
        <v>97.5</v>
      </c>
    </row>
    <row r="2421" spans="1:6" x14ac:dyDescent="0.15">
      <c r="A2421" s="5" t="s">
        <v>53</v>
      </c>
      <c r="B2421" s="5" t="s">
        <v>8477</v>
      </c>
      <c r="C2421" s="9">
        <v>43374</v>
      </c>
      <c r="D2421" s="5" t="s">
        <v>16</v>
      </c>
      <c r="E2421" s="5" t="s">
        <v>8478</v>
      </c>
      <c r="F2421" s="6">
        <v>3705</v>
      </c>
    </row>
    <row r="2422" spans="1:6" x14ac:dyDescent="0.15">
      <c r="A2422" s="5" t="s">
        <v>53</v>
      </c>
      <c r="B2422" s="5" t="s">
        <v>8482</v>
      </c>
      <c r="C2422" s="9">
        <v>43376</v>
      </c>
      <c r="D2422" s="5" t="s">
        <v>16</v>
      </c>
      <c r="E2422" s="5" t="s">
        <v>8483</v>
      </c>
      <c r="F2422" s="6">
        <v>11700</v>
      </c>
    </row>
    <row r="2423" spans="1:6" x14ac:dyDescent="0.15">
      <c r="A2423" s="5" t="s">
        <v>53</v>
      </c>
      <c r="B2423" s="5" t="s">
        <v>8480</v>
      </c>
      <c r="C2423" s="9">
        <v>43375</v>
      </c>
      <c r="D2423" s="5" t="s">
        <v>16</v>
      </c>
      <c r="E2423" s="5" t="s">
        <v>8481</v>
      </c>
      <c r="F2423" s="6">
        <v>1170</v>
      </c>
    </row>
    <row r="2424" spans="1:6" x14ac:dyDescent="0.15">
      <c r="A2424" s="5" t="s">
        <v>53</v>
      </c>
      <c r="B2424" s="5" t="s">
        <v>8479</v>
      </c>
      <c r="C2424" s="9">
        <v>43374</v>
      </c>
      <c r="D2424" s="5" t="s">
        <v>16</v>
      </c>
      <c r="E2424" s="5" t="s">
        <v>5149</v>
      </c>
      <c r="F2424" s="6">
        <v>135.5</v>
      </c>
    </row>
    <row r="2425" spans="1:6" x14ac:dyDescent="0.15">
      <c r="A2425" s="5" t="s">
        <v>43</v>
      </c>
      <c r="B2425" s="5" t="s">
        <v>5148</v>
      </c>
      <c r="C2425" s="9">
        <v>43374</v>
      </c>
      <c r="D2425" s="5" t="s">
        <v>16</v>
      </c>
      <c r="E2425" s="5" t="s">
        <v>5149</v>
      </c>
      <c r="F2425" s="6">
        <v>2522</v>
      </c>
    </row>
    <row r="2426" spans="1:6" x14ac:dyDescent="0.15">
      <c r="A2426" s="5" t="s">
        <v>148</v>
      </c>
      <c r="B2426" s="5" t="s">
        <v>5685</v>
      </c>
      <c r="C2426" s="9">
        <v>43374</v>
      </c>
      <c r="D2426" s="5" t="s">
        <v>16</v>
      </c>
      <c r="E2426" s="5" t="s">
        <v>5149</v>
      </c>
      <c r="F2426" s="6">
        <v>2217.5</v>
      </c>
    </row>
    <row r="2427" spans="1:6" x14ac:dyDescent="0.15">
      <c r="A2427" s="5" t="s">
        <v>148</v>
      </c>
      <c r="B2427" s="5" t="s">
        <v>5686</v>
      </c>
      <c r="C2427" s="9">
        <v>43376</v>
      </c>
      <c r="D2427" s="5" t="s">
        <v>16</v>
      </c>
      <c r="E2427" s="5" t="s">
        <v>5687</v>
      </c>
      <c r="F2427" s="6">
        <v>2047.5</v>
      </c>
    </row>
    <row r="2428" spans="1:6" x14ac:dyDescent="0.15">
      <c r="A2428" s="5" t="s">
        <v>148</v>
      </c>
      <c r="B2428" s="5" t="s">
        <v>5688</v>
      </c>
      <c r="C2428" s="9">
        <v>43376</v>
      </c>
      <c r="D2428" s="5" t="s">
        <v>16</v>
      </c>
      <c r="E2428" s="5" t="s">
        <v>5689</v>
      </c>
      <c r="F2428" s="6">
        <v>1312.5</v>
      </c>
    </row>
    <row r="2429" spans="1:6" x14ac:dyDescent="0.15">
      <c r="A2429" s="5" t="s">
        <v>58</v>
      </c>
      <c r="B2429" s="5" t="s">
        <v>6186</v>
      </c>
      <c r="C2429" s="9">
        <v>43376</v>
      </c>
      <c r="D2429" s="5" t="s">
        <v>16</v>
      </c>
      <c r="E2429" s="5" t="s">
        <v>5689</v>
      </c>
      <c r="F2429" s="6">
        <v>75</v>
      </c>
    </row>
    <row r="2430" spans="1:6" x14ac:dyDescent="0.15">
      <c r="A2430" s="5" t="s">
        <v>37</v>
      </c>
      <c r="B2430" s="5" t="s">
        <v>7447</v>
      </c>
      <c r="C2430" s="9">
        <v>43376</v>
      </c>
      <c r="D2430" s="5" t="s">
        <v>16</v>
      </c>
      <c r="E2430" s="5" t="s">
        <v>5689</v>
      </c>
      <c r="F2430" s="6">
        <v>3585</v>
      </c>
    </row>
    <row r="2431" spans="1:6" x14ac:dyDescent="0.15">
      <c r="A2431" s="5" t="s">
        <v>40</v>
      </c>
      <c r="B2431" s="5" t="s">
        <v>2465</v>
      </c>
      <c r="C2431" s="9">
        <v>43374</v>
      </c>
      <c r="D2431" s="5" t="s">
        <v>16</v>
      </c>
      <c r="E2431" s="5" t="s">
        <v>2203</v>
      </c>
      <c r="F2431" s="6">
        <v>1878</v>
      </c>
    </row>
    <row r="2432" spans="1:6" x14ac:dyDescent="0.15">
      <c r="A2432" s="5" t="s">
        <v>46</v>
      </c>
      <c r="B2432" s="5" t="s">
        <v>2202</v>
      </c>
      <c r="C2432" s="9">
        <v>43374</v>
      </c>
      <c r="D2432" s="5" t="s">
        <v>16</v>
      </c>
      <c r="E2432" s="5" t="s">
        <v>2203</v>
      </c>
      <c r="F2432" s="6">
        <v>390</v>
      </c>
    </row>
    <row r="2433" spans="1:6" x14ac:dyDescent="0.15">
      <c r="A2433" s="5" t="s">
        <v>65</v>
      </c>
      <c r="B2433" s="5" t="s">
        <v>4270</v>
      </c>
      <c r="C2433" s="9">
        <v>43374</v>
      </c>
      <c r="D2433" s="5" t="s">
        <v>16</v>
      </c>
      <c r="E2433" s="5" t="s">
        <v>2203</v>
      </c>
      <c r="F2433" s="6">
        <v>225</v>
      </c>
    </row>
    <row r="2434" spans="1:6" x14ac:dyDescent="0.15">
      <c r="A2434" s="5" t="s">
        <v>35</v>
      </c>
      <c r="B2434" s="5" t="s">
        <v>3622</v>
      </c>
      <c r="C2434" s="9">
        <v>43374</v>
      </c>
      <c r="D2434" s="5" t="s">
        <v>16</v>
      </c>
      <c r="E2434" s="5" t="s">
        <v>2203</v>
      </c>
      <c r="F2434" s="6">
        <v>5232</v>
      </c>
    </row>
    <row r="2435" spans="1:6" x14ac:dyDescent="0.15">
      <c r="A2435" s="5" t="s">
        <v>35</v>
      </c>
      <c r="B2435" s="5" t="s">
        <v>3623</v>
      </c>
      <c r="C2435" s="9">
        <v>43374</v>
      </c>
      <c r="D2435" s="5" t="s">
        <v>16</v>
      </c>
      <c r="E2435" s="5" t="s">
        <v>3624</v>
      </c>
      <c r="F2435" s="6">
        <v>4645.5</v>
      </c>
    </row>
    <row r="2436" spans="1:6" x14ac:dyDescent="0.15">
      <c r="A2436" s="5" t="s">
        <v>35</v>
      </c>
      <c r="B2436" s="5" t="s">
        <v>3625</v>
      </c>
      <c r="C2436" s="9">
        <v>43374</v>
      </c>
      <c r="D2436" s="5" t="s">
        <v>16</v>
      </c>
      <c r="E2436" s="5" t="s">
        <v>3624</v>
      </c>
      <c r="F2436" s="6">
        <v>424.5</v>
      </c>
    </row>
    <row r="2437" spans="1:6" x14ac:dyDescent="0.15">
      <c r="A2437" s="5" t="s">
        <v>37</v>
      </c>
      <c r="B2437" s="5" t="s">
        <v>7445</v>
      </c>
      <c r="C2437" s="9">
        <v>43375</v>
      </c>
      <c r="D2437" s="5" t="s">
        <v>16</v>
      </c>
      <c r="E2437" s="5" t="s">
        <v>7446</v>
      </c>
      <c r="F2437" s="6">
        <v>2925</v>
      </c>
    </row>
    <row r="2438" spans="1:6" x14ac:dyDescent="0.15">
      <c r="A2438" s="5" t="s">
        <v>37</v>
      </c>
      <c r="B2438" s="5" t="s">
        <v>7448</v>
      </c>
      <c r="C2438" s="9">
        <v>43377</v>
      </c>
      <c r="D2438" s="5" t="s">
        <v>16</v>
      </c>
      <c r="E2438" s="5" t="s">
        <v>3627</v>
      </c>
      <c r="F2438" s="6">
        <v>5850</v>
      </c>
    </row>
    <row r="2439" spans="1:6" x14ac:dyDescent="0.15">
      <c r="A2439" s="5" t="s">
        <v>35</v>
      </c>
      <c r="B2439" s="5" t="s">
        <v>3626</v>
      </c>
      <c r="C2439" s="9">
        <v>43377</v>
      </c>
      <c r="D2439" s="5" t="s">
        <v>16</v>
      </c>
      <c r="E2439" s="5" t="s">
        <v>3627</v>
      </c>
      <c r="F2439" s="6">
        <v>1950</v>
      </c>
    </row>
    <row r="2440" spans="1:6" x14ac:dyDescent="0.15">
      <c r="A2440" s="5" t="s">
        <v>37</v>
      </c>
      <c r="B2440" s="5" t="s">
        <v>7449</v>
      </c>
      <c r="C2440" s="9">
        <v>43377</v>
      </c>
      <c r="D2440" s="5" t="s">
        <v>16</v>
      </c>
      <c r="E2440" s="5" t="s">
        <v>3629</v>
      </c>
      <c r="F2440" s="6">
        <v>5850</v>
      </c>
    </row>
    <row r="2441" spans="1:6" x14ac:dyDescent="0.15">
      <c r="A2441" s="5" t="s">
        <v>35</v>
      </c>
      <c r="B2441" s="5" t="s">
        <v>3628</v>
      </c>
      <c r="C2441" s="9">
        <v>43377</v>
      </c>
      <c r="D2441" s="5" t="s">
        <v>16</v>
      </c>
      <c r="E2441" s="5" t="s">
        <v>3629</v>
      </c>
      <c r="F2441" s="6">
        <v>2242.5</v>
      </c>
    </row>
    <row r="2442" spans="1:6" x14ac:dyDescent="0.15">
      <c r="A2442" s="5" t="s">
        <v>37</v>
      </c>
      <c r="B2442" s="5" t="s">
        <v>7450</v>
      </c>
      <c r="C2442" s="9">
        <v>43377</v>
      </c>
      <c r="D2442" s="5" t="s">
        <v>16</v>
      </c>
      <c r="E2442" s="5" t="s">
        <v>7451</v>
      </c>
      <c r="F2442" s="6">
        <v>1170</v>
      </c>
    </row>
    <row r="2443" spans="1:6" x14ac:dyDescent="0.15">
      <c r="A2443" s="5" t="s">
        <v>41</v>
      </c>
      <c r="B2443" s="5" t="s">
        <v>1992</v>
      </c>
      <c r="C2443" s="9">
        <v>43377</v>
      </c>
      <c r="D2443" s="5" t="s">
        <v>16</v>
      </c>
      <c r="E2443" s="5" t="s">
        <v>1993</v>
      </c>
      <c r="F2443" s="6">
        <v>8827</v>
      </c>
    </row>
    <row r="2444" spans="1:6" x14ac:dyDescent="0.15">
      <c r="A2444" s="5" t="s">
        <v>41</v>
      </c>
      <c r="B2444" s="5" t="s">
        <v>1994</v>
      </c>
      <c r="C2444" s="9">
        <v>43377</v>
      </c>
      <c r="D2444" s="5" t="s">
        <v>16</v>
      </c>
      <c r="E2444" s="5" t="s">
        <v>1995</v>
      </c>
      <c r="F2444" s="6">
        <v>10282</v>
      </c>
    </row>
    <row r="2445" spans="1:6" x14ac:dyDescent="0.15">
      <c r="A2445" s="5" t="s">
        <v>35</v>
      </c>
      <c r="B2445" s="5" t="s">
        <v>3630</v>
      </c>
      <c r="C2445" s="9">
        <v>43377</v>
      </c>
      <c r="D2445" s="5" t="s">
        <v>16</v>
      </c>
      <c r="E2445" s="5" t="s">
        <v>1995</v>
      </c>
      <c r="F2445" s="6">
        <v>585</v>
      </c>
    </row>
    <row r="2446" spans="1:6" x14ac:dyDescent="0.15">
      <c r="A2446" s="5" t="s">
        <v>43</v>
      </c>
      <c r="B2446" s="5" t="s">
        <v>5150</v>
      </c>
      <c r="C2446" s="9">
        <v>43377</v>
      </c>
      <c r="D2446" s="5" t="s">
        <v>16</v>
      </c>
      <c r="E2446" s="5" t="s">
        <v>5151</v>
      </c>
      <c r="F2446" s="6">
        <v>242.5</v>
      </c>
    </row>
    <row r="2447" spans="1:6" x14ac:dyDescent="0.15">
      <c r="A2447" s="5" t="s">
        <v>42</v>
      </c>
      <c r="B2447" s="5" t="s">
        <v>5913</v>
      </c>
      <c r="C2447" s="9">
        <v>43377</v>
      </c>
      <c r="D2447" s="5" t="s">
        <v>16</v>
      </c>
      <c r="E2447" s="5" t="s">
        <v>5151</v>
      </c>
      <c r="F2447" s="6">
        <v>3750</v>
      </c>
    </row>
    <row r="2448" spans="1:6" x14ac:dyDescent="0.15">
      <c r="A2448" s="5" t="s">
        <v>37</v>
      </c>
      <c r="B2448" s="5" t="s">
        <v>7452</v>
      </c>
      <c r="C2448" s="9">
        <v>43377</v>
      </c>
      <c r="D2448" s="5" t="s">
        <v>16</v>
      </c>
      <c r="E2448" s="5" t="s">
        <v>5151</v>
      </c>
      <c r="F2448" s="6">
        <v>975</v>
      </c>
    </row>
    <row r="2449" spans="1:6" x14ac:dyDescent="0.15">
      <c r="A2449" s="5" t="s">
        <v>35</v>
      </c>
      <c r="B2449" s="5" t="s">
        <v>3631</v>
      </c>
      <c r="C2449" s="9">
        <v>43378</v>
      </c>
      <c r="D2449" s="5" t="s">
        <v>16</v>
      </c>
      <c r="E2449" s="5" t="s">
        <v>3632</v>
      </c>
      <c r="F2449" s="6">
        <v>5070</v>
      </c>
    </row>
    <row r="2450" spans="1:6" x14ac:dyDescent="0.15">
      <c r="A2450" s="5" t="s">
        <v>42</v>
      </c>
      <c r="B2450" s="5" t="s">
        <v>5914</v>
      </c>
      <c r="C2450" s="9">
        <v>43378</v>
      </c>
      <c r="D2450" s="5" t="s">
        <v>16</v>
      </c>
      <c r="E2450" s="5" t="s">
        <v>5153</v>
      </c>
      <c r="F2450" s="6">
        <v>1500</v>
      </c>
    </row>
    <row r="2451" spans="1:6" x14ac:dyDescent="0.15">
      <c r="A2451" s="5" t="s">
        <v>43</v>
      </c>
      <c r="B2451" s="5" t="s">
        <v>5152</v>
      </c>
      <c r="C2451" s="9">
        <v>43378</v>
      </c>
      <c r="D2451" s="5" t="s">
        <v>16</v>
      </c>
      <c r="E2451" s="5" t="s">
        <v>5153</v>
      </c>
      <c r="F2451" s="6">
        <v>1358</v>
      </c>
    </row>
    <row r="2452" spans="1:6" x14ac:dyDescent="0.15">
      <c r="A2452" s="5" t="s">
        <v>37</v>
      </c>
      <c r="B2452" s="5" t="s">
        <v>7453</v>
      </c>
      <c r="C2452" s="9">
        <v>43378</v>
      </c>
      <c r="D2452" s="5" t="s">
        <v>16</v>
      </c>
      <c r="E2452" s="5" t="s">
        <v>5153</v>
      </c>
      <c r="F2452" s="6">
        <v>4942</v>
      </c>
    </row>
    <row r="2453" spans="1:6" x14ac:dyDescent="0.15">
      <c r="A2453" s="5" t="s">
        <v>55</v>
      </c>
      <c r="B2453" s="5" t="s">
        <v>4498</v>
      </c>
      <c r="C2453" s="9">
        <v>43381</v>
      </c>
      <c r="D2453" s="5" t="s">
        <v>16</v>
      </c>
      <c r="E2453" s="5" t="s">
        <v>4499</v>
      </c>
      <c r="F2453" s="6">
        <v>300</v>
      </c>
    </row>
    <row r="2454" spans="1:6" x14ac:dyDescent="0.15">
      <c r="A2454" s="5" t="s">
        <v>43</v>
      </c>
      <c r="B2454" s="5" t="s">
        <v>5163</v>
      </c>
      <c r="C2454" s="9">
        <v>43388</v>
      </c>
      <c r="D2454" s="5" t="s">
        <v>16</v>
      </c>
      <c r="E2454" s="5" t="s">
        <v>5164</v>
      </c>
      <c r="F2454" s="6">
        <v>9700</v>
      </c>
    </row>
    <row r="2455" spans="1:6" x14ac:dyDescent="0.15">
      <c r="A2455" s="5" t="s">
        <v>43</v>
      </c>
      <c r="B2455" s="5" t="s">
        <v>5155</v>
      </c>
      <c r="C2455" s="9">
        <v>43383</v>
      </c>
      <c r="D2455" s="5" t="s">
        <v>16</v>
      </c>
      <c r="E2455" s="5" t="s">
        <v>5156</v>
      </c>
      <c r="F2455" s="6">
        <v>291</v>
      </c>
    </row>
    <row r="2456" spans="1:6" x14ac:dyDescent="0.15">
      <c r="A2456" s="5" t="s">
        <v>37</v>
      </c>
      <c r="B2456" s="5" t="s">
        <v>7456</v>
      </c>
      <c r="C2456" s="9">
        <v>43383</v>
      </c>
      <c r="D2456" s="5" t="s">
        <v>16</v>
      </c>
      <c r="E2456" s="5" t="s">
        <v>7457</v>
      </c>
      <c r="F2456" s="6">
        <v>195</v>
      </c>
    </row>
    <row r="2457" spans="1:6" x14ac:dyDescent="0.15">
      <c r="A2457" s="5" t="s">
        <v>37</v>
      </c>
      <c r="B2457" s="5" t="s">
        <v>7459</v>
      </c>
      <c r="C2457" s="9">
        <v>43384</v>
      </c>
      <c r="D2457" s="5" t="s">
        <v>16</v>
      </c>
      <c r="E2457" s="5" t="s">
        <v>7460</v>
      </c>
      <c r="F2457" s="6">
        <v>-9750</v>
      </c>
    </row>
    <row r="2458" spans="1:6" x14ac:dyDescent="0.15">
      <c r="A2458" s="5" t="s">
        <v>37</v>
      </c>
      <c r="B2458" s="5" t="s">
        <v>7480</v>
      </c>
      <c r="C2458" s="9">
        <v>43389</v>
      </c>
      <c r="D2458" s="5" t="s">
        <v>16</v>
      </c>
      <c r="E2458" s="5" t="s">
        <v>7481</v>
      </c>
      <c r="F2458" s="6">
        <v>9750</v>
      </c>
    </row>
    <row r="2459" spans="1:6" x14ac:dyDescent="0.15">
      <c r="A2459" s="5" t="s">
        <v>43</v>
      </c>
      <c r="B2459" s="5" t="s">
        <v>5157</v>
      </c>
      <c r="C2459" s="9">
        <v>43383</v>
      </c>
      <c r="D2459" s="5" t="s">
        <v>16</v>
      </c>
      <c r="E2459" s="5" t="s">
        <v>5158</v>
      </c>
      <c r="F2459" s="6">
        <v>3977</v>
      </c>
    </row>
    <row r="2460" spans="1:6" x14ac:dyDescent="0.15">
      <c r="A2460" s="5" t="s">
        <v>37</v>
      </c>
      <c r="B2460" s="5" t="s">
        <v>7458</v>
      </c>
      <c r="C2460" s="9">
        <v>43383</v>
      </c>
      <c r="D2460" s="5" t="s">
        <v>16</v>
      </c>
      <c r="E2460" s="5" t="s">
        <v>5158</v>
      </c>
      <c r="F2460" s="6">
        <v>2047.5</v>
      </c>
    </row>
    <row r="2461" spans="1:6" x14ac:dyDescent="0.15">
      <c r="A2461" s="5" t="s">
        <v>40</v>
      </c>
      <c r="B2461" s="5" t="s">
        <v>2467</v>
      </c>
      <c r="C2461" s="9">
        <v>43382</v>
      </c>
      <c r="D2461" s="5" t="s">
        <v>16</v>
      </c>
      <c r="E2461" s="5" t="s">
        <v>2468</v>
      </c>
      <c r="F2461" s="6">
        <v>1500</v>
      </c>
    </row>
    <row r="2462" spans="1:6" x14ac:dyDescent="0.15">
      <c r="A2462" s="5" t="s">
        <v>53</v>
      </c>
      <c r="B2462" s="5" t="s">
        <v>8485</v>
      </c>
      <c r="C2462" s="9">
        <v>43384</v>
      </c>
      <c r="D2462" s="5" t="s">
        <v>16</v>
      </c>
      <c r="E2462" s="5" t="s">
        <v>8486</v>
      </c>
      <c r="F2462" s="6">
        <v>194</v>
      </c>
    </row>
    <row r="2463" spans="1:6" x14ac:dyDescent="0.15">
      <c r="A2463" s="5" t="s">
        <v>44</v>
      </c>
      <c r="B2463" s="5" t="s">
        <v>4407</v>
      </c>
      <c r="C2463" s="9">
        <v>43384</v>
      </c>
      <c r="D2463" s="5" t="s">
        <v>16</v>
      </c>
      <c r="E2463" s="5" t="s">
        <v>4408</v>
      </c>
      <c r="F2463" s="6">
        <v>-1950</v>
      </c>
    </row>
    <row r="2464" spans="1:6" x14ac:dyDescent="0.15">
      <c r="A2464" s="5" t="s">
        <v>44</v>
      </c>
      <c r="B2464" s="5" t="s">
        <v>4409</v>
      </c>
      <c r="C2464" s="9">
        <v>43384</v>
      </c>
      <c r="D2464" s="5" t="s">
        <v>16</v>
      </c>
      <c r="E2464" s="5" t="s">
        <v>2207</v>
      </c>
      <c r="F2464" s="6">
        <v>-11700</v>
      </c>
    </row>
    <row r="2465" spans="1:6" x14ac:dyDescent="0.15">
      <c r="A2465" s="5" t="s">
        <v>46</v>
      </c>
      <c r="B2465" s="5" t="s">
        <v>2206</v>
      </c>
      <c r="C2465" s="9">
        <v>43384</v>
      </c>
      <c r="D2465" s="5" t="s">
        <v>16</v>
      </c>
      <c r="E2465" s="5" t="s">
        <v>2207</v>
      </c>
      <c r="F2465" s="6">
        <v>-1940</v>
      </c>
    </row>
    <row r="2466" spans="1:6" x14ac:dyDescent="0.15">
      <c r="A2466" s="5" t="s">
        <v>37</v>
      </c>
      <c r="B2466" s="5" t="s">
        <v>7461</v>
      </c>
      <c r="C2466" s="9">
        <v>43384</v>
      </c>
      <c r="D2466" s="5" t="s">
        <v>16</v>
      </c>
      <c r="E2466" s="5" t="s">
        <v>7462</v>
      </c>
      <c r="F2466" s="6">
        <v>6825</v>
      </c>
    </row>
    <row r="2467" spans="1:6" x14ac:dyDescent="0.15">
      <c r="A2467" s="5" t="s">
        <v>43</v>
      </c>
      <c r="B2467" s="5" t="s">
        <v>5159</v>
      </c>
      <c r="C2467" s="9">
        <v>43384</v>
      </c>
      <c r="D2467" s="5" t="s">
        <v>16</v>
      </c>
      <c r="E2467" s="5" t="s">
        <v>3634</v>
      </c>
      <c r="F2467" s="6">
        <v>291</v>
      </c>
    </row>
    <row r="2468" spans="1:6" x14ac:dyDescent="0.15">
      <c r="A2468" s="5" t="s">
        <v>35</v>
      </c>
      <c r="B2468" s="5" t="s">
        <v>3633</v>
      </c>
      <c r="C2468" s="9">
        <v>43384</v>
      </c>
      <c r="D2468" s="5" t="s">
        <v>16</v>
      </c>
      <c r="E2468" s="5" t="s">
        <v>3634</v>
      </c>
      <c r="F2468" s="6">
        <v>195</v>
      </c>
    </row>
    <row r="2469" spans="1:6" x14ac:dyDescent="0.15">
      <c r="A2469" s="5" t="s">
        <v>37</v>
      </c>
      <c r="B2469" s="5" t="s">
        <v>7463</v>
      </c>
      <c r="C2469" s="9">
        <v>43384</v>
      </c>
      <c r="D2469" s="5" t="s">
        <v>16</v>
      </c>
      <c r="E2469" s="5" t="s">
        <v>7464</v>
      </c>
      <c r="F2469" s="6">
        <v>8385</v>
      </c>
    </row>
    <row r="2470" spans="1:6" x14ac:dyDescent="0.15">
      <c r="A2470" s="5" t="s">
        <v>37</v>
      </c>
      <c r="B2470" s="5" t="s">
        <v>7465</v>
      </c>
      <c r="C2470" s="9">
        <v>43384</v>
      </c>
      <c r="D2470" s="5" t="s">
        <v>16</v>
      </c>
      <c r="E2470" s="5" t="s">
        <v>7466</v>
      </c>
      <c r="F2470" s="6">
        <v>487.5</v>
      </c>
    </row>
    <row r="2471" spans="1:6" x14ac:dyDescent="0.15">
      <c r="A2471" s="5" t="s">
        <v>43</v>
      </c>
      <c r="B2471" s="5" t="s">
        <v>5160</v>
      </c>
      <c r="C2471" s="9">
        <v>43385</v>
      </c>
      <c r="D2471" s="5" t="s">
        <v>16</v>
      </c>
      <c r="E2471" s="5" t="s">
        <v>5161</v>
      </c>
      <c r="F2471" s="6">
        <v>3880</v>
      </c>
    </row>
    <row r="2472" spans="1:6" x14ac:dyDescent="0.15">
      <c r="A2472" s="5" t="s">
        <v>43</v>
      </c>
      <c r="B2472" s="5" t="s">
        <v>5162</v>
      </c>
      <c r="C2472" s="9">
        <v>43385</v>
      </c>
      <c r="D2472" s="5" t="s">
        <v>16</v>
      </c>
      <c r="E2472" s="5" t="s">
        <v>3636</v>
      </c>
      <c r="F2472" s="6">
        <v>-291</v>
      </c>
    </row>
    <row r="2473" spans="1:6" x14ac:dyDescent="0.15">
      <c r="A2473" s="5" t="s">
        <v>35</v>
      </c>
      <c r="B2473" s="5" t="s">
        <v>3635</v>
      </c>
      <c r="C2473" s="9">
        <v>43385</v>
      </c>
      <c r="D2473" s="5" t="s">
        <v>16</v>
      </c>
      <c r="E2473" s="5" t="s">
        <v>3636</v>
      </c>
      <c r="F2473" s="6">
        <v>-195</v>
      </c>
    </row>
    <row r="2474" spans="1:6" x14ac:dyDescent="0.15">
      <c r="A2474" s="5" t="s">
        <v>37</v>
      </c>
      <c r="B2474" s="5" t="s">
        <v>7471</v>
      </c>
      <c r="C2474" s="9">
        <v>43385</v>
      </c>
      <c r="D2474" s="5" t="s">
        <v>16</v>
      </c>
      <c r="E2474" s="5" t="s">
        <v>7472</v>
      </c>
      <c r="F2474" s="6">
        <v>390</v>
      </c>
    </row>
    <row r="2475" spans="1:6" x14ac:dyDescent="0.15">
      <c r="A2475" s="5" t="s">
        <v>37</v>
      </c>
      <c r="B2475" s="5" t="s">
        <v>7473</v>
      </c>
      <c r="C2475" s="9">
        <v>43388</v>
      </c>
      <c r="D2475" s="5" t="s">
        <v>16</v>
      </c>
      <c r="E2475" s="5" t="s">
        <v>7474</v>
      </c>
      <c r="F2475" s="6">
        <v>195</v>
      </c>
    </row>
    <row r="2476" spans="1:6" x14ac:dyDescent="0.15">
      <c r="A2476" s="5" t="s">
        <v>37</v>
      </c>
      <c r="B2476" s="5" t="s">
        <v>7467</v>
      </c>
      <c r="C2476" s="9">
        <v>43384</v>
      </c>
      <c r="D2476" s="5" t="s">
        <v>16</v>
      </c>
      <c r="E2476" s="5" t="s">
        <v>7468</v>
      </c>
      <c r="F2476" s="6">
        <v>14625</v>
      </c>
    </row>
    <row r="2477" spans="1:6" x14ac:dyDescent="0.15">
      <c r="A2477" s="5" t="s">
        <v>37</v>
      </c>
      <c r="B2477" s="5" t="s">
        <v>7469</v>
      </c>
      <c r="C2477" s="9">
        <v>43384</v>
      </c>
      <c r="D2477" s="5" t="s">
        <v>16</v>
      </c>
      <c r="E2477" s="5" t="s">
        <v>7470</v>
      </c>
      <c r="F2477" s="6">
        <v>4777.5</v>
      </c>
    </row>
    <row r="2478" spans="1:6" x14ac:dyDescent="0.15">
      <c r="A2478" s="5" t="s">
        <v>41</v>
      </c>
      <c r="B2478" s="5" t="s">
        <v>1998</v>
      </c>
      <c r="C2478" s="9">
        <v>43388</v>
      </c>
      <c r="D2478" s="5" t="s">
        <v>16</v>
      </c>
      <c r="E2478" s="5" t="s">
        <v>1999</v>
      </c>
      <c r="F2478" s="6">
        <v>291</v>
      </c>
    </row>
    <row r="2479" spans="1:6" x14ac:dyDescent="0.15">
      <c r="A2479" s="5" t="s">
        <v>35</v>
      </c>
      <c r="B2479" s="5" t="s">
        <v>3637</v>
      </c>
      <c r="C2479" s="9">
        <v>43388</v>
      </c>
      <c r="D2479" s="5" t="s">
        <v>16</v>
      </c>
      <c r="E2479" s="5" t="s">
        <v>1999</v>
      </c>
      <c r="F2479" s="6">
        <v>195</v>
      </c>
    </row>
    <row r="2480" spans="1:6" x14ac:dyDescent="0.15">
      <c r="A2480" s="5" t="s">
        <v>37</v>
      </c>
      <c r="B2480" s="5" t="s">
        <v>7475</v>
      </c>
      <c r="C2480" s="9">
        <v>43388</v>
      </c>
      <c r="D2480" s="5" t="s">
        <v>16</v>
      </c>
      <c r="E2480" s="5" t="s">
        <v>7476</v>
      </c>
      <c r="F2480" s="6">
        <v>15210</v>
      </c>
    </row>
    <row r="2481" spans="1:6" x14ac:dyDescent="0.15">
      <c r="A2481" s="5" t="s">
        <v>49</v>
      </c>
      <c r="B2481" s="5" t="s">
        <v>8681</v>
      </c>
      <c r="C2481" s="9">
        <v>43388</v>
      </c>
      <c r="D2481" s="5" t="s">
        <v>16</v>
      </c>
      <c r="E2481" s="5" t="s">
        <v>7476</v>
      </c>
      <c r="F2481" s="6">
        <v>1260</v>
      </c>
    </row>
    <row r="2482" spans="1:6" x14ac:dyDescent="0.15">
      <c r="A2482" s="5" t="s">
        <v>35</v>
      </c>
      <c r="B2482" s="5" t="s">
        <v>3638</v>
      </c>
      <c r="C2482" s="9">
        <v>43388</v>
      </c>
      <c r="D2482" s="5" t="s">
        <v>16</v>
      </c>
      <c r="E2482" s="5" t="s">
        <v>3639</v>
      </c>
      <c r="F2482" s="6">
        <v>3900</v>
      </c>
    </row>
    <row r="2483" spans="1:6" x14ac:dyDescent="0.15">
      <c r="A2483" s="5" t="s">
        <v>43</v>
      </c>
      <c r="B2483" s="5" t="s">
        <v>5165</v>
      </c>
      <c r="C2483" s="9">
        <v>43388</v>
      </c>
      <c r="D2483" s="5" t="s">
        <v>16</v>
      </c>
      <c r="E2483" s="5" t="s">
        <v>5166</v>
      </c>
      <c r="F2483" s="6">
        <v>485</v>
      </c>
    </row>
    <row r="2484" spans="1:6" x14ac:dyDescent="0.15">
      <c r="A2484" s="5" t="s">
        <v>37</v>
      </c>
      <c r="B2484" s="5" t="s">
        <v>7477</v>
      </c>
      <c r="C2484" s="9">
        <v>43388</v>
      </c>
      <c r="D2484" s="5" t="s">
        <v>16</v>
      </c>
      <c r="E2484" s="5" t="s">
        <v>5166</v>
      </c>
      <c r="F2484" s="6">
        <v>1560</v>
      </c>
    </row>
    <row r="2485" spans="1:6" x14ac:dyDescent="0.15">
      <c r="A2485" s="5" t="s">
        <v>37</v>
      </c>
      <c r="B2485" s="5" t="s">
        <v>7478</v>
      </c>
      <c r="C2485" s="9">
        <v>43388</v>
      </c>
      <c r="D2485" s="5" t="s">
        <v>16</v>
      </c>
      <c r="E2485" s="5" t="s">
        <v>7479</v>
      </c>
      <c r="F2485" s="6">
        <v>975</v>
      </c>
    </row>
    <row r="2486" spans="1:6" x14ac:dyDescent="0.15">
      <c r="A2486" s="5" t="s">
        <v>43</v>
      </c>
      <c r="B2486" s="5" t="s">
        <v>5167</v>
      </c>
      <c r="C2486" s="9">
        <v>43388</v>
      </c>
      <c r="D2486" s="5" t="s">
        <v>16</v>
      </c>
      <c r="E2486" s="5" t="s">
        <v>5168</v>
      </c>
      <c r="F2486" s="6">
        <v>1067</v>
      </c>
    </row>
    <row r="2487" spans="1:6" x14ac:dyDescent="0.15">
      <c r="A2487" s="5" t="s">
        <v>44</v>
      </c>
      <c r="B2487" s="5" t="s">
        <v>4410</v>
      </c>
      <c r="C2487" s="9">
        <v>43389</v>
      </c>
      <c r="D2487" s="5" t="s">
        <v>16</v>
      </c>
      <c r="E2487" s="5" t="s">
        <v>2209</v>
      </c>
      <c r="F2487" s="6">
        <v>11700</v>
      </c>
    </row>
    <row r="2488" spans="1:6" x14ac:dyDescent="0.15">
      <c r="A2488" s="5" t="s">
        <v>46</v>
      </c>
      <c r="B2488" s="5" t="s">
        <v>2208</v>
      </c>
      <c r="C2488" s="9">
        <v>43389</v>
      </c>
      <c r="D2488" s="5" t="s">
        <v>16</v>
      </c>
      <c r="E2488" s="5" t="s">
        <v>2209</v>
      </c>
      <c r="F2488" s="6">
        <v>1940</v>
      </c>
    </row>
    <row r="2489" spans="1:6" x14ac:dyDescent="0.15">
      <c r="A2489" s="5" t="s">
        <v>44</v>
      </c>
      <c r="B2489" s="5" t="s">
        <v>4411</v>
      </c>
      <c r="C2489" s="9">
        <v>43389</v>
      </c>
      <c r="D2489" s="5" t="s">
        <v>16</v>
      </c>
      <c r="E2489" s="5" t="s">
        <v>4412</v>
      </c>
      <c r="F2489" s="6">
        <v>1950</v>
      </c>
    </row>
    <row r="2490" spans="1:6" x14ac:dyDescent="0.15">
      <c r="A2490" s="5" t="s">
        <v>174</v>
      </c>
      <c r="B2490" s="5" t="s">
        <v>2669</v>
      </c>
      <c r="C2490" s="9">
        <v>43410</v>
      </c>
      <c r="D2490" s="5" t="s">
        <v>16</v>
      </c>
      <c r="E2490" s="5" t="s">
        <v>2670</v>
      </c>
      <c r="F2490" s="6">
        <v>7500</v>
      </c>
    </row>
    <row r="2491" spans="1:6" x14ac:dyDescent="0.15">
      <c r="A2491" s="5" t="s">
        <v>58</v>
      </c>
      <c r="B2491" s="5" t="s">
        <v>6187</v>
      </c>
      <c r="C2491" s="9">
        <v>43410</v>
      </c>
      <c r="D2491" s="5" t="s">
        <v>16</v>
      </c>
      <c r="E2491" s="5" t="s">
        <v>2670</v>
      </c>
      <c r="F2491" s="6">
        <v>4500</v>
      </c>
    </row>
    <row r="2492" spans="1:6" x14ac:dyDescent="0.15">
      <c r="A2492" s="5" t="s">
        <v>51</v>
      </c>
      <c r="B2492" s="5" t="s">
        <v>4241</v>
      </c>
      <c r="C2492" s="9">
        <v>43410</v>
      </c>
      <c r="D2492" s="5" t="s">
        <v>16</v>
      </c>
      <c r="E2492" s="5" t="s">
        <v>2670</v>
      </c>
      <c r="F2492" s="6">
        <v>7800</v>
      </c>
    </row>
    <row r="2493" spans="1:6" x14ac:dyDescent="0.15">
      <c r="A2493" s="5" t="s">
        <v>37</v>
      </c>
      <c r="B2493" s="5" t="s">
        <v>7482</v>
      </c>
      <c r="C2493" s="9">
        <v>43389</v>
      </c>
      <c r="D2493" s="5" t="s">
        <v>16</v>
      </c>
      <c r="E2493" s="5" t="s">
        <v>7483</v>
      </c>
      <c r="F2493" s="6">
        <v>2925</v>
      </c>
    </row>
    <row r="2494" spans="1:6" x14ac:dyDescent="0.15">
      <c r="A2494" s="5" t="s">
        <v>40</v>
      </c>
      <c r="B2494" s="5" t="s">
        <v>2469</v>
      </c>
      <c r="C2494" s="9">
        <v>43388</v>
      </c>
      <c r="D2494" s="5" t="s">
        <v>16</v>
      </c>
      <c r="E2494" s="5" t="s">
        <v>2470</v>
      </c>
      <c r="F2494" s="6">
        <v>600</v>
      </c>
    </row>
    <row r="2495" spans="1:6" x14ac:dyDescent="0.15">
      <c r="A2495" s="5" t="s">
        <v>35</v>
      </c>
      <c r="B2495" s="5" t="s">
        <v>3640</v>
      </c>
      <c r="C2495" s="9">
        <v>43388</v>
      </c>
      <c r="D2495" s="5" t="s">
        <v>16</v>
      </c>
      <c r="E2495" s="5" t="s">
        <v>2470</v>
      </c>
      <c r="F2495" s="6">
        <v>780</v>
      </c>
    </row>
    <row r="2496" spans="1:6" x14ac:dyDescent="0.15">
      <c r="A2496" s="5" t="s">
        <v>43</v>
      </c>
      <c r="B2496" s="5" t="s">
        <v>5169</v>
      </c>
      <c r="C2496" s="9">
        <v>43389</v>
      </c>
      <c r="D2496" s="5" t="s">
        <v>16</v>
      </c>
      <c r="E2496" s="5" t="s">
        <v>5170</v>
      </c>
      <c r="F2496" s="6">
        <v>1067</v>
      </c>
    </row>
    <row r="2497" spans="1:6" x14ac:dyDescent="0.15">
      <c r="A2497" s="5" t="s">
        <v>43</v>
      </c>
      <c r="B2497" s="5" t="s">
        <v>5171</v>
      </c>
      <c r="C2497" s="9">
        <v>43389</v>
      </c>
      <c r="D2497" s="5" t="s">
        <v>16</v>
      </c>
      <c r="E2497" s="5" t="s">
        <v>5172</v>
      </c>
      <c r="F2497" s="6">
        <v>2085.5</v>
      </c>
    </row>
    <row r="2498" spans="1:6" x14ac:dyDescent="0.15">
      <c r="A2498" s="5" t="s">
        <v>35</v>
      </c>
      <c r="B2498" s="5" t="s">
        <v>3641</v>
      </c>
      <c r="C2498" s="9">
        <v>43389</v>
      </c>
      <c r="D2498" s="5" t="s">
        <v>16</v>
      </c>
      <c r="E2498" s="5" t="s">
        <v>3642</v>
      </c>
      <c r="F2498" s="6">
        <v>780</v>
      </c>
    </row>
    <row r="2499" spans="1:6" x14ac:dyDescent="0.15">
      <c r="A2499" s="5" t="s">
        <v>35</v>
      </c>
      <c r="B2499" s="5" t="s">
        <v>3643</v>
      </c>
      <c r="C2499" s="9">
        <v>43389</v>
      </c>
      <c r="D2499" s="5" t="s">
        <v>16</v>
      </c>
      <c r="E2499" s="5" t="s">
        <v>3644</v>
      </c>
      <c r="F2499" s="6">
        <v>1657.5</v>
      </c>
    </row>
    <row r="2500" spans="1:6" x14ac:dyDescent="0.15">
      <c r="A2500" s="5" t="s">
        <v>37</v>
      </c>
      <c r="B2500" s="5" t="s">
        <v>7484</v>
      </c>
      <c r="C2500" s="9">
        <v>43389</v>
      </c>
      <c r="D2500" s="5" t="s">
        <v>16</v>
      </c>
      <c r="E2500" s="5" t="s">
        <v>7485</v>
      </c>
      <c r="F2500" s="6">
        <v>3900</v>
      </c>
    </row>
    <row r="2501" spans="1:6" x14ac:dyDescent="0.15">
      <c r="A2501" s="5" t="s">
        <v>42</v>
      </c>
      <c r="B2501" s="5" t="s">
        <v>5915</v>
      </c>
      <c r="C2501" s="9">
        <v>43389</v>
      </c>
      <c r="D2501" s="5" t="s">
        <v>16</v>
      </c>
      <c r="E2501" s="5" t="s">
        <v>5916</v>
      </c>
      <c r="F2501" s="6">
        <v>1500</v>
      </c>
    </row>
    <row r="2502" spans="1:6" x14ac:dyDescent="0.15">
      <c r="A2502" s="5" t="s">
        <v>37</v>
      </c>
      <c r="B2502" s="5" t="s">
        <v>7532</v>
      </c>
      <c r="C2502" s="9">
        <v>43411</v>
      </c>
      <c r="D2502" s="5" t="s">
        <v>16</v>
      </c>
      <c r="E2502" s="5" t="s">
        <v>7533</v>
      </c>
      <c r="F2502" s="6">
        <v>13650</v>
      </c>
    </row>
    <row r="2503" spans="1:6" x14ac:dyDescent="0.15">
      <c r="A2503" s="5" t="s">
        <v>37</v>
      </c>
      <c r="B2503" s="5" t="s">
        <v>7486</v>
      </c>
      <c r="C2503" s="9">
        <v>43390</v>
      </c>
      <c r="D2503" s="5" t="s">
        <v>16</v>
      </c>
      <c r="E2503" s="5" t="s">
        <v>7487</v>
      </c>
      <c r="F2503" s="6">
        <v>3412.5</v>
      </c>
    </row>
    <row r="2504" spans="1:6" x14ac:dyDescent="0.15">
      <c r="A2504" s="5" t="s">
        <v>41</v>
      </c>
      <c r="B2504" s="5" t="s">
        <v>2000</v>
      </c>
      <c r="C2504" s="9">
        <v>43390</v>
      </c>
      <c r="D2504" s="5" t="s">
        <v>16</v>
      </c>
      <c r="E2504" s="5" t="s">
        <v>2001</v>
      </c>
      <c r="F2504" s="6">
        <v>1067</v>
      </c>
    </row>
    <row r="2505" spans="1:6" x14ac:dyDescent="0.15">
      <c r="A2505" s="5" t="s">
        <v>55</v>
      </c>
      <c r="B2505" s="5" t="s">
        <v>4500</v>
      </c>
      <c r="C2505" s="9">
        <v>43390</v>
      </c>
      <c r="D2505" s="5" t="s">
        <v>16</v>
      </c>
      <c r="E2505" s="5" t="s">
        <v>4501</v>
      </c>
      <c r="F2505" s="6">
        <v>680</v>
      </c>
    </row>
    <row r="2506" spans="1:6" x14ac:dyDescent="0.15">
      <c r="A2506" s="5" t="s">
        <v>40</v>
      </c>
      <c r="B2506" s="5" t="s">
        <v>2472</v>
      </c>
      <c r="C2506" s="9">
        <v>43391</v>
      </c>
      <c r="D2506" s="5" t="s">
        <v>16</v>
      </c>
      <c r="E2506" s="5" t="s">
        <v>2473</v>
      </c>
      <c r="F2506" s="6">
        <v>375</v>
      </c>
    </row>
    <row r="2507" spans="1:6" x14ac:dyDescent="0.15">
      <c r="A2507" s="5" t="s">
        <v>65</v>
      </c>
      <c r="B2507" s="5" t="s">
        <v>4271</v>
      </c>
      <c r="C2507" s="9">
        <v>43391</v>
      </c>
      <c r="D2507" s="5" t="s">
        <v>16</v>
      </c>
      <c r="E2507" s="5" t="s">
        <v>2473</v>
      </c>
      <c r="F2507" s="6">
        <v>150</v>
      </c>
    </row>
    <row r="2508" spans="1:6" x14ac:dyDescent="0.15">
      <c r="A2508" s="5" t="s">
        <v>43</v>
      </c>
      <c r="B2508" s="5" t="s">
        <v>5173</v>
      </c>
      <c r="C2508" s="9">
        <v>43389</v>
      </c>
      <c r="D2508" s="5" t="s">
        <v>16</v>
      </c>
      <c r="E2508" s="5" t="s">
        <v>5174</v>
      </c>
      <c r="F2508" s="6">
        <v>970</v>
      </c>
    </row>
    <row r="2509" spans="1:6" x14ac:dyDescent="0.15">
      <c r="A2509" s="5" t="s">
        <v>41</v>
      </c>
      <c r="B2509" s="5" t="s">
        <v>2002</v>
      </c>
      <c r="C2509" s="9">
        <v>43390</v>
      </c>
      <c r="D2509" s="5" t="s">
        <v>16</v>
      </c>
      <c r="E2509" s="5" t="s">
        <v>2003</v>
      </c>
      <c r="F2509" s="6">
        <v>291</v>
      </c>
    </row>
    <row r="2510" spans="1:6" x14ac:dyDescent="0.15">
      <c r="A2510" s="5" t="s">
        <v>40</v>
      </c>
      <c r="B2510" s="5" t="s">
        <v>2471</v>
      </c>
      <c r="C2510" s="9">
        <v>43390</v>
      </c>
      <c r="D2510" s="5" t="s">
        <v>16</v>
      </c>
      <c r="E2510" s="5" t="s">
        <v>2003</v>
      </c>
      <c r="F2510" s="6">
        <v>450</v>
      </c>
    </row>
    <row r="2511" spans="1:6" x14ac:dyDescent="0.15">
      <c r="A2511" s="5" t="s">
        <v>35</v>
      </c>
      <c r="B2511" s="5" t="s">
        <v>3645</v>
      </c>
      <c r="C2511" s="9">
        <v>43390</v>
      </c>
      <c r="D2511" s="5" t="s">
        <v>16</v>
      </c>
      <c r="E2511" s="5" t="s">
        <v>2003</v>
      </c>
      <c r="F2511" s="6">
        <v>1170</v>
      </c>
    </row>
    <row r="2512" spans="1:6" x14ac:dyDescent="0.15">
      <c r="A2512" s="5" t="s">
        <v>35</v>
      </c>
      <c r="B2512" s="5" t="s">
        <v>3646</v>
      </c>
      <c r="C2512" s="9">
        <v>43391</v>
      </c>
      <c r="D2512" s="5" t="s">
        <v>16</v>
      </c>
      <c r="E2512" s="5" t="s">
        <v>3647</v>
      </c>
      <c r="F2512" s="6">
        <v>487.5</v>
      </c>
    </row>
    <row r="2513" spans="1:6" x14ac:dyDescent="0.15">
      <c r="A2513" s="5" t="s">
        <v>37</v>
      </c>
      <c r="B2513" s="5" t="s">
        <v>7488</v>
      </c>
      <c r="C2513" s="9">
        <v>43391</v>
      </c>
      <c r="D2513" s="5" t="s">
        <v>16</v>
      </c>
      <c r="E2513" s="5" t="s">
        <v>7489</v>
      </c>
      <c r="F2513" s="6">
        <v>13650</v>
      </c>
    </row>
    <row r="2514" spans="1:6" x14ac:dyDescent="0.15">
      <c r="A2514" s="5" t="s">
        <v>37</v>
      </c>
      <c r="B2514" s="5" t="s">
        <v>7490</v>
      </c>
      <c r="C2514" s="9">
        <v>43391</v>
      </c>
      <c r="D2514" s="5" t="s">
        <v>16</v>
      </c>
      <c r="E2514" s="5" t="s">
        <v>7491</v>
      </c>
      <c r="F2514" s="6">
        <v>5850</v>
      </c>
    </row>
    <row r="2515" spans="1:6" x14ac:dyDescent="0.15">
      <c r="A2515" s="5" t="s">
        <v>40</v>
      </c>
      <c r="B2515" s="5" t="s">
        <v>2474</v>
      </c>
      <c r="C2515" s="9">
        <v>43391</v>
      </c>
      <c r="D2515" s="5" t="s">
        <v>16</v>
      </c>
      <c r="E2515" s="5" t="s">
        <v>2475</v>
      </c>
      <c r="F2515" s="6">
        <v>4800</v>
      </c>
    </row>
    <row r="2516" spans="1:6" x14ac:dyDescent="0.15">
      <c r="A2516" s="5" t="s">
        <v>35</v>
      </c>
      <c r="B2516" s="5" t="s">
        <v>3648</v>
      </c>
      <c r="C2516" s="9">
        <v>43391</v>
      </c>
      <c r="D2516" s="5" t="s">
        <v>16</v>
      </c>
      <c r="E2516" s="5" t="s">
        <v>2475</v>
      </c>
      <c r="F2516" s="6">
        <v>6337.5</v>
      </c>
    </row>
    <row r="2517" spans="1:6" x14ac:dyDescent="0.15">
      <c r="A2517" s="5" t="s">
        <v>37</v>
      </c>
      <c r="B2517" s="5" t="s">
        <v>7492</v>
      </c>
      <c r="C2517" s="9">
        <v>43392</v>
      </c>
      <c r="D2517" s="5" t="s">
        <v>16</v>
      </c>
      <c r="E2517" s="5" t="s">
        <v>7493</v>
      </c>
      <c r="F2517" s="6">
        <v>97.5</v>
      </c>
    </row>
    <row r="2518" spans="1:6" x14ac:dyDescent="0.15">
      <c r="A2518" s="5" t="s">
        <v>35</v>
      </c>
      <c r="B2518" s="5" t="s">
        <v>3651</v>
      </c>
      <c r="C2518" s="9">
        <v>43395</v>
      </c>
      <c r="D2518" s="5" t="s">
        <v>16</v>
      </c>
      <c r="E2518" s="5" t="s">
        <v>3652</v>
      </c>
      <c r="F2518" s="6">
        <v>780</v>
      </c>
    </row>
    <row r="2519" spans="1:6" x14ac:dyDescent="0.15">
      <c r="A2519" s="5" t="s">
        <v>37</v>
      </c>
      <c r="B2519" s="5" t="s">
        <v>7494</v>
      </c>
      <c r="C2519" s="9">
        <v>43396</v>
      </c>
      <c r="D2519" s="5" t="s">
        <v>16</v>
      </c>
      <c r="E2519" s="5" t="s">
        <v>7495</v>
      </c>
      <c r="F2519" s="6">
        <v>1950</v>
      </c>
    </row>
    <row r="2520" spans="1:6" x14ac:dyDescent="0.15">
      <c r="A2520" s="5" t="s">
        <v>41</v>
      </c>
      <c r="B2520" s="5" t="s">
        <v>2004</v>
      </c>
      <c r="C2520" s="9">
        <v>43396</v>
      </c>
      <c r="D2520" s="5" t="s">
        <v>16</v>
      </c>
      <c r="E2520" s="5" t="s">
        <v>2005</v>
      </c>
      <c r="F2520" s="6">
        <v>48.5</v>
      </c>
    </row>
    <row r="2521" spans="1:6" x14ac:dyDescent="0.15">
      <c r="A2521" s="5" t="s">
        <v>40</v>
      </c>
      <c r="B2521" s="5" t="s">
        <v>2476</v>
      </c>
      <c r="C2521" s="9">
        <v>43396</v>
      </c>
      <c r="D2521" s="5" t="s">
        <v>16</v>
      </c>
      <c r="E2521" s="5" t="s">
        <v>2005</v>
      </c>
      <c r="F2521" s="6">
        <v>300</v>
      </c>
    </row>
    <row r="2522" spans="1:6" x14ac:dyDescent="0.15">
      <c r="A2522" s="5" t="s">
        <v>35</v>
      </c>
      <c r="B2522" s="5" t="s">
        <v>3653</v>
      </c>
      <c r="C2522" s="9">
        <v>43396</v>
      </c>
      <c r="D2522" s="5" t="s">
        <v>16</v>
      </c>
      <c r="E2522" s="5" t="s">
        <v>2005</v>
      </c>
      <c r="F2522" s="6">
        <v>1560</v>
      </c>
    </row>
    <row r="2523" spans="1:6" x14ac:dyDescent="0.15">
      <c r="A2523" s="5" t="s">
        <v>37</v>
      </c>
      <c r="B2523" s="5" t="s">
        <v>7496</v>
      </c>
      <c r="C2523" s="9">
        <v>43396</v>
      </c>
      <c r="D2523" s="5" t="s">
        <v>16</v>
      </c>
      <c r="E2523" s="5" t="s">
        <v>7497</v>
      </c>
      <c r="F2523" s="6">
        <v>975</v>
      </c>
    </row>
    <row r="2524" spans="1:6" x14ac:dyDescent="0.15">
      <c r="A2524" s="5" t="s">
        <v>37</v>
      </c>
      <c r="B2524" s="5" t="s">
        <v>7498</v>
      </c>
      <c r="C2524" s="9">
        <v>43396</v>
      </c>
      <c r="D2524" s="5" t="s">
        <v>16</v>
      </c>
      <c r="E2524" s="5" t="s">
        <v>7499</v>
      </c>
      <c r="F2524" s="6">
        <v>1950</v>
      </c>
    </row>
    <row r="2525" spans="1:6" x14ac:dyDescent="0.15">
      <c r="A2525" s="5" t="s">
        <v>35</v>
      </c>
      <c r="B2525" s="5" t="s">
        <v>3649</v>
      </c>
      <c r="C2525" s="9">
        <v>43392</v>
      </c>
      <c r="D2525" s="5" t="s">
        <v>16</v>
      </c>
      <c r="E2525" s="5" t="s">
        <v>3650</v>
      </c>
      <c r="F2525" s="6">
        <v>195</v>
      </c>
    </row>
    <row r="2526" spans="1:6" x14ac:dyDescent="0.15">
      <c r="A2526" s="5" t="s">
        <v>37</v>
      </c>
      <c r="B2526" s="5" t="s">
        <v>7500</v>
      </c>
      <c r="C2526" s="9">
        <v>43397</v>
      </c>
      <c r="D2526" s="5" t="s">
        <v>16</v>
      </c>
      <c r="E2526" s="5" t="s">
        <v>7501</v>
      </c>
      <c r="F2526" s="6">
        <v>24960</v>
      </c>
    </row>
    <row r="2527" spans="1:6" x14ac:dyDescent="0.15">
      <c r="A2527" s="5" t="s">
        <v>37</v>
      </c>
      <c r="B2527" s="5" t="s">
        <v>7502</v>
      </c>
      <c r="C2527" s="9">
        <v>43397</v>
      </c>
      <c r="D2527" s="5" t="s">
        <v>16</v>
      </c>
      <c r="E2527" s="5" t="s">
        <v>7503</v>
      </c>
      <c r="F2527" s="6">
        <v>8872.5</v>
      </c>
    </row>
    <row r="2528" spans="1:6" x14ac:dyDescent="0.15">
      <c r="A2528" s="5" t="s">
        <v>41</v>
      </c>
      <c r="B2528" s="5" t="s">
        <v>2006</v>
      </c>
      <c r="C2528" s="9">
        <v>43397</v>
      </c>
      <c r="D2528" s="5" t="s">
        <v>16</v>
      </c>
      <c r="E2528" s="5" t="s">
        <v>2007</v>
      </c>
      <c r="F2528" s="6">
        <v>8245</v>
      </c>
    </row>
    <row r="2529" spans="1:6" x14ac:dyDescent="0.15">
      <c r="A2529" s="5" t="s">
        <v>40</v>
      </c>
      <c r="B2529" s="5" t="s">
        <v>2477</v>
      </c>
      <c r="C2529" s="9">
        <v>43397</v>
      </c>
      <c r="D2529" s="5" t="s">
        <v>16</v>
      </c>
      <c r="E2529" s="5" t="s">
        <v>2007</v>
      </c>
      <c r="F2529" s="6">
        <v>3300</v>
      </c>
    </row>
    <row r="2530" spans="1:6" x14ac:dyDescent="0.15">
      <c r="A2530" s="5" t="s">
        <v>35</v>
      </c>
      <c r="B2530" s="5" t="s">
        <v>3654</v>
      </c>
      <c r="C2530" s="9">
        <v>43397</v>
      </c>
      <c r="D2530" s="5" t="s">
        <v>16</v>
      </c>
      <c r="E2530" s="5" t="s">
        <v>2007</v>
      </c>
      <c r="F2530" s="6">
        <v>1560</v>
      </c>
    </row>
    <row r="2531" spans="1:6" x14ac:dyDescent="0.15">
      <c r="A2531" s="5" t="s">
        <v>63</v>
      </c>
      <c r="B2531" s="5" t="s">
        <v>2275</v>
      </c>
      <c r="C2531" s="9">
        <v>43397</v>
      </c>
      <c r="D2531" s="5" t="s">
        <v>16</v>
      </c>
      <c r="E2531" s="5" t="s">
        <v>2276</v>
      </c>
      <c r="F2531" s="6">
        <v>10621.5</v>
      </c>
    </row>
    <row r="2532" spans="1:6" x14ac:dyDescent="0.15">
      <c r="A2532" s="5" t="s">
        <v>41</v>
      </c>
      <c r="B2532" s="5" t="s">
        <v>2008</v>
      </c>
      <c r="C2532" s="9">
        <v>43397</v>
      </c>
      <c r="D2532" s="5" t="s">
        <v>16</v>
      </c>
      <c r="E2532" s="5" t="s">
        <v>2009</v>
      </c>
      <c r="F2532" s="6">
        <v>3104</v>
      </c>
    </row>
    <row r="2533" spans="1:6" x14ac:dyDescent="0.15">
      <c r="A2533" s="5" t="s">
        <v>35</v>
      </c>
      <c r="B2533" s="5" t="s">
        <v>3655</v>
      </c>
      <c r="C2533" s="9">
        <v>43397</v>
      </c>
      <c r="D2533" s="5" t="s">
        <v>16</v>
      </c>
      <c r="E2533" s="5" t="s">
        <v>3656</v>
      </c>
      <c r="F2533" s="6">
        <v>1950</v>
      </c>
    </row>
    <row r="2534" spans="1:6" x14ac:dyDescent="0.15">
      <c r="A2534" s="5" t="s">
        <v>37</v>
      </c>
      <c r="B2534" s="5" t="s">
        <v>7504</v>
      </c>
      <c r="C2534" s="9">
        <v>43397</v>
      </c>
      <c r="D2534" s="5" t="s">
        <v>16</v>
      </c>
      <c r="E2534" s="5" t="s">
        <v>7505</v>
      </c>
      <c r="F2534" s="6">
        <v>24960</v>
      </c>
    </row>
    <row r="2535" spans="1:6" x14ac:dyDescent="0.15">
      <c r="A2535" s="5" t="s">
        <v>35</v>
      </c>
      <c r="B2535" s="5" t="s">
        <v>3657</v>
      </c>
      <c r="C2535" s="9">
        <v>43398</v>
      </c>
      <c r="D2535" s="5" t="s">
        <v>16</v>
      </c>
      <c r="E2535" s="5" t="s">
        <v>3658</v>
      </c>
      <c r="F2535" s="6">
        <v>3900</v>
      </c>
    </row>
    <row r="2536" spans="1:6" x14ac:dyDescent="0.15">
      <c r="A2536" s="5" t="s">
        <v>37</v>
      </c>
      <c r="B2536" s="5" t="s">
        <v>7506</v>
      </c>
      <c r="C2536" s="9">
        <v>43398</v>
      </c>
      <c r="D2536" s="5" t="s">
        <v>16</v>
      </c>
      <c r="E2536" s="5" t="s">
        <v>7507</v>
      </c>
      <c r="F2536" s="6">
        <v>97.5</v>
      </c>
    </row>
    <row r="2537" spans="1:6" x14ac:dyDescent="0.15">
      <c r="A2537" s="5" t="s">
        <v>8535</v>
      </c>
      <c r="B2537" s="5" t="s">
        <v>8552</v>
      </c>
      <c r="C2537" s="9">
        <v>43398</v>
      </c>
      <c r="D2537" s="5" t="s">
        <v>16</v>
      </c>
      <c r="E2537" s="5" t="s">
        <v>7509</v>
      </c>
      <c r="F2537" s="6">
        <v>234</v>
      </c>
    </row>
    <row r="2538" spans="1:6" x14ac:dyDescent="0.15">
      <c r="A2538" s="5" t="s">
        <v>37</v>
      </c>
      <c r="B2538" s="5" t="s">
        <v>7508</v>
      </c>
      <c r="C2538" s="9">
        <v>43398</v>
      </c>
      <c r="D2538" s="5" t="s">
        <v>16</v>
      </c>
      <c r="E2538" s="5" t="s">
        <v>7509</v>
      </c>
      <c r="F2538" s="6">
        <v>97.5</v>
      </c>
    </row>
    <row r="2539" spans="1:6" x14ac:dyDescent="0.15">
      <c r="A2539" s="5" t="s">
        <v>40</v>
      </c>
      <c r="B2539" s="5" t="s">
        <v>2478</v>
      </c>
      <c r="C2539" s="9">
        <v>43402</v>
      </c>
      <c r="D2539" s="5" t="s">
        <v>16</v>
      </c>
      <c r="E2539" s="5" t="s">
        <v>2479</v>
      </c>
      <c r="F2539" s="6">
        <v>6525</v>
      </c>
    </row>
    <row r="2540" spans="1:6" x14ac:dyDescent="0.15">
      <c r="A2540" s="5" t="s">
        <v>37</v>
      </c>
      <c r="B2540" s="5" t="s">
        <v>7512</v>
      </c>
      <c r="C2540" s="9">
        <v>43402</v>
      </c>
      <c r="D2540" s="5" t="s">
        <v>16</v>
      </c>
      <c r="E2540" s="5" t="s">
        <v>7513</v>
      </c>
      <c r="F2540" s="6">
        <v>26325</v>
      </c>
    </row>
    <row r="2541" spans="1:6" x14ac:dyDescent="0.15">
      <c r="A2541" s="5" t="s">
        <v>41</v>
      </c>
      <c r="B2541" s="5" t="s">
        <v>2010</v>
      </c>
      <c r="C2541" s="9">
        <v>43402</v>
      </c>
      <c r="D2541" s="5" t="s">
        <v>16</v>
      </c>
      <c r="E2541" s="5" t="s">
        <v>2011</v>
      </c>
      <c r="F2541" s="6">
        <v>97</v>
      </c>
    </row>
    <row r="2542" spans="1:6" x14ac:dyDescent="0.15">
      <c r="A2542" s="5" t="s">
        <v>40</v>
      </c>
      <c r="B2542" s="5" t="s">
        <v>2480</v>
      </c>
      <c r="C2542" s="9">
        <v>43402</v>
      </c>
      <c r="D2542" s="5" t="s">
        <v>16</v>
      </c>
      <c r="E2542" s="5" t="s">
        <v>2011</v>
      </c>
      <c r="F2542" s="6">
        <v>1275</v>
      </c>
    </row>
    <row r="2543" spans="1:6" x14ac:dyDescent="0.15">
      <c r="A2543" s="5" t="s">
        <v>35</v>
      </c>
      <c r="B2543" s="5" t="s">
        <v>3659</v>
      </c>
      <c r="C2543" s="9">
        <v>43402</v>
      </c>
      <c r="D2543" s="5" t="s">
        <v>16</v>
      </c>
      <c r="E2543" s="5" t="s">
        <v>2011</v>
      </c>
      <c r="F2543" s="6">
        <v>292.5</v>
      </c>
    </row>
    <row r="2544" spans="1:6" x14ac:dyDescent="0.15">
      <c r="A2544" s="5" t="s">
        <v>37</v>
      </c>
      <c r="B2544" s="5" t="s">
        <v>7519</v>
      </c>
      <c r="C2544" s="9">
        <v>43403</v>
      </c>
      <c r="D2544" s="5" t="s">
        <v>16</v>
      </c>
      <c r="E2544" s="5" t="s">
        <v>7520</v>
      </c>
      <c r="F2544" s="6">
        <v>9750</v>
      </c>
    </row>
    <row r="2545" spans="1:6" x14ac:dyDescent="0.15">
      <c r="A2545" s="5" t="s">
        <v>53</v>
      </c>
      <c r="B2545" s="5" t="s">
        <v>8487</v>
      </c>
      <c r="C2545" s="9">
        <v>43402</v>
      </c>
      <c r="D2545" s="5" t="s">
        <v>16</v>
      </c>
      <c r="E2545" s="5" t="s">
        <v>8488</v>
      </c>
      <c r="F2545" s="6">
        <v>195</v>
      </c>
    </row>
    <row r="2546" spans="1:6" x14ac:dyDescent="0.15">
      <c r="A2546" s="5" t="s">
        <v>49</v>
      </c>
      <c r="B2546" s="5" t="s">
        <v>8682</v>
      </c>
      <c r="C2546" s="9">
        <v>43402</v>
      </c>
      <c r="D2546" s="5" t="s">
        <v>16</v>
      </c>
      <c r="E2546" s="5" t="s">
        <v>8488</v>
      </c>
      <c r="F2546" s="6">
        <v>125</v>
      </c>
    </row>
    <row r="2547" spans="1:6" x14ac:dyDescent="0.15">
      <c r="A2547" s="5" t="s">
        <v>37</v>
      </c>
      <c r="B2547" s="5" t="s">
        <v>7514</v>
      </c>
      <c r="C2547" s="9">
        <v>43402</v>
      </c>
      <c r="D2547" s="5" t="s">
        <v>16</v>
      </c>
      <c r="E2547" s="5" t="s">
        <v>7515</v>
      </c>
      <c r="F2547" s="6">
        <v>5070</v>
      </c>
    </row>
    <row r="2548" spans="1:6" x14ac:dyDescent="0.15">
      <c r="A2548" s="5" t="s">
        <v>35</v>
      </c>
      <c r="B2548" s="5" t="s">
        <v>3660</v>
      </c>
      <c r="C2548" s="9">
        <v>43402</v>
      </c>
      <c r="D2548" s="5" t="s">
        <v>16</v>
      </c>
      <c r="E2548" s="5" t="s">
        <v>3661</v>
      </c>
      <c r="F2548" s="6">
        <v>780</v>
      </c>
    </row>
    <row r="2549" spans="1:6" x14ac:dyDescent="0.15">
      <c r="A2549" s="5" t="s">
        <v>37</v>
      </c>
      <c r="B2549" s="5" t="s">
        <v>7516</v>
      </c>
      <c r="C2549" s="9">
        <v>43402</v>
      </c>
      <c r="D2549" s="5" t="s">
        <v>16</v>
      </c>
      <c r="E2549" s="5" t="s">
        <v>3661</v>
      </c>
      <c r="F2549" s="6">
        <v>292.5</v>
      </c>
    </row>
    <row r="2550" spans="1:6" x14ac:dyDescent="0.15">
      <c r="A2550" s="5" t="s">
        <v>37</v>
      </c>
      <c r="B2550" s="5" t="s">
        <v>7510</v>
      </c>
      <c r="C2550" s="9">
        <v>43398</v>
      </c>
      <c r="D2550" s="5" t="s">
        <v>16</v>
      </c>
      <c r="E2550" s="5" t="s">
        <v>7511</v>
      </c>
      <c r="F2550" s="6">
        <v>22425</v>
      </c>
    </row>
    <row r="2551" spans="1:6" x14ac:dyDescent="0.15">
      <c r="A2551" s="5" t="s">
        <v>40</v>
      </c>
      <c r="B2551" s="5" t="s">
        <v>2481</v>
      </c>
      <c r="C2551" s="9">
        <v>43402</v>
      </c>
      <c r="D2551" s="5" t="s">
        <v>16</v>
      </c>
      <c r="E2551" s="5" t="s">
        <v>2482</v>
      </c>
      <c r="F2551" s="6">
        <v>3000</v>
      </c>
    </row>
    <row r="2552" spans="1:6" x14ac:dyDescent="0.15">
      <c r="A2552" s="5" t="s">
        <v>37</v>
      </c>
      <c r="B2552" s="5" t="s">
        <v>7517</v>
      </c>
      <c r="C2552" s="9">
        <v>43402</v>
      </c>
      <c r="D2552" s="5" t="s">
        <v>16</v>
      </c>
      <c r="E2552" s="5" t="s">
        <v>7518</v>
      </c>
      <c r="F2552" s="6">
        <v>1365</v>
      </c>
    </row>
    <row r="2553" spans="1:6" x14ac:dyDescent="0.15">
      <c r="A2553" s="5" t="s">
        <v>43</v>
      </c>
      <c r="B2553" s="5" t="s">
        <v>5179</v>
      </c>
      <c r="C2553" s="9">
        <v>43417</v>
      </c>
      <c r="D2553" s="5" t="s">
        <v>16</v>
      </c>
      <c r="E2553" s="5" t="s">
        <v>5180</v>
      </c>
      <c r="F2553" s="6">
        <v>5820</v>
      </c>
    </row>
    <row r="2554" spans="1:6" x14ac:dyDescent="0.15">
      <c r="A2554" s="5" t="s">
        <v>37</v>
      </c>
      <c r="B2554" s="5" t="s">
        <v>7537</v>
      </c>
      <c r="C2554" s="9">
        <v>43417</v>
      </c>
      <c r="D2554" s="5" t="s">
        <v>16</v>
      </c>
      <c r="E2554" s="5" t="s">
        <v>5180</v>
      </c>
      <c r="F2554" s="6">
        <v>1950</v>
      </c>
    </row>
    <row r="2555" spans="1:6" x14ac:dyDescent="0.15">
      <c r="A2555" s="5" t="s">
        <v>35</v>
      </c>
      <c r="B2555" s="5" t="s">
        <v>3662</v>
      </c>
      <c r="C2555" s="9">
        <v>43403</v>
      </c>
      <c r="D2555" s="5" t="s">
        <v>16</v>
      </c>
      <c r="E2555" s="5" t="s">
        <v>2278</v>
      </c>
      <c r="F2555" s="6">
        <v>5362.5</v>
      </c>
    </row>
    <row r="2556" spans="1:6" x14ac:dyDescent="0.15">
      <c r="A2556" s="5" t="s">
        <v>63</v>
      </c>
      <c r="B2556" s="5" t="s">
        <v>2277</v>
      </c>
      <c r="C2556" s="9">
        <v>43403</v>
      </c>
      <c r="D2556" s="5" t="s">
        <v>16</v>
      </c>
      <c r="E2556" s="5" t="s">
        <v>2278</v>
      </c>
      <c r="F2556" s="6">
        <v>1358</v>
      </c>
    </row>
    <row r="2557" spans="1:6" x14ac:dyDescent="0.15">
      <c r="A2557" s="5" t="s">
        <v>37</v>
      </c>
      <c r="B2557" s="5" t="s">
        <v>7521</v>
      </c>
      <c r="C2557" s="9">
        <v>43403</v>
      </c>
      <c r="D2557" s="5" t="s">
        <v>16</v>
      </c>
      <c r="E2557" s="5" t="s">
        <v>5918</v>
      </c>
      <c r="F2557" s="6">
        <v>7995</v>
      </c>
    </row>
    <row r="2558" spans="1:6" x14ac:dyDescent="0.15">
      <c r="A2558" s="5" t="s">
        <v>42</v>
      </c>
      <c r="B2558" s="5" t="s">
        <v>5917</v>
      </c>
      <c r="C2558" s="9">
        <v>43403</v>
      </c>
      <c r="D2558" s="5" t="s">
        <v>16</v>
      </c>
      <c r="E2558" s="5" t="s">
        <v>5918</v>
      </c>
      <c r="F2558" s="6">
        <v>3075</v>
      </c>
    </row>
    <row r="2559" spans="1:6" x14ac:dyDescent="0.15">
      <c r="A2559" s="5" t="s">
        <v>37</v>
      </c>
      <c r="B2559" s="5" t="s">
        <v>7522</v>
      </c>
      <c r="C2559" s="9">
        <v>43403</v>
      </c>
      <c r="D2559" s="5" t="s">
        <v>16</v>
      </c>
      <c r="E2559" s="5" t="s">
        <v>7523</v>
      </c>
      <c r="F2559" s="6">
        <v>3802.5</v>
      </c>
    </row>
    <row r="2560" spans="1:6" x14ac:dyDescent="0.15">
      <c r="A2560" s="5" t="s">
        <v>37</v>
      </c>
      <c r="B2560" s="5" t="s">
        <v>7524</v>
      </c>
      <c r="C2560" s="9">
        <v>43404</v>
      </c>
      <c r="D2560" s="5" t="s">
        <v>16</v>
      </c>
      <c r="E2560" s="5" t="s">
        <v>7525</v>
      </c>
      <c r="F2560" s="6">
        <v>97.5</v>
      </c>
    </row>
    <row r="2561" spans="1:6" x14ac:dyDescent="0.15">
      <c r="A2561" s="5" t="s">
        <v>35</v>
      </c>
      <c r="B2561" s="5" t="s">
        <v>3663</v>
      </c>
      <c r="C2561" s="9">
        <v>43403</v>
      </c>
      <c r="D2561" s="5" t="s">
        <v>16</v>
      </c>
      <c r="E2561" s="5" t="s">
        <v>2484</v>
      </c>
      <c r="F2561" s="6">
        <v>5265</v>
      </c>
    </row>
    <row r="2562" spans="1:6" x14ac:dyDescent="0.15">
      <c r="A2562" s="5" t="s">
        <v>40</v>
      </c>
      <c r="B2562" s="5" t="s">
        <v>2483</v>
      </c>
      <c r="C2562" s="9">
        <v>43403</v>
      </c>
      <c r="D2562" s="5" t="s">
        <v>16</v>
      </c>
      <c r="E2562" s="5" t="s">
        <v>2484</v>
      </c>
      <c r="F2562" s="6">
        <v>1350</v>
      </c>
    </row>
    <row r="2563" spans="1:6" x14ac:dyDescent="0.15">
      <c r="A2563" s="5" t="s">
        <v>35</v>
      </c>
      <c r="B2563" s="5" t="s">
        <v>3664</v>
      </c>
      <c r="C2563" s="9">
        <v>43404</v>
      </c>
      <c r="D2563" s="5" t="s">
        <v>16</v>
      </c>
      <c r="E2563" s="5" t="s">
        <v>2013</v>
      </c>
      <c r="F2563" s="6">
        <v>2437.5</v>
      </c>
    </row>
    <row r="2564" spans="1:6" x14ac:dyDescent="0.15">
      <c r="A2564" s="5" t="s">
        <v>41</v>
      </c>
      <c r="B2564" s="5" t="s">
        <v>2012</v>
      </c>
      <c r="C2564" s="9">
        <v>43404</v>
      </c>
      <c r="D2564" s="5" t="s">
        <v>16</v>
      </c>
      <c r="E2564" s="5" t="s">
        <v>2013</v>
      </c>
      <c r="F2564" s="6">
        <v>1212.5</v>
      </c>
    </row>
    <row r="2565" spans="1:6" x14ac:dyDescent="0.15">
      <c r="A2565" s="5" t="s">
        <v>51</v>
      </c>
      <c r="B2565" s="5" t="s">
        <v>4239</v>
      </c>
      <c r="C2565" s="9">
        <v>43409</v>
      </c>
      <c r="D2565" s="5" t="s">
        <v>16</v>
      </c>
      <c r="E2565" s="5" t="s">
        <v>4240</v>
      </c>
      <c r="F2565" s="6">
        <v>1365</v>
      </c>
    </row>
    <row r="2566" spans="1:6" x14ac:dyDescent="0.15">
      <c r="A2566" s="5" t="s">
        <v>53</v>
      </c>
      <c r="B2566" s="5" t="s">
        <v>8489</v>
      </c>
      <c r="C2566" s="9">
        <v>43409</v>
      </c>
      <c r="D2566" s="5" t="s">
        <v>16</v>
      </c>
      <c r="E2566" s="5" t="s">
        <v>4240</v>
      </c>
      <c r="F2566" s="6">
        <v>5265</v>
      </c>
    </row>
    <row r="2567" spans="1:6" x14ac:dyDescent="0.15">
      <c r="A2567" s="5" t="s">
        <v>40</v>
      </c>
      <c r="B2567" s="5" t="s">
        <v>2485</v>
      </c>
      <c r="C2567" s="9">
        <v>43409</v>
      </c>
      <c r="D2567" s="5" t="s">
        <v>16</v>
      </c>
      <c r="E2567" s="5" t="s">
        <v>2486</v>
      </c>
      <c r="F2567" s="6">
        <v>4200</v>
      </c>
    </row>
    <row r="2568" spans="1:6" x14ac:dyDescent="0.15">
      <c r="A2568" s="5" t="s">
        <v>37</v>
      </c>
      <c r="B2568" s="5" t="s">
        <v>7526</v>
      </c>
      <c r="C2568" s="9">
        <v>43409</v>
      </c>
      <c r="D2568" s="5" t="s">
        <v>16</v>
      </c>
      <c r="E2568" s="5" t="s">
        <v>7527</v>
      </c>
      <c r="F2568" s="6">
        <v>1365</v>
      </c>
    </row>
    <row r="2569" spans="1:6" x14ac:dyDescent="0.15">
      <c r="A2569" s="5" t="s">
        <v>37</v>
      </c>
      <c r="B2569" s="5" t="s">
        <v>7528</v>
      </c>
      <c r="C2569" s="9">
        <v>43409</v>
      </c>
      <c r="D2569" s="5" t="s">
        <v>16</v>
      </c>
      <c r="E2569" s="5" t="s">
        <v>5920</v>
      </c>
      <c r="F2569" s="6">
        <v>1365</v>
      </c>
    </row>
    <row r="2570" spans="1:6" x14ac:dyDescent="0.15">
      <c r="A2570" s="5" t="s">
        <v>42</v>
      </c>
      <c r="B2570" s="5" t="s">
        <v>5919</v>
      </c>
      <c r="C2570" s="9">
        <v>43409</v>
      </c>
      <c r="D2570" s="5" t="s">
        <v>16</v>
      </c>
      <c r="E2570" s="5" t="s">
        <v>5920</v>
      </c>
      <c r="F2570" s="6">
        <v>1050</v>
      </c>
    </row>
    <row r="2571" spans="1:6" x14ac:dyDescent="0.15">
      <c r="A2571" s="5" t="s">
        <v>37</v>
      </c>
      <c r="B2571" s="5" t="s">
        <v>7529</v>
      </c>
      <c r="C2571" s="9">
        <v>43409</v>
      </c>
      <c r="D2571" s="5" t="s">
        <v>16</v>
      </c>
      <c r="E2571" s="5" t="s">
        <v>7530</v>
      </c>
      <c r="F2571" s="6">
        <v>5167.5</v>
      </c>
    </row>
    <row r="2572" spans="1:6" x14ac:dyDescent="0.15">
      <c r="A2572" s="5" t="s">
        <v>43</v>
      </c>
      <c r="B2572" s="5" t="s">
        <v>5175</v>
      </c>
      <c r="C2572" s="9">
        <v>43410</v>
      </c>
      <c r="D2572" s="5" t="s">
        <v>16</v>
      </c>
      <c r="E2572" s="5" t="s">
        <v>5176</v>
      </c>
      <c r="F2572" s="6">
        <v>291</v>
      </c>
    </row>
    <row r="2573" spans="1:6" x14ac:dyDescent="0.15">
      <c r="A2573" s="5" t="s">
        <v>43</v>
      </c>
      <c r="B2573" s="5" t="s">
        <v>5177</v>
      </c>
      <c r="C2573" s="9">
        <v>43410</v>
      </c>
      <c r="D2573" s="5" t="s">
        <v>16</v>
      </c>
      <c r="E2573" s="5" t="s">
        <v>5178</v>
      </c>
      <c r="F2573" s="6">
        <v>485</v>
      </c>
    </row>
    <row r="2574" spans="1:6" x14ac:dyDescent="0.15">
      <c r="A2574" s="5" t="s">
        <v>37</v>
      </c>
      <c r="B2574" s="5" t="s">
        <v>7531</v>
      </c>
      <c r="C2574" s="9">
        <v>43410</v>
      </c>
      <c r="D2574" s="5" t="s">
        <v>16</v>
      </c>
      <c r="E2574" s="5" t="s">
        <v>5178</v>
      </c>
      <c r="F2574" s="6">
        <v>3412.5</v>
      </c>
    </row>
    <row r="2575" spans="1:6" x14ac:dyDescent="0.15">
      <c r="A2575" s="5" t="s">
        <v>37</v>
      </c>
      <c r="B2575" s="5" t="s">
        <v>7538</v>
      </c>
      <c r="C2575" s="9">
        <v>43417</v>
      </c>
      <c r="D2575" s="5" t="s">
        <v>16</v>
      </c>
      <c r="E2575" s="5" t="s">
        <v>7539</v>
      </c>
      <c r="F2575" s="6">
        <v>9750</v>
      </c>
    </row>
    <row r="2576" spans="1:6" x14ac:dyDescent="0.15">
      <c r="A2576" s="5" t="s">
        <v>40</v>
      </c>
      <c r="B2576" s="5" t="s">
        <v>2493</v>
      </c>
      <c r="C2576" s="9">
        <v>43420</v>
      </c>
      <c r="D2576" s="5" t="s">
        <v>16</v>
      </c>
      <c r="E2576" s="5" t="s">
        <v>2494</v>
      </c>
      <c r="F2576" s="6">
        <v>1500</v>
      </c>
    </row>
    <row r="2577" spans="1:6" x14ac:dyDescent="0.15">
      <c r="A2577" s="5" t="s">
        <v>35</v>
      </c>
      <c r="B2577" s="5" t="s">
        <v>3678</v>
      </c>
      <c r="C2577" s="9">
        <v>43420</v>
      </c>
      <c r="D2577" s="5" t="s">
        <v>16</v>
      </c>
      <c r="E2577" s="5" t="s">
        <v>2494</v>
      </c>
      <c r="F2577" s="6">
        <v>1950</v>
      </c>
    </row>
    <row r="2578" spans="1:6" x14ac:dyDescent="0.15">
      <c r="A2578" s="5" t="s">
        <v>51</v>
      </c>
      <c r="B2578" s="5" t="s">
        <v>4242</v>
      </c>
      <c r="C2578" s="9">
        <v>43417</v>
      </c>
      <c r="D2578" s="5" t="s">
        <v>16</v>
      </c>
      <c r="E2578" s="5" t="s">
        <v>4243</v>
      </c>
      <c r="F2578" s="6">
        <v>2145</v>
      </c>
    </row>
    <row r="2579" spans="1:6" x14ac:dyDescent="0.15">
      <c r="A2579" s="5" t="s">
        <v>51</v>
      </c>
      <c r="B2579" s="5" t="s">
        <v>4244</v>
      </c>
      <c r="C2579" s="9">
        <v>43423</v>
      </c>
      <c r="D2579" s="5" t="s">
        <v>16</v>
      </c>
      <c r="E2579" s="5" t="s">
        <v>3682</v>
      </c>
      <c r="F2579" s="6">
        <v>15600</v>
      </c>
    </row>
    <row r="2580" spans="1:6" x14ac:dyDescent="0.15">
      <c r="A2580" s="5" t="s">
        <v>35</v>
      </c>
      <c r="B2580" s="5" t="s">
        <v>3681</v>
      </c>
      <c r="C2580" s="9">
        <v>43423</v>
      </c>
      <c r="D2580" s="5" t="s">
        <v>16</v>
      </c>
      <c r="E2580" s="5" t="s">
        <v>3682</v>
      </c>
      <c r="F2580" s="6">
        <v>9750</v>
      </c>
    </row>
    <row r="2581" spans="1:6" x14ac:dyDescent="0.15">
      <c r="A2581" s="5" t="s">
        <v>53</v>
      </c>
      <c r="B2581" s="5" t="s">
        <v>8492</v>
      </c>
      <c r="C2581" s="9">
        <v>43423</v>
      </c>
      <c r="D2581" s="5" t="s">
        <v>16</v>
      </c>
      <c r="E2581" s="5" t="s">
        <v>7557</v>
      </c>
      <c r="F2581" s="6">
        <v>15600</v>
      </c>
    </row>
    <row r="2582" spans="1:6" x14ac:dyDescent="0.15">
      <c r="A2582" s="5" t="s">
        <v>37</v>
      </c>
      <c r="B2582" s="5" t="s">
        <v>7556</v>
      </c>
      <c r="C2582" s="9">
        <v>43423</v>
      </c>
      <c r="D2582" s="5" t="s">
        <v>16</v>
      </c>
      <c r="E2582" s="5" t="s">
        <v>7557</v>
      </c>
      <c r="F2582" s="6">
        <v>9750</v>
      </c>
    </row>
    <row r="2583" spans="1:6" x14ac:dyDescent="0.15">
      <c r="A2583" s="5" t="s">
        <v>53</v>
      </c>
      <c r="B2583" s="5" t="s">
        <v>8490</v>
      </c>
      <c r="C2583" s="9">
        <v>43412</v>
      </c>
      <c r="D2583" s="5" t="s">
        <v>16</v>
      </c>
      <c r="E2583" s="5" t="s">
        <v>8491</v>
      </c>
      <c r="F2583" s="6">
        <v>975</v>
      </c>
    </row>
    <row r="2584" spans="1:6" x14ac:dyDescent="0.15">
      <c r="A2584" s="5" t="s">
        <v>37</v>
      </c>
      <c r="B2584" s="5" t="s">
        <v>7534</v>
      </c>
      <c r="C2584" s="9">
        <v>43412</v>
      </c>
      <c r="D2584" s="5" t="s">
        <v>16</v>
      </c>
      <c r="E2584" s="5" t="s">
        <v>7535</v>
      </c>
      <c r="F2584" s="6">
        <v>2437.5</v>
      </c>
    </row>
    <row r="2585" spans="1:6" x14ac:dyDescent="0.15">
      <c r="A2585" s="5" t="s">
        <v>174</v>
      </c>
      <c r="B2585" s="5" t="s">
        <v>2671</v>
      </c>
      <c r="C2585" s="9">
        <v>43417</v>
      </c>
      <c r="D2585" s="5" t="s">
        <v>16</v>
      </c>
      <c r="E2585" s="5" t="s">
        <v>2672</v>
      </c>
      <c r="F2585" s="6">
        <v>3225</v>
      </c>
    </row>
    <row r="2586" spans="1:6" x14ac:dyDescent="0.15">
      <c r="A2586" s="5" t="s">
        <v>35</v>
      </c>
      <c r="B2586" s="5" t="s">
        <v>3667</v>
      </c>
      <c r="C2586" s="9">
        <v>43411</v>
      </c>
      <c r="D2586" s="5" t="s">
        <v>16</v>
      </c>
      <c r="E2586" s="5" t="s">
        <v>3668</v>
      </c>
      <c r="F2586" s="6">
        <v>975</v>
      </c>
    </row>
    <row r="2587" spans="1:6" x14ac:dyDescent="0.15">
      <c r="A2587" s="5" t="s">
        <v>37</v>
      </c>
      <c r="B2587" s="5" t="s">
        <v>7536</v>
      </c>
      <c r="C2587" s="9">
        <v>43413</v>
      </c>
      <c r="D2587" s="5" t="s">
        <v>16</v>
      </c>
      <c r="E2587" s="5" t="s">
        <v>5922</v>
      </c>
      <c r="F2587" s="6">
        <v>11212.5</v>
      </c>
    </row>
    <row r="2588" spans="1:6" x14ac:dyDescent="0.15">
      <c r="A2588" s="5" t="s">
        <v>42</v>
      </c>
      <c r="B2588" s="5" t="s">
        <v>5921</v>
      </c>
      <c r="C2588" s="9">
        <v>43413</v>
      </c>
      <c r="D2588" s="5" t="s">
        <v>16</v>
      </c>
      <c r="E2588" s="5" t="s">
        <v>5922</v>
      </c>
      <c r="F2588" s="6">
        <v>1875</v>
      </c>
    </row>
    <row r="2589" spans="1:6" x14ac:dyDescent="0.15">
      <c r="A2589" s="5" t="s">
        <v>35</v>
      </c>
      <c r="B2589" s="5" t="s">
        <v>3669</v>
      </c>
      <c r="C2589" s="9">
        <v>43411</v>
      </c>
      <c r="D2589" s="5" t="s">
        <v>16</v>
      </c>
      <c r="E2589" s="5" t="s">
        <v>3670</v>
      </c>
      <c r="F2589" s="6">
        <v>7995</v>
      </c>
    </row>
    <row r="2590" spans="1:6" x14ac:dyDescent="0.15">
      <c r="A2590" s="5" t="s">
        <v>35</v>
      </c>
      <c r="B2590" s="5" t="s">
        <v>3665</v>
      </c>
      <c r="C2590" s="9">
        <v>43409</v>
      </c>
      <c r="D2590" s="5" t="s">
        <v>16</v>
      </c>
      <c r="E2590" s="5" t="s">
        <v>3666</v>
      </c>
      <c r="F2590" s="6">
        <v>3120</v>
      </c>
    </row>
    <row r="2591" spans="1:6" x14ac:dyDescent="0.15">
      <c r="A2591" s="5" t="s">
        <v>37</v>
      </c>
      <c r="B2591" s="5" t="s">
        <v>7540</v>
      </c>
      <c r="C2591" s="9">
        <v>43417</v>
      </c>
      <c r="D2591" s="5" t="s">
        <v>16</v>
      </c>
      <c r="E2591" s="5" t="s">
        <v>2017</v>
      </c>
      <c r="F2591" s="6">
        <v>3997.5</v>
      </c>
    </row>
    <row r="2592" spans="1:6" x14ac:dyDescent="0.15">
      <c r="A2592" s="5" t="s">
        <v>43</v>
      </c>
      <c r="B2592" s="5" t="s">
        <v>5181</v>
      </c>
      <c r="C2592" s="9">
        <v>43417</v>
      </c>
      <c r="D2592" s="5" t="s">
        <v>16</v>
      </c>
      <c r="E2592" s="5" t="s">
        <v>2017</v>
      </c>
      <c r="F2592" s="6">
        <v>194</v>
      </c>
    </row>
    <row r="2593" spans="1:6" x14ac:dyDescent="0.15">
      <c r="A2593" s="5" t="s">
        <v>41</v>
      </c>
      <c r="B2593" s="5" t="s">
        <v>2016</v>
      </c>
      <c r="C2593" s="9">
        <v>43417</v>
      </c>
      <c r="D2593" s="5" t="s">
        <v>16</v>
      </c>
      <c r="E2593" s="5" t="s">
        <v>2017</v>
      </c>
      <c r="F2593" s="6">
        <v>97</v>
      </c>
    </row>
    <row r="2594" spans="1:6" x14ac:dyDescent="0.15">
      <c r="A2594" s="5" t="s">
        <v>42</v>
      </c>
      <c r="B2594" s="5" t="s">
        <v>5923</v>
      </c>
      <c r="C2594" s="9">
        <v>43417</v>
      </c>
      <c r="D2594" s="5" t="s">
        <v>16</v>
      </c>
      <c r="E2594" s="5" t="s">
        <v>5924</v>
      </c>
      <c r="F2594" s="6">
        <v>825</v>
      </c>
    </row>
    <row r="2595" spans="1:6" x14ac:dyDescent="0.15">
      <c r="A2595" s="5" t="s">
        <v>37</v>
      </c>
      <c r="B2595" s="5" t="s">
        <v>7541</v>
      </c>
      <c r="C2595" s="9">
        <v>43417</v>
      </c>
      <c r="D2595" s="5" t="s">
        <v>16</v>
      </c>
      <c r="E2595" s="5" t="s">
        <v>5924</v>
      </c>
      <c r="F2595" s="6">
        <v>2145</v>
      </c>
    </row>
    <row r="2596" spans="1:6" x14ac:dyDescent="0.15">
      <c r="A2596" s="5" t="s">
        <v>37</v>
      </c>
      <c r="B2596" s="5" t="s">
        <v>7542</v>
      </c>
      <c r="C2596" s="9">
        <v>43418</v>
      </c>
      <c r="D2596" s="5" t="s">
        <v>16</v>
      </c>
      <c r="E2596" s="5" t="s">
        <v>7543</v>
      </c>
      <c r="F2596" s="6">
        <v>195</v>
      </c>
    </row>
    <row r="2597" spans="1:6" x14ac:dyDescent="0.15">
      <c r="A2597" s="5" t="s">
        <v>40</v>
      </c>
      <c r="B2597" s="5" t="s">
        <v>2489</v>
      </c>
      <c r="C2597" s="9">
        <v>43418</v>
      </c>
      <c r="D2597" s="5" t="s">
        <v>16</v>
      </c>
      <c r="E2597" s="5" t="s">
        <v>2490</v>
      </c>
      <c r="F2597" s="6">
        <v>6525</v>
      </c>
    </row>
    <row r="2598" spans="1:6" x14ac:dyDescent="0.15">
      <c r="A2598" s="5" t="s">
        <v>43</v>
      </c>
      <c r="B2598" s="5" t="s">
        <v>5182</v>
      </c>
      <c r="C2598" s="9">
        <v>43417</v>
      </c>
      <c r="D2598" s="5" t="s">
        <v>16</v>
      </c>
      <c r="E2598" s="5" t="s">
        <v>5183</v>
      </c>
      <c r="F2598" s="6">
        <v>388</v>
      </c>
    </row>
    <row r="2599" spans="1:6" x14ac:dyDescent="0.15">
      <c r="A2599" s="5" t="s">
        <v>42</v>
      </c>
      <c r="B2599" s="5" t="s">
        <v>5925</v>
      </c>
      <c r="C2599" s="9">
        <v>43417</v>
      </c>
      <c r="D2599" s="5" t="s">
        <v>16</v>
      </c>
      <c r="E2599" s="5" t="s">
        <v>5183</v>
      </c>
      <c r="F2599" s="6">
        <v>1125</v>
      </c>
    </row>
    <row r="2600" spans="1:6" x14ac:dyDescent="0.15">
      <c r="A2600" s="5" t="s">
        <v>37</v>
      </c>
      <c r="B2600" s="5" t="s">
        <v>7572</v>
      </c>
      <c r="C2600" s="9">
        <v>43427</v>
      </c>
      <c r="D2600" s="5" t="s">
        <v>16</v>
      </c>
      <c r="E2600" s="5" t="s">
        <v>7573</v>
      </c>
      <c r="F2600" s="6">
        <v>9750</v>
      </c>
    </row>
    <row r="2601" spans="1:6" x14ac:dyDescent="0.15">
      <c r="A2601" s="5" t="s">
        <v>35</v>
      </c>
      <c r="B2601" s="5" t="s">
        <v>3673</v>
      </c>
      <c r="C2601" s="9">
        <v>43418</v>
      </c>
      <c r="D2601" s="5" t="s">
        <v>16</v>
      </c>
      <c r="E2601" s="5" t="s">
        <v>3674</v>
      </c>
      <c r="F2601" s="6">
        <v>4680</v>
      </c>
    </row>
    <row r="2602" spans="1:6" x14ac:dyDescent="0.15">
      <c r="A2602" s="5" t="s">
        <v>37</v>
      </c>
      <c r="B2602" s="5" t="s">
        <v>7544</v>
      </c>
      <c r="C2602" s="9">
        <v>43418</v>
      </c>
      <c r="D2602" s="5" t="s">
        <v>16</v>
      </c>
      <c r="E2602" s="5" t="s">
        <v>7545</v>
      </c>
      <c r="F2602" s="6">
        <v>6435</v>
      </c>
    </row>
    <row r="2603" spans="1:6" x14ac:dyDescent="0.15">
      <c r="A2603" s="5" t="s">
        <v>40</v>
      </c>
      <c r="B2603" s="5" t="s">
        <v>2491</v>
      </c>
      <c r="C2603" s="9">
        <v>43418</v>
      </c>
      <c r="D2603" s="5" t="s">
        <v>16</v>
      </c>
      <c r="E2603" s="5" t="s">
        <v>2492</v>
      </c>
      <c r="F2603" s="6">
        <v>2250</v>
      </c>
    </row>
    <row r="2604" spans="1:6" x14ac:dyDescent="0.15">
      <c r="A2604" s="5" t="s">
        <v>35</v>
      </c>
      <c r="B2604" s="5" t="s">
        <v>3675</v>
      </c>
      <c r="C2604" s="9">
        <v>43418</v>
      </c>
      <c r="D2604" s="5" t="s">
        <v>16</v>
      </c>
      <c r="E2604" s="5" t="s">
        <v>2492</v>
      </c>
      <c r="F2604" s="6">
        <v>7800</v>
      </c>
    </row>
    <row r="2605" spans="1:6" x14ac:dyDescent="0.15">
      <c r="A2605" s="5" t="s">
        <v>35</v>
      </c>
      <c r="B2605" s="5" t="s">
        <v>3676</v>
      </c>
      <c r="C2605" s="9">
        <v>43418</v>
      </c>
      <c r="D2605" s="5" t="s">
        <v>16</v>
      </c>
      <c r="E2605" s="5" t="s">
        <v>3677</v>
      </c>
      <c r="F2605" s="6">
        <v>8970</v>
      </c>
    </row>
    <row r="2606" spans="1:6" x14ac:dyDescent="0.15">
      <c r="A2606" s="5" t="s">
        <v>40</v>
      </c>
      <c r="B2606" s="5" t="s">
        <v>2487</v>
      </c>
      <c r="C2606" s="9">
        <v>43417</v>
      </c>
      <c r="D2606" s="5" t="s">
        <v>16</v>
      </c>
      <c r="E2606" s="5" t="s">
        <v>2488</v>
      </c>
      <c r="F2606" s="6">
        <v>900</v>
      </c>
    </row>
    <row r="2607" spans="1:6" x14ac:dyDescent="0.15">
      <c r="A2607" s="5" t="s">
        <v>35</v>
      </c>
      <c r="B2607" s="5" t="s">
        <v>3672</v>
      </c>
      <c r="C2607" s="9">
        <v>43417</v>
      </c>
      <c r="D2607" s="5" t="s">
        <v>16</v>
      </c>
      <c r="E2607" s="5" t="s">
        <v>2488</v>
      </c>
      <c r="F2607" s="6">
        <v>3510</v>
      </c>
    </row>
    <row r="2608" spans="1:6" x14ac:dyDescent="0.15">
      <c r="A2608" s="5" t="s">
        <v>37</v>
      </c>
      <c r="B2608" s="5" t="s">
        <v>7546</v>
      </c>
      <c r="C2608" s="9">
        <v>43418</v>
      </c>
      <c r="D2608" s="5" t="s">
        <v>16</v>
      </c>
      <c r="E2608" s="5" t="s">
        <v>7547</v>
      </c>
      <c r="F2608" s="6">
        <v>585</v>
      </c>
    </row>
    <row r="2609" spans="1:6" x14ac:dyDescent="0.15">
      <c r="A2609" s="5" t="s">
        <v>41</v>
      </c>
      <c r="B2609" s="5" t="s">
        <v>2014</v>
      </c>
      <c r="C2609" s="9">
        <v>43412</v>
      </c>
      <c r="D2609" s="5" t="s">
        <v>16</v>
      </c>
      <c r="E2609" s="5" t="s">
        <v>2015</v>
      </c>
      <c r="F2609" s="6">
        <v>1018.5</v>
      </c>
    </row>
    <row r="2610" spans="1:6" x14ac:dyDescent="0.15">
      <c r="A2610" s="5" t="s">
        <v>35</v>
      </c>
      <c r="B2610" s="5" t="s">
        <v>3671</v>
      </c>
      <c r="C2610" s="9">
        <v>43412</v>
      </c>
      <c r="D2610" s="5" t="s">
        <v>16</v>
      </c>
      <c r="E2610" s="5" t="s">
        <v>2015</v>
      </c>
      <c r="F2610" s="6">
        <v>6142.5</v>
      </c>
    </row>
    <row r="2611" spans="1:6" x14ac:dyDescent="0.15">
      <c r="A2611" s="5" t="s">
        <v>37</v>
      </c>
      <c r="B2611" s="5" t="s">
        <v>7548</v>
      </c>
      <c r="C2611" s="9">
        <v>43419</v>
      </c>
      <c r="D2611" s="5" t="s">
        <v>16</v>
      </c>
      <c r="E2611" s="5" t="s">
        <v>7549</v>
      </c>
      <c r="F2611" s="6">
        <v>3217.5</v>
      </c>
    </row>
    <row r="2612" spans="1:6" x14ac:dyDescent="0.15">
      <c r="A2612" s="5" t="s">
        <v>37</v>
      </c>
      <c r="B2612" s="5" t="s">
        <v>7550</v>
      </c>
      <c r="C2612" s="9">
        <v>43419</v>
      </c>
      <c r="D2612" s="5" t="s">
        <v>16</v>
      </c>
      <c r="E2612" s="5" t="s">
        <v>7551</v>
      </c>
      <c r="F2612" s="6">
        <v>2437.5</v>
      </c>
    </row>
    <row r="2613" spans="1:6" x14ac:dyDescent="0.15">
      <c r="A2613" s="5" t="s">
        <v>42</v>
      </c>
      <c r="B2613" s="5" t="s">
        <v>5926</v>
      </c>
      <c r="C2613" s="9">
        <v>43419</v>
      </c>
      <c r="D2613" s="5" t="s">
        <v>16</v>
      </c>
      <c r="E2613" s="5" t="s">
        <v>5927</v>
      </c>
      <c r="F2613" s="6">
        <v>825</v>
      </c>
    </row>
    <row r="2614" spans="1:6" x14ac:dyDescent="0.15">
      <c r="A2614" s="5" t="s">
        <v>37</v>
      </c>
      <c r="B2614" s="5" t="s">
        <v>7552</v>
      </c>
      <c r="C2614" s="9">
        <v>43420</v>
      </c>
      <c r="D2614" s="5" t="s">
        <v>16</v>
      </c>
      <c r="E2614" s="5" t="s">
        <v>7553</v>
      </c>
      <c r="F2614" s="6">
        <v>97.5</v>
      </c>
    </row>
    <row r="2615" spans="1:6" x14ac:dyDescent="0.15">
      <c r="A2615" s="5" t="s">
        <v>37</v>
      </c>
      <c r="B2615" s="5" t="s">
        <v>7554</v>
      </c>
      <c r="C2615" s="9">
        <v>43420</v>
      </c>
      <c r="D2615" s="5" t="s">
        <v>16</v>
      </c>
      <c r="E2615" s="5" t="s">
        <v>7555</v>
      </c>
      <c r="F2615" s="6">
        <v>4095</v>
      </c>
    </row>
    <row r="2616" spans="1:6" x14ac:dyDescent="0.15">
      <c r="A2616" s="5" t="s">
        <v>35</v>
      </c>
      <c r="B2616" s="5" t="s">
        <v>3679</v>
      </c>
      <c r="C2616" s="9">
        <v>43420</v>
      </c>
      <c r="D2616" s="5" t="s">
        <v>16</v>
      </c>
      <c r="E2616" s="5" t="s">
        <v>3680</v>
      </c>
      <c r="F2616" s="6">
        <v>1755</v>
      </c>
    </row>
    <row r="2617" spans="1:6" x14ac:dyDescent="0.15">
      <c r="A2617" s="5" t="s">
        <v>35</v>
      </c>
      <c r="B2617" s="5" t="s">
        <v>3683</v>
      </c>
      <c r="C2617" s="9">
        <v>43423</v>
      </c>
      <c r="D2617" s="5" t="s">
        <v>16</v>
      </c>
      <c r="E2617" s="5" t="s">
        <v>2019</v>
      </c>
      <c r="F2617" s="6">
        <v>4582.5</v>
      </c>
    </row>
    <row r="2618" spans="1:6" x14ac:dyDescent="0.15">
      <c r="A2618" s="5" t="s">
        <v>41</v>
      </c>
      <c r="B2618" s="5" t="s">
        <v>2018</v>
      </c>
      <c r="C2618" s="9">
        <v>43423</v>
      </c>
      <c r="D2618" s="5" t="s">
        <v>16</v>
      </c>
      <c r="E2618" s="5" t="s">
        <v>2019</v>
      </c>
      <c r="F2618" s="6">
        <v>291</v>
      </c>
    </row>
    <row r="2619" spans="1:6" x14ac:dyDescent="0.15">
      <c r="A2619" s="5" t="s">
        <v>37</v>
      </c>
      <c r="B2619" s="5" t="s">
        <v>7558</v>
      </c>
      <c r="C2619" s="9">
        <v>43423</v>
      </c>
      <c r="D2619" s="5" t="s">
        <v>16</v>
      </c>
      <c r="E2619" s="5" t="s">
        <v>7559</v>
      </c>
      <c r="F2619" s="6">
        <v>2340</v>
      </c>
    </row>
    <row r="2620" spans="1:6" x14ac:dyDescent="0.15">
      <c r="A2620" s="5" t="s">
        <v>37</v>
      </c>
      <c r="B2620" s="5" t="s">
        <v>7560</v>
      </c>
      <c r="C2620" s="9">
        <v>43424</v>
      </c>
      <c r="D2620" s="5" t="s">
        <v>16</v>
      </c>
      <c r="E2620" s="5" t="s">
        <v>7561</v>
      </c>
      <c r="F2620" s="6">
        <v>1950</v>
      </c>
    </row>
    <row r="2621" spans="1:6" x14ac:dyDescent="0.15">
      <c r="A2621" s="5" t="s">
        <v>35</v>
      </c>
      <c r="B2621" s="5" t="s">
        <v>3684</v>
      </c>
      <c r="C2621" s="9">
        <v>43424</v>
      </c>
      <c r="D2621" s="5" t="s">
        <v>16</v>
      </c>
      <c r="E2621" s="5" t="s">
        <v>3685</v>
      </c>
      <c r="F2621" s="6">
        <v>390</v>
      </c>
    </row>
    <row r="2622" spans="1:6" x14ac:dyDescent="0.15">
      <c r="A2622" s="5" t="s">
        <v>35</v>
      </c>
      <c r="B2622" s="5" t="s">
        <v>3689</v>
      </c>
      <c r="C2622" s="9">
        <v>43425</v>
      </c>
      <c r="D2622" s="5" t="s">
        <v>16</v>
      </c>
      <c r="E2622" s="5" t="s">
        <v>3690</v>
      </c>
      <c r="F2622" s="6">
        <v>585</v>
      </c>
    </row>
    <row r="2623" spans="1:6" x14ac:dyDescent="0.15">
      <c r="A2623" s="5" t="s">
        <v>53</v>
      </c>
      <c r="B2623" s="5" t="s">
        <v>8493</v>
      </c>
      <c r="C2623" s="9">
        <v>43424</v>
      </c>
      <c r="D2623" s="5" t="s">
        <v>16</v>
      </c>
      <c r="E2623" s="5" t="s">
        <v>8494</v>
      </c>
      <c r="F2623" s="6">
        <v>97.5</v>
      </c>
    </row>
    <row r="2624" spans="1:6" x14ac:dyDescent="0.15">
      <c r="A2624" s="5" t="s">
        <v>35</v>
      </c>
      <c r="B2624" s="5" t="s">
        <v>3686</v>
      </c>
      <c r="C2624" s="9">
        <v>43424</v>
      </c>
      <c r="D2624" s="5" t="s">
        <v>16</v>
      </c>
      <c r="E2624" s="5" t="s">
        <v>3687</v>
      </c>
      <c r="F2624" s="6">
        <v>780</v>
      </c>
    </row>
    <row r="2625" spans="1:6" x14ac:dyDescent="0.15">
      <c r="A2625" s="5" t="s">
        <v>42</v>
      </c>
      <c r="B2625" s="5" t="s">
        <v>5928</v>
      </c>
      <c r="C2625" s="9">
        <v>43424</v>
      </c>
      <c r="D2625" s="5" t="s">
        <v>16</v>
      </c>
      <c r="E2625" s="5" t="s">
        <v>5929</v>
      </c>
      <c r="F2625" s="6">
        <v>525</v>
      </c>
    </row>
    <row r="2626" spans="1:6" x14ac:dyDescent="0.15">
      <c r="A2626" s="5" t="s">
        <v>37</v>
      </c>
      <c r="B2626" s="5" t="s">
        <v>7564</v>
      </c>
      <c r="C2626" s="9">
        <v>43425</v>
      </c>
      <c r="D2626" s="5" t="s">
        <v>16</v>
      </c>
      <c r="E2626" s="5" t="s">
        <v>7565</v>
      </c>
      <c r="F2626" s="6">
        <v>97.5</v>
      </c>
    </row>
    <row r="2627" spans="1:6" x14ac:dyDescent="0.15">
      <c r="A2627" s="5" t="s">
        <v>37</v>
      </c>
      <c r="B2627" s="5" t="s">
        <v>7566</v>
      </c>
      <c r="C2627" s="9">
        <v>43425</v>
      </c>
      <c r="D2627" s="5" t="s">
        <v>16</v>
      </c>
      <c r="E2627" s="5" t="s">
        <v>7567</v>
      </c>
      <c r="F2627" s="6">
        <v>-97.5</v>
      </c>
    </row>
    <row r="2628" spans="1:6" x14ac:dyDescent="0.15">
      <c r="A2628" s="5" t="s">
        <v>43</v>
      </c>
      <c r="B2628" s="5" t="s">
        <v>5186</v>
      </c>
      <c r="C2628" s="9">
        <v>43425</v>
      </c>
      <c r="D2628" s="5" t="s">
        <v>16</v>
      </c>
      <c r="E2628" s="5" t="s">
        <v>5187</v>
      </c>
      <c r="F2628" s="6">
        <v>48.5</v>
      </c>
    </row>
    <row r="2629" spans="1:6" x14ac:dyDescent="0.15">
      <c r="A2629" s="5" t="s">
        <v>43</v>
      </c>
      <c r="B2629" s="5" t="s">
        <v>5184</v>
      </c>
      <c r="C2629" s="9">
        <v>43424</v>
      </c>
      <c r="D2629" s="5" t="s">
        <v>16</v>
      </c>
      <c r="E2629" s="5" t="s">
        <v>5185</v>
      </c>
      <c r="F2629" s="6">
        <v>485</v>
      </c>
    </row>
    <row r="2630" spans="1:6" x14ac:dyDescent="0.15">
      <c r="A2630" s="5" t="s">
        <v>35</v>
      </c>
      <c r="B2630" s="5" t="s">
        <v>3693</v>
      </c>
      <c r="C2630" s="9">
        <v>43426</v>
      </c>
      <c r="D2630" s="5" t="s">
        <v>16</v>
      </c>
      <c r="E2630" s="5" t="s">
        <v>2498</v>
      </c>
      <c r="F2630" s="6">
        <v>292.5</v>
      </c>
    </row>
    <row r="2631" spans="1:6" x14ac:dyDescent="0.15">
      <c r="A2631" s="5" t="s">
        <v>40</v>
      </c>
      <c r="B2631" s="5" t="s">
        <v>2497</v>
      </c>
      <c r="C2631" s="9">
        <v>43426</v>
      </c>
      <c r="D2631" s="5" t="s">
        <v>16</v>
      </c>
      <c r="E2631" s="5" t="s">
        <v>2498</v>
      </c>
      <c r="F2631" s="6">
        <v>75</v>
      </c>
    </row>
    <row r="2632" spans="1:6" x14ac:dyDescent="0.15">
      <c r="A2632" s="5" t="s">
        <v>37</v>
      </c>
      <c r="B2632" s="5" t="s">
        <v>7568</v>
      </c>
      <c r="C2632" s="9">
        <v>43425</v>
      </c>
      <c r="D2632" s="5" t="s">
        <v>16</v>
      </c>
      <c r="E2632" s="5" t="s">
        <v>7569</v>
      </c>
      <c r="F2632" s="6">
        <v>3900</v>
      </c>
    </row>
    <row r="2633" spans="1:6" x14ac:dyDescent="0.15">
      <c r="A2633" s="5" t="s">
        <v>35</v>
      </c>
      <c r="B2633" s="5" t="s">
        <v>3691</v>
      </c>
      <c r="C2633" s="9">
        <v>43425</v>
      </c>
      <c r="D2633" s="5" t="s">
        <v>16</v>
      </c>
      <c r="E2633" s="5" t="s">
        <v>3692</v>
      </c>
      <c r="F2633" s="6">
        <v>292.5</v>
      </c>
    </row>
    <row r="2634" spans="1:6" x14ac:dyDescent="0.15">
      <c r="A2634" s="5" t="s">
        <v>37</v>
      </c>
      <c r="B2634" s="5" t="s">
        <v>7570</v>
      </c>
      <c r="C2634" s="9">
        <v>43425</v>
      </c>
      <c r="D2634" s="5" t="s">
        <v>16</v>
      </c>
      <c r="E2634" s="5" t="s">
        <v>7571</v>
      </c>
      <c r="F2634" s="6">
        <v>5167.5</v>
      </c>
    </row>
    <row r="2635" spans="1:6" x14ac:dyDescent="0.15">
      <c r="A2635" s="5" t="s">
        <v>158</v>
      </c>
      <c r="B2635" s="5" t="s">
        <v>8561</v>
      </c>
      <c r="C2635" s="9">
        <v>43430</v>
      </c>
      <c r="D2635" s="5" t="s">
        <v>16</v>
      </c>
      <c r="E2635" s="5" t="s">
        <v>8562</v>
      </c>
      <c r="F2635" s="6">
        <v>15210</v>
      </c>
    </row>
    <row r="2636" spans="1:6" x14ac:dyDescent="0.15">
      <c r="A2636" s="5" t="s">
        <v>158</v>
      </c>
      <c r="B2636" s="5" t="s">
        <v>8563</v>
      </c>
      <c r="C2636" s="9">
        <v>43430</v>
      </c>
      <c r="D2636" s="5" t="s">
        <v>16</v>
      </c>
      <c r="E2636" s="5" t="s">
        <v>6189</v>
      </c>
      <c r="F2636" s="6">
        <v>7020</v>
      </c>
    </row>
    <row r="2637" spans="1:6" x14ac:dyDescent="0.15">
      <c r="A2637" s="5" t="s">
        <v>58</v>
      </c>
      <c r="B2637" s="5" t="s">
        <v>6188</v>
      </c>
      <c r="C2637" s="9">
        <v>43430</v>
      </c>
      <c r="D2637" s="5" t="s">
        <v>16</v>
      </c>
      <c r="E2637" s="5" t="s">
        <v>6189</v>
      </c>
      <c r="F2637" s="6">
        <v>7875</v>
      </c>
    </row>
    <row r="2638" spans="1:6" x14ac:dyDescent="0.15">
      <c r="A2638" s="5" t="s">
        <v>37</v>
      </c>
      <c r="B2638" s="5" t="s">
        <v>7562</v>
      </c>
      <c r="C2638" s="9">
        <v>43424</v>
      </c>
      <c r="D2638" s="5" t="s">
        <v>16</v>
      </c>
      <c r="E2638" s="5" t="s">
        <v>7563</v>
      </c>
      <c r="F2638" s="6">
        <v>585</v>
      </c>
    </row>
    <row r="2639" spans="1:6" x14ac:dyDescent="0.15">
      <c r="A2639" s="5" t="s">
        <v>35</v>
      </c>
      <c r="B2639" s="5" t="s">
        <v>3696</v>
      </c>
      <c r="C2639" s="9">
        <v>43430</v>
      </c>
      <c r="D2639" s="5" t="s">
        <v>16</v>
      </c>
      <c r="E2639" s="5" t="s">
        <v>3697</v>
      </c>
      <c r="F2639" s="6">
        <v>1072.5</v>
      </c>
    </row>
    <row r="2640" spans="1:6" x14ac:dyDescent="0.15">
      <c r="A2640" s="5" t="s">
        <v>40</v>
      </c>
      <c r="B2640" s="5" t="s">
        <v>2495</v>
      </c>
      <c r="C2640" s="9">
        <v>43424</v>
      </c>
      <c r="D2640" s="5" t="s">
        <v>16</v>
      </c>
      <c r="E2640" s="5" t="s">
        <v>2496</v>
      </c>
      <c r="F2640" s="6">
        <v>1875</v>
      </c>
    </row>
    <row r="2641" spans="1:6" x14ac:dyDescent="0.15">
      <c r="A2641" s="5" t="s">
        <v>35</v>
      </c>
      <c r="B2641" s="5" t="s">
        <v>3688</v>
      </c>
      <c r="C2641" s="9">
        <v>43424</v>
      </c>
      <c r="D2641" s="5" t="s">
        <v>16</v>
      </c>
      <c r="E2641" s="5" t="s">
        <v>2496</v>
      </c>
      <c r="F2641" s="6">
        <v>6337.5</v>
      </c>
    </row>
    <row r="2642" spans="1:6" x14ac:dyDescent="0.15">
      <c r="A2642" s="5" t="s">
        <v>40</v>
      </c>
      <c r="B2642" s="5" t="s">
        <v>2499</v>
      </c>
      <c r="C2642" s="9">
        <v>43430</v>
      </c>
      <c r="D2642" s="5" t="s">
        <v>16</v>
      </c>
      <c r="E2642" s="5" t="s">
        <v>2500</v>
      </c>
      <c r="F2642" s="6">
        <v>2250</v>
      </c>
    </row>
    <row r="2643" spans="1:6" x14ac:dyDescent="0.15">
      <c r="A2643" s="5" t="s">
        <v>35</v>
      </c>
      <c r="B2643" s="5" t="s">
        <v>3698</v>
      </c>
      <c r="C2643" s="9">
        <v>43430</v>
      </c>
      <c r="D2643" s="5" t="s">
        <v>16</v>
      </c>
      <c r="E2643" s="5" t="s">
        <v>2500</v>
      </c>
      <c r="F2643" s="6">
        <v>2925</v>
      </c>
    </row>
    <row r="2644" spans="1:6" x14ac:dyDescent="0.15">
      <c r="A2644" s="5" t="s">
        <v>37</v>
      </c>
      <c r="B2644" s="5" t="s">
        <v>7574</v>
      </c>
      <c r="C2644" s="9">
        <v>43430</v>
      </c>
      <c r="D2644" s="5" t="s">
        <v>16</v>
      </c>
      <c r="E2644" s="5" t="s">
        <v>5931</v>
      </c>
      <c r="F2644" s="6">
        <v>4680</v>
      </c>
    </row>
    <row r="2645" spans="1:6" x14ac:dyDescent="0.15">
      <c r="A2645" s="5" t="s">
        <v>42</v>
      </c>
      <c r="B2645" s="5" t="s">
        <v>5930</v>
      </c>
      <c r="C2645" s="9">
        <v>43430</v>
      </c>
      <c r="D2645" s="5" t="s">
        <v>16</v>
      </c>
      <c r="E2645" s="5" t="s">
        <v>5931</v>
      </c>
      <c r="F2645" s="6">
        <v>1200</v>
      </c>
    </row>
    <row r="2646" spans="1:6" x14ac:dyDescent="0.15">
      <c r="A2646" s="5" t="s">
        <v>37</v>
      </c>
      <c r="B2646" s="5" t="s">
        <v>7575</v>
      </c>
      <c r="C2646" s="9">
        <v>43430</v>
      </c>
      <c r="D2646" s="5" t="s">
        <v>16</v>
      </c>
      <c r="E2646" s="5" t="s">
        <v>7576</v>
      </c>
      <c r="F2646" s="6">
        <v>4095</v>
      </c>
    </row>
    <row r="2647" spans="1:6" x14ac:dyDescent="0.15">
      <c r="A2647" s="5" t="s">
        <v>43</v>
      </c>
      <c r="B2647" s="5" t="s">
        <v>5188</v>
      </c>
      <c r="C2647" s="9">
        <v>43430</v>
      </c>
      <c r="D2647" s="5" t="s">
        <v>16</v>
      </c>
      <c r="E2647" s="5" t="s">
        <v>5189</v>
      </c>
      <c r="F2647" s="6">
        <v>436.5</v>
      </c>
    </row>
    <row r="2648" spans="1:6" x14ac:dyDescent="0.15">
      <c r="A2648" s="5" t="s">
        <v>37</v>
      </c>
      <c r="B2648" s="5" t="s">
        <v>7577</v>
      </c>
      <c r="C2648" s="9">
        <v>43430</v>
      </c>
      <c r="D2648" s="5" t="s">
        <v>16</v>
      </c>
      <c r="E2648" s="5" t="s">
        <v>7578</v>
      </c>
      <c r="F2648" s="6">
        <v>1950</v>
      </c>
    </row>
    <row r="2649" spans="1:6" x14ac:dyDescent="0.15">
      <c r="A2649" s="5" t="s">
        <v>35</v>
      </c>
      <c r="B2649" s="5" t="s">
        <v>3694</v>
      </c>
      <c r="C2649" s="9">
        <v>43426</v>
      </c>
      <c r="D2649" s="5" t="s">
        <v>16</v>
      </c>
      <c r="E2649" s="5" t="s">
        <v>3695</v>
      </c>
      <c r="F2649" s="6">
        <v>975</v>
      </c>
    </row>
    <row r="2650" spans="1:6" x14ac:dyDescent="0.15">
      <c r="A2650" s="5" t="s">
        <v>40</v>
      </c>
      <c r="B2650" s="5" t="s">
        <v>2501</v>
      </c>
      <c r="C2650" s="9">
        <v>43432</v>
      </c>
      <c r="D2650" s="5" t="s">
        <v>16</v>
      </c>
      <c r="E2650" s="5" t="s">
        <v>2502</v>
      </c>
      <c r="F2650" s="6">
        <v>8100</v>
      </c>
    </row>
    <row r="2651" spans="1:6" x14ac:dyDescent="0.15">
      <c r="A2651" s="5" t="s">
        <v>35</v>
      </c>
      <c r="B2651" s="5" t="s">
        <v>3699</v>
      </c>
      <c r="C2651" s="9">
        <v>43432</v>
      </c>
      <c r="D2651" s="5" t="s">
        <v>16</v>
      </c>
      <c r="E2651" s="5" t="s">
        <v>2502</v>
      </c>
      <c r="F2651" s="6">
        <v>9750</v>
      </c>
    </row>
    <row r="2652" spans="1:6" x14ac:dyDescent="0.15">
      <c r="A2652" s="5" t="s">
        <v>37</v>
      </c>
      <c r="B2652" s="5" t="s">
        <v>7579</v>
      </c>
      <c r="C2652" s="9">
        <v>43432</v>
      </c>
      <c r="D2652" s="5" t="s">
        <v>16</v>
      </c>
      <c r="E2652" s="5" t="s">
        <v>7580</v>
      </c>
      <c r="F2652" s="6">
        <v>195</v>
      </c>
    </row>
    <row r="2653" spans="1:6" x14ac:dyDescent="0.15">
      <c r="A2653" s="5" t="s">
        <v>35</v>
      </c>
      <c r="B2653" s="5" t="s">
        <v>3700</v>
      </c>
      <c r="C2653" s="9">
        <v>43432</v>
      </c>
      <c r="D2653" s="5" t="s">
        <v>16</v>
      </c>
      <c r="E2653" s="5" t="s">
        <v>3701</v>
      </c>
      <c r="F2653" s="6">
        <v>3412.5</v>
      </c>
    </row>
    <row r="2654" spans="1:6" x14ac:dyDescent="0.15">
      <c r="A2654" s="5" t="s">
        <v>37</v>
      </c>
      <c r="B2654" s="5" t="s">
        <v>7581</v>
      </c>
      <c r="C2654" s="9">
        <v>43432</v>
      </c>
      <c r="D2654" s="5" t="s">
        <v>16</v>
      </c>
      <c r="E2654" s="5" t="s">
        <v>7582</v>
      </c>
      <c r="F2654" s="6">
        <v>3900</v>
      </c>
    </row>
    <row r="2655" spans="1:6" x14ac:dyDescent="0.15">
      <c r="A2655" s="5" t="s">
        <v>35</v>
      </c>
      <c r="B2655" s="5" t="s">
        <v>3702</v>
      </c>
      <c r="C2655" s="9">
        <v>43433</v>
      </c>
      <c r="D2655" s="5" t="s">
        <v>16</v>
      </c>
      <c r="E2655" s="5" t="s">
        <v>3703</v>
      </c>
      <c r="F2655" s="6">
        <v>1950</v>
      </c>
    </row>
    <row r="2656" spans="1:6" x14ac:dyDescent="0.15">
      <c r="A2656" s="5" t="s">
        <v>43</v>
      </c>
      <c r="B2656" s="5" t="s">
        <v>5190</v>
      </c>
      <c r="C2656" s="9">
        <v>43437</v>
      </c>
      <c r="D2656" s="5" t="s">
        <v>16</v>
      </c>
      <c r="E2656" s="5" t="s">
        <v>5191</v>
      </c>
      <c r="F2656" s="6">
        <v>339.5</v>
      </c>
    </row>
    <row r="2657" spans="1:6" x14ac:dyDescent="0.15">
      <c r="A2657" s="5" t="s">
        <v>37</v>
      </c>
      <c r="B2657" s="5" t="s">
        <v>7583</v>
      </c>
      <c r="C2657" s="9">
        <v>43437</v>
      </c>
      <c r="D2657" s="5" t="s">
        <v>16</v>
      </c>
      <c r="E2657" s="5" t="s">
        <v>5191</v>
      </c>
      <c r="F2657" s="6">
        <v>682.5</v>
      </c>
    </row>
    <row r="2658" spans="1:6" x14ac:dyDescent="0.15">
      <c r="A2658" s="5" t="s">
        <v>37</v>
      </c>
      <c r="B2658" s="5" t="s">
        <v>7584</v>
      </c>
      <c r="C2658" s="9">
        <v>43437</v>
      </c>
      <c r="D2658" s="5" t="s">
        <v>16</v>
      </c>
      <c r="E2658" s="5" t="s">
        <v>5933</v>
      </c>
      <c r="F2658" s="6">
        <v>2925</v>
      </c>
    </row>
    <row r="2659" spans="1:6" x14ac:dyDescent="0.15">
      <c r="A2659" s="5" t="s">
        <v>42</v>
      </c>
      <c r="B2659" s="5" t="s">
        <v>5932</v>
      </c>
      <c r="C2659" s="9">
        <v>43437</v>
      </c>
      <c r="D2659" s="5" t="s">
        <v>16</v>
      </c>
      <c r="E2659" s="5" t="s">
        <v>5933</v>
      </c>
      <c r="F2659" s="6">
        <v>900</v>
      </c>
    </row>
    <row r="2660" spans="1:6" x14ac:dyDescent="0.15">
      <c r="A2660" s="5" t="s">
        <v>37</v>
      </c>
      <c r="B2660" s="5" t="s">
        <v>7585</v>
      </c>
      <c r="C2660" s="9">
        <v>43437</v>
      </c>
      <c r="D2660" s="5" t="s">
        <v>16</v>
      </c>
      <c r="E2660" s="5" t="s">
        <v>7586</v>
      </c>
      <c r="F2660" s="6">
        <v>1950</v>
      </c>
    </row>
    <row r="2661" spans="1:6" x14ac:dyDescent="0.15">
      <c r="A2661" s="5" t="s">
        <v>37</v>
      </c>
      <c r="B2661" s="5" t="s">
        <v>7589</v>
      </c>
      <c r="C2661" s="9">
        <v>43438</v>
      </c>
      <c r="D2661" s="5" t="s">
        <v>16</v>
      </c>
      <c r="E2661" s="5" t="s">
        <v>7590</v>
      </c>
      <c r="F2661" s="6">
        <v>4777.5</v>
      </c>
    </row>
    <row r="2662" spans="1:6" x14ac:dyDescent="0.15">
      <c r="A2662" s="5" t="s">
        <v>37</v>
      </c>
      <c r="B2662" s="5" t="s">
        <v>7591</v>
      </c>
      <c r="C2662" s="9">
        <v>43439</v>
      </c>
      <c r="D2662" s="5" t="s">
        <v>16</v>
      </c>
      <c r="E2662" s="5" t="s">
        <v>7592</v>
      </c>
      <c r="F2662" s="6">
        <v>1560</v>
      </c>
    </row>
    <row r="2663" spans="1:6" x14ac:dyDescent="0.15">
      <c r="A2663" s="5" t="s">
        <v>37</v>
      </c>
      <c r="B2663" s="5" t="s">
        <v>7593</v>
      </c>
      <c r="C2663" s="9">
        <v>43439</v>
      </c>
      <c r="D2663" s="5" t="s">
        <v>16</v>
      </c>
      <c r="E2663" s="5" t="s">
        <v>7594</v>
      </c>
      <c r="F2663" s="6">
        <v>390</v>
      </c>
    </row>
    <row r="2664" spans="1:6" x14ac:dyDescent="0.15">
      <c r="A2664" s="5" t="s">
        <v>4507</v>
      </c>
      <c r="B2664" s="5" t="s">
        <v>4508</v>
      </c>
      <c r="C2664" s="9">
        <v>43439</v>
      </c>
      <c r="D2664" s="5" t="s">
        <v>16</v>
      </c>
      <c r="E2664" s="5" t="s">
        <v>4509</v>
      </c>
      <c r="F2664" s="6">
        <v>150</v>
      </c>
    </row>
    <row r="2665" spans="1:6" x14ac:dyDescent="0.15">
      <c r="A2665" s="5" t="s">
        <v>42</v>
      </c>
      <c r="B2665" s="5" t="s">
        <v>5934</v>
      </c>
      <c r="C2665" s="9">
        <v>43439</v>
      </c>
      <c r="D2665" s="5" t="s">
        <v>16</v>
      </c>
      <c r="E2665" s="5" t="s">
        <v>5935</v>
      </c>
      <c r="F2665" s="6">
        <v>150</v>
      </c>
    </row>
    <row r="2666" spans="1:6" x14ac:dyDescent="0.15">
      <c r="A2666" s="5" t="s">
        <v>37</v>
      </c>
      <c r="B2666" s="5" t="s">
        <v>7587</v>
      </c>
      <c r="C2666" s="9">
        <v>43437</v>
      </c>
      <c r="D2666" s="5" t="s">
        <v>16</v>
      </c>
      <c r="E2666" s="5" t="s">
        <v>7588</v>
      </c>
      <c r="F2666" s="6">
        <v>1072.5</v>
      </c>
    </row>
    <row r="2667" spans="1:6" x14ac:dyDescent="0.15">
      <c r="A2667" s="5" t="s">
        <v>43</v>
      </c>
      <c r="B2667" s="5" t="s">
        <v>5192</v>
      </c>
      <c r="C2667" s="9">
        <v>43441</v>
      </c>
      <c r="D2667" s="5" t="s">
        <v>16</v>
      </c>
      <c r="E2667" s="5" t="s">
        <v>5193</v>
      </c>
      <c r="F2667" s="6">
        <v>970</v>
      </c>
    </row>
    <row r="2668" spans="1:6" x14ac:dyDescent="0.15">
      <c r="A2668" s="5" t="s">
        <v>37</v>
      </c>
      <c r="B2668" s="5" t="s">
        <v>7595</v>
      </c>
      <c r="C2668" s="9">
        <v>43441</v>
      </c>
      <c r="D2668" s="5" t="s">
        <v>16</v>
      </c>
      <c r="E2668" s="5" t="s">
        <v>7596</v>
      </c>
      <c r="F2668" s="6">
        <v>2145</v>
      </c>
    </row>
    <row r="2669" spans="1:6" x14ac:dyDescent="0.15">
      <c r="A2669" s="5" t="s">
        <v>37</v>
      </c>
      <c r="B2669" s="5" t="s">
        <v>7595</v>
      </c>
      <c r="C2669" s="9">
        <v>43441</v>
      </c>
      <c r="D2669" s="5" t="s">
        <v>16</v>
      </c>
      <c r="E2669" s="5" t="s">
        <v>7596</v>
      </c>
      <c r="F2669" s="6">
        <v>195</v>
      </c>
    </row>
    <row r="2670" spans="1:6" x14ac:dyDescent="0.15">
      <c r="A2670" s="5" t="s">
        <v>43</v>
      </c>
      <c r="B2670" s="5" t="s">
        <v>5194</v>
      </c>
      <c r="C2670" s="9">
        <v>43441</v>
      </c>
      <c r="D2670" s="5" t="s">
        <v>16</v>
      </c>
      <c r="E2670" s="5" t="s">
        <v>5195</v>
      </c>
      <c r="F2670" s="6">
        <v>970</v>
      </c>
    </row>
    <row r="2671" spans="1:6" x14ac:dyDescent="0.15">
      <c r="A2671" s="5" t="s">
        <v>35</v>
      </c>
      <c r="B2671" s="5" t="s">
        <v>3704</v>
      </c>
      <c r="C2671" s="9">
        <v>43441</v>
      </c>
      <c r="D2671" s="5" t="s">
        <v>16</v>
      </c>
      <c r="E2671" s="5" t="s">
        <v>3705</v>
      </c>
      <c r="F2671" s="6">
        <v>3022.5</v>
      </c>
    </row>
    <row r="2672" spans="1:6" x14ac:dyDescent="0.15">
      <c r="A2672" s="5" t="s">
        <v>37</v>
      </c>
      <c r="B2672" s="5" t="s">
        <v>7597</v>
      </c>
      <c r="C2672" s="9">
        <v>43444</v>
      </c>
      <c r="D2672" s="5" t="s">
        <v>16</v>
      </c>
      <c r="E2672" s="5" t="s">
        <v>7598</v>
      </c>
      <c r="F2672" s="6">
        <v>39000</v>
      </c>
    </row>
    <row r="2673" spans="1:6" x14ac:dyDescent="0.15">
      <c r="A2673" s="5" t="s">
        <v>35</v>
      </c>
      <c r="B2673" s="5" t="s">
        <v>3706</v>
      </c>
      <c r="C2673" s="9">
        <v>43444</v>
      </c>
      <c r="D2673" s="5" t="s">
        <v>16</v>
      </c>
      <c r="E2673" s="5" t="s">
        <v>3707</v>
      </c>
      <c r="F2673" s="6">
        <v>5070</v>
      </c>
    </row>
    <row r="2674" spans="1:6" x14ac:dyDescent="0.15">
      <c r="A2674" s="5" t="s">
        <v>35</v>
      </c>
      <c r="B2674" s="5" t="s">
        <v>3708</v>
      </c>
      <c r="C2674" s="9">
        <v>43444</v>
      </c>
      <c r="D2674" s="5" t="s">
        <v>16</v>
      </c>
      <c r="E2674" s="5" t="s">
        <v>3709</v>
      </c>
      <c r="F2674" s="6">
        <v>5070</v>
      </c>
    </row>
    <row r="2675" spans="1:6" x14ac:dyDescent="0.15">
      <c r="A2675" s="5" t="s">
        <v>37</v>
      </c>
      <c r="B2675" s="5" t="s">
        <v>7599</v>
      </c>
      <c r="C2675" s="9">
        <v>43446</v>
      </c>
      <c r="D2675" s="5" t="s">
        <v>16</v>
      </c>
      <c r="E2675" s="5" t="s">
        <v>7600</v>
      </c>
      <c r="F2675" s="6">
        <v>7800</v>
      </c>
    </row>
    <row r="2676" spans="1:6" x14ac:dyDescent="0.15">
      <c r="A2676" s="5" t="s">
        <v>37</v>
      </c>
      <c r="B2676" s="5" t="s">
        <v>7601</v>
      </c>
      <c r="C2676" s="9">
        <v>43446</v>
      </c>
      <c r="D2676" s="5" t="s">
        <v>16</v>
      </c>
      <c r="E2676" s="5" t="s">
        <v>3711</v>
      </c>
      <c r="F2676" s="6">
        <v>1365</v>
      </c>
    </row>
    <row r="2677" spans="1:6" x14ac:dyDescent="0.15">
      <c r="A2677" s="5" t="s">
        <v>35</v>
      </c>
      <c r="B2677" s="5" t="s">
        <v>3710</v>
      </c>
      <c r="C2677" s="9">
        <v>43446</v>
      </c>
      <c r="D2677" s="5" t="s">
        <v>16</v>
      </c>
      <c r="E2677" s="5" t="s">
        <v>3711</v>
      </c>
      <c r="F2677" s="6">
        <v>1365</v>
      </c>
    </row>
    <row r="2678" spans="1:6" x14ac:dyDescent="0.15">
      <c r="A2678" s="5" t="s">
        <v>35</v>
      </c>
      <c r="B2678" s="5" t="s">
        <v>3712</v>
      </c>
      <c r="C2678" s="9">
        <v>43447</v>
      </c>
      <c r="D2678" s="5" t="s">
        <v>16</v>
      </c>
      <c r="E2678" s="5" t="s">
        <v>3713</v>
      </c>
      <c r="F2678" s="6">
        <v>-780</v>
      </c>
    </row>
    <row r="2679" spans="1:6" x14ac:dyDescent="0.15">
      <c r="A2679" s="5" t="s">
        <v>35</v>
      </c>
      <c r="B2679" s="5" t="s">
        <v>3714</v>
      </c>
      <c r="C2679" s="9">
        <v>43447</v>
      </c>
      <c r="D2679" s="5" t="s">
        <v>16</v>
      </c>
      <c r="E2679" s="5" t="s">
        <v>3713</v>
      </c>
      <c r="F2679" s="6">
        <v>292.5</v>
      </c>
    </row>
    <row r="2680" spans="1:6" x14ac:dyDescent="0.15">
      <c r="A2680" s="5" t="s">
        <v>37</v>
      </c>
      <c r="B2680" s="5" t="s">
        <v>7602</v>
      </c>
      <c r="C2680" s="9">
        <v>43447</v>
      </c>
      <c r="D2680" s="5" t="s">
        <v>16</v>
      </c>
      <c r="E2680" s="5" t="s">
        <v>7603</v>
      </c>
      <c r="F2680" s="6">
        <v>2340</v>
      </c>
    </row>
    <row r="2681" spans="1:6" x14ac:dyDescent="0.15">
      <c r="A2681" s="5" t="s">
        <v>35</v>
      </c>
      <c r="B2681" s="5" t="s">
        <v>3715</v>
      </c>
      <c r="C2681" s="9">
        <v>43451</v>
      </c>
      <c r="D2681" s="5" t="s">
        <v>16</v>
      </c>
      <c r="E2681" s="5" t="s">
        <v>3716</v>
      </c>
      <c r="F2681" s="6">
        <v>780</v>
      </c>
    </row>
    <row r="2682" spans="1:6" x14ac:dyDescent="0.15">
      <c r="A2682" s="5" t="s">
        <v>37</v>
      </c>
      <c r="B2682" s="5" t="s">
        <v>7604</v>
      </c>
      <c r="C2682" s="9">
        <v>43452</v>
      </c>
      <c r="D2682" s="5" t="s">
        <v>16</v>
      </c>
      <c r="E2682" s="5" t="s">
        <v>3718</v>
      </c>
      <c r="F2682" s="6">
        <v>3022.5</v>
      </c>
    </row>
    <row r="2683" spans="1:6" x14ac:dyDescent="0.15">
      <c r="A2683" s="5" t="s">
        <v>35</v>
      </c>
      <c r="B2683" s="5" t="s">
        <v>3717</v>
      </c>
      <c r="C2683" s="9">
        <v>43452</v>
      </c>
      <c r="D2683" s="5" t="s">
        <v>16</v>
      </c>
      <c r="E2683" s="5" t="s">
        <v>3718</v>
      </c>
      <c r="F2683" s="6">
        <v>2047.5</v>
      </c>
    </row>
    <row r="2684" spans="1:6" x14ac:dyDescent="0.15">
      <c r="A2684" s="5" t="s">
        <v>37</v>
      </c>
      <c r="B2684" s="5" t="s">
        <v>7605</v>
      </c>
      <c r="C2684" s="9">
        <v>43452</v>
      </c>
      <c r="D2684" s="5" t="s">
        <v>16</v>
      </c>
      <c r="E2684" s="5" t="s">
        <v>3720</v>
      </c>
      <c r="F2684" s="6">
        <v>-3022.5</v>
      </c>
    </row>
    <row r="2685" spans="1:6" x14ac:dyDescent="0.15">
      <c r="A2685" s="5" t="s">
        <v>35</v>
      </c>
      <c r="B2685" s="5" t="s">
        <v>3719</v>
      </c>
      <c r="C2685" s="9">
        <v>43452</v>
      </c>
      <c r="D2685" s="5" t="s">
        <v>16</v>
      </c>
      <c r="E2685" s="5" t="s">
        <v>3720</v>
      </c>
      <c r="F2685" s="6">
        <v>-2047.5</v>
      </c>
    </row>
    <row r="2686" spans="1:6" x14ac:dyDescent="0.15">
      <c r="A2686" s="5" t="s">
        <v>37</v>
      </c>
      <c r="B2686" s="5" t="s">
        <v>7606</v>
      </c>
      <c r="C2686" s="9">
        <v>43452</v>
      </c>
      <c r="D2686" s="5" t="s">
        <v>16</v>
      </c>
      <c r="E2686" s="5" t="s">
        <v>3722</v>
      </c>
      <c r="F2686" s="6">
        <v>2047.5</v>
      </c>
    </row>
    <row r="2687" spans="1:6" x14ac:dyDescent="0.15">
      <c r="A2687" s="5" t="s">
        <v>35</v>
      </c>
      <c r="B2687" s="5" t="s">
        <v>3721</v>
      </c>
      <c r="C2687" s="9">
        <v>43452</v>
      </c>
      <c r="D2687" s="5" t="s">
        <v>16</v>
      </c>
      <c r="E2687" s="5" t="s">
        <v>3722</v>
      </c>
      <c r="F2687" s="6">
        <v>3022.5</v>
      </c>
    </row>
    <row r="2688" spans="1:6" x14ac:dyDescent="0.15">
      <c r="A2688" s="5" t="s">
        <v>37</v>
      </c>
      <c r="B2688" s="5" t="s">
        <v>7607</v>
      </c>
      <c r="C2688" s="9">
        <v>43454</v>
      </c>
      <c r="D2688" s="5" t="s">
        <v>16</v>
      </c>
      <c r="E2688" s="5" t="s">
        <v>7608</v>
      </c>
      <c r="F2688" s="6">
        <v>-2145</v>
      </c>
    </row>
    <row r="2689" spans="1:6" x14ac:dyDescent="0.15">
      <c r="A2689" s="5" t="s">
        <v>41</v>
      </c>
      <c r="B2689" s="5" t="s">
        <v>1481</v>
      </c>
      <c r="C2689" s="9">
        <v>43489</v>
      </c>
      <c r="D2689" s="5" t="s">
        <v>16</v>
      </c>
      <c r="E2689" s="5" t="s">
        <v>1480</v>
      </c>
      <c r="F2689" s="6">
        <v>4268</v>
      </c>
    </row>
    <row r="2690" spans="1:6" x14ac:dyDescent="0.15">
      <c r="A2690" s="5" t="s">
        <v>43</v>
      </c>
      <c r="B2690" s="5" t="s">
        <v>1482</v>
      </c>
      <c r="C2690" s="9">
        <v>43489</v>
      </c>
      <c r="D2690" s="5" t="s">
        <v>16</v>
      </c>
      <c r="E2690" s="5" t="s">
        <v>1480</v>
      </c>
      <c r="F2690" s="6">
        <v>9603</v>
      </c>
    </row>
    <row r="2691" spans="1:6" x14ac:dyDescent="0.15">
      <c r="A2691" s="5" t="s">
        <v>37</v>
      </c>
      <c r="B2691" s="5" t="s">
        <v>1483</v>
      </c>
      <c r="C2691" s="9">
        <v>43489</v>
      </c>
      <c r="D2691" s="5" t="s">
        <v>16</v>
      </c>
      <c r="E2691" s="5" t="s">
        <v>1480</v>
      </c>
      <c r="F2691" s="6">
        <v>5850</v>
      </c>
    </row>
    <row r="2692" spans="1:6" x14ac:dyDescent="0.15">
      <c r="A2692" s="5" t="s">
        <v>35</v>
      </c>
      <c r="B2692" s="5" t="s">
        <v>1485</v>
      </c>
      <c r="C2692" s="9">
        <v>43479</v>
      </c>
      <c r="D2692" s="5" t="s">
        <v>16</v>
      </c>
      <c r="E2692" s="5" t="s">
        <v>1484</v>
      </c>
      <c r="F2692" s="6">
        <v>7020</v>
      </c>
    </row>
    <row r="2693" spans="1:6" x14ac:dyDescent="0.15">
      <c r="A2693" s="5" t="s">
        <v>35</v>
      </c>
      <c r="B2693" s="5" t="s">
        <v>274</v>
      </c>
      <c r="C2693" s="9">
        <v>43475</v>
      </c>
      <c r="D2693" s="5" t="s">
        <v>16</v>
      </c>
      <c r="E2693" s="5" t="s">
        <v>273</v>
      </c>
      <c r="F2693" s="6">
        <v>1365</v>
      </c>
    </row>
    <row r="2694" spans="1:6" x14ac:dyDescent="0.15">
      <c r="A2694" s="5" t="s">
        <v>42</v>
      </c>
      <c r="B2694" s="5" t="s">
        <v>276</v>
      </c>
      <c r="C2694" s="9">
        <v>43481</v>
      </c>
      <c r="D2694" s="5" t="s">
        <v>16</v>
      </c>
      <c r="E2694" s="5" t="s">
        <v>275</v>
      </c>
      <c r="F2694" s="6">
        <v>75</v>
      </c>
    </row>
    <row r="2695" spans="1:6" x14ac:dyDescent="0.15">
      <c r="A2695" s="5" t="s">
        <v>43</v>
      </c>
      <c r="B2695" s="5" t="s">
        <v>278</v>
      </c>
      <c r="C2695" s="9">
        <v>43489</v>
      </c>
      <c r="D2695" s="5" t="s">
        <v>16</v>
      </c>
      <c r="E2695" s="5" t="s">
        <v>277</v>
      </c>
      <c r="F2695" s="6">
        <v>485</v>
      </c>
    </row>
    <row r="2696" spans="1:6" x14ac:dyDescent="0.15">
      <c r="A2696" s="5" t="s">
        <v>42</v>
      </c>
      <c r="B2696" s="5" t="s">
        <v>279</v>
      </c>
      <c r="C2696" s="9">
        <v>43489</v>
      </c>
      <c r="D2696" s="5" t="s">
        <v>16</v>
      </c>
      <c r="E2696" s="5" t="s">
        <v>277</v>
      </c>
      <c r="F2696" s="6">
        <v>225</v>
      </c>
    </row>
    <row r="2697" spans="1:6" x14ac:dyDescent="0.15">
      <c r="A2697" s="5" t="s">
        <v>43</v>
      </c>
      <c r="B2697" s="5" t="s">
        <v>281</v>
      </c>
      <c r="C2697" s="9">
        <v>43490</v>
      </c>
      <c r="D2697" s="5" t="s">
        <v>16</v>
      </c>
      <c r="E2697" s="5" t="s">
        <v>280</v>
      </c>
      <c r="F2697" s="6">
        <v>-485</v>
      </c>
    </row>
    <row r="2698" spans="1:6" x14ac:dyDescent="0.15">
      <c r="A2698" s="5" t="s">
        <v>42</v>
      </c>
      <c r="B2698" s="5" t="s">
        <v>282</v>
      </c>
      <c r="C2698" s="9">
        <v>43490</v>
      </c>
      <c r="D2698" s="5" t="s">
        <v>16</v>
      </c>
      <c r="E2698" s="5" t="s">
        <v>280</v>
      </c>
      <c r="F2698" s="6">
        <v>-225</v>
      </c>
    </row>
    <row r="2699" spans="1:6" x14ac:dyDescent="0.15">
      <c r="A2699" s="5" t="s">
        <v>43</v>
      </c>
      <c r="B2699" s="5" t="s">
        <v>284</v>
      </c>
      <c r="C2699" s="9">
        <v>43490</v>
      </c>
      <c r="D2699" s="5" t="s">
        <v>16</v>
      </c>
      <c r="E2699" s="5" t="s">
        <v>283</v>
      </c>
      <c r="F2699" s="6">
        <v>485</v>
      </c>
    </row>
    <row r="2700" spans="1:6" x14ac:dyDescent="0.15">
      <c r="A2700" s="5" t="s">
        <v>42</v>
      </c>
      <c r="B2700" s="5" t="s">
        <v>285</v>
      </c>
      <c r="C2700" s="9">
        <v>43490</v>
      </c>
      <c r="D2700" s="5" t="s">
        <v>16</v>
      </c>
      <c r="E2700" s="5" t="s">
        <v>283</v>
      </c>
      <c r="F2700" s="6">
        <v>225</v>
      </c>
    </row>
    <row r="2701" spans="1:6" x14ac:dyDescent="0.15">
      <c r="A2701" s="5" t="s">
        <v>35</v>
      </c>
      <c r="B2701" s="5" t="s">
        <v>1196</v>
      </c>
      <c r="C2701" s="9">
        <v>43493</v>
      </c>
      <c r="D2701" s="5" t="s">
        <v>16</v>
      </c>
      <c r="E2701" s="5" t="s">
        <v>1195</v>
      </c>
      <c r="F2701" s="6">
        <v>13650</v>
      </c>
    </row>
    <row r="2702" spans="1:6" x14ac:dyDescent="0.15">
      <c r="A2702" s="5" t="s">
        <v>53</v>
      </c>
      <c r="B2702" s="5" t="s">
        <v>1197</v>
      </c>
      <c r="C2702" s="9">
        <v>43493</v>
      </c>
      <c r="D2702" s="5" t="s">
        <v>16</v>
      </c>
      <c r="E2702" s="5" t="s">
        <v>1195</v>
      </c>
      <c r="F2702" s="6">
        <v>11700</v>
      </c>
    </row>
    <row r="2703" spans="1:6" x14ac:dyDescent="0.15">
      <c r="A2703" s="5" t="s">
        <v>46</v>
      </c>
      <c r="B2703" s="5" t="s">
        <v>1517</v>
      </c>
      <c r="C2703" s="9">
        <v>43509</v>
      </c>
      <c r="D2703" s="5" t="s">
        <v>16</v>
      </c>
      <c r="E2703" s="5" t="s">
        <v>1516</v>
      </c>
      <c r="F2703" s="6">
        <v>533.5</v>
      </c>
    </row>
    <row r="2704" spans="1:6" x14ac:dyDescent="0.15">
      <c r="A2704" s="5" t="s">
        <v>35</v>
      </c>
      <c r="B2704" s="5" t="s">
        <v>1518</v>
      </c>
      <c r="C2704" s="9">
        <v>43509</v>
      </c>
      <c r="D2704" s="5" t="s">
        <v>16</v>
      </c>
      <c r="E2704" s="5" t="s">
        <v>1516</v>
      </c>
      <c r="F2704" s="6">
        <v>3900</v>
      </c>
    </row>
    <row r="2705" spans="1:6" x14ac:dyDescent="0.15">
      <c r="A2705" s="5" t="s">
        <v>44</v>
      </c>
      <c r="B2705" s="5" t="s">
        <v>1519</v>
      </c>
      <c r="C2705" s="9">
        <v>43509</v>
      </c>
      <c r="D2705" s="5" t="s">
        <v>16</v>
      </c>
      <c r="E2705" s="5" t="s">
        <v>1516</v>
      </c>
      <c r="F2705" s="6">
        <v>1950</v>
      </c>
    </row>
    <row r="2706" spans="1:6" x14ac:dyDescent="0.15">
      <c r="A2706" s="5" t="s">
        <v>43</v>
      </c>
      <c r="B2706" s="5" t="s">
        <v>1520</v>
      </c>
      <c r="C2706" s="9">
        <v>43509</v>
      </c>
      <c r="D2706" s="5" t="s">
        <v>16</v>
      </c>
      <c r="E2706" s="5" t="s">
        <v>1516</v>
      </c>
      <c r="F2706" s="6">
        <v>1067</v>
      </c>
    </row>
    <row r="2707" spans="1:6" x14ac:dyDescent="0.15">
      <c r="A2707" s="5" t="s">
        <v>42</v>
      </c>
      <c r="B2707" s="5" t="s">
        <v>1521</v>
      </c>
      <c r="C2707" s="9">
        <v>43509</v>
      </c>
      <c r="D2707" s="5" t="s">
        <v>16</v>
      </c>
      <c r="E2707" s="5" t="s">
        <v>1516</v>
      </c>
      <c r="F2707" s="6">
        <v>4500</v>
      </c>
    </row>
    <row r="2708" spans="1:6" x14ac:dyDescent="0.15">
      <c r="A2708" s="5" t="s">
        <v>37</v>
      </c>
      <c r="B2708" s="5" t="s">
        <v>1522</v>
      </c>
      <c r="C2708" s="9">
        <v>43509</v>
      </c>
      <c r="D2708" s="5" t="s">
        <v>16</v>
      </c>
      <c r="E2708" s="5" t="s">
        <v>1516</v>
      </c>
      <c r="F2708" s="6">
        <v>9750</v>
      </c>
    </row>
    <row r="2709" spans="1:6" x14ac:dyDescent="0.15">
      <c r="A2709" s="5" t="s">
        <v>64</v>
      </c>
      <c r="B2709" s="5" t="s">
        <v>1199</v>
      </c>
      <c r="C2709" s="9">
        <v>43511</v>
      </c>
      <c r="D2709" s="5" t="s">
        <v>16</v>
      </c>
      <c r="E2709" s="5" t="s">
        <v>1198</v>
      </c>
      <c r="F2709" s="6">
        <v>7500</v>
      </c>
    </row>
    <row r="2710" spans="1:6" x14ac:dyDescent="0.15">
      <c r="A2710" s="5" t="s">
        <v>46</v>
      </c>
      <c r="B2710" s="5" t="s">
        <v>1200</v>
      </c>
      <c r="C2710" s="9">
        <v>43511</v>
      </c>
      <c r="D2710" s="5" t="s">
        <v>16</v>
      </c>
      <c r="E2710" s="5" t="s">
        <v>1198</v>
      </c>
      <c r="F2710" s="6">
        <v>5820</v>
      </c>
    </row>
    <row r="2711" spans="1:6" x14ac:dyDescent="0.15">
      <c r="A2711" s="5" t="s">
        <v>44</v>
      </c>
      <c r="B2711" s="5" t="s">
        <v>1201</v>
      </c>
      <c r="C2711" s="9">
        <v>43511</v>
      </c>
      <c r="D2711" s="5" t="s">
        <v>16</v>
      </c>
      <c r="E2711" s="5" t="s">
        <v>1198</v>
      </c>
      <c r="F2711" s="6">
        <v>5850</v>
      </c>
    </row>
    <row r="2712" spans="1:6" x14ac:dyDescent="0.15">
      <c r="A2712" s="5" t="s">
        <v>51</v>
      </c>
      <c r="B2712" s="5" t="s">
        <v>1202</v>
      </c>
      <c r="C2712" s="9">
        <v>43511</v>
      </c>
      <c r="D2712" s="5" t="s">
        <v>16</v>
      </c>
      <c r="E2712" s="5" t="s">
        <v>1198</v>
      </c>
      <c r="F2712" s="6">
        <v>3900</v>
      </c>
    </row>
    <row r="2713" spans="1:6" x14ac:dyDescent="0.15">
      <c r="A2713" s="5" t="s">
        <v>53</v>
      </c>
      <c r="B2713" s="5" t="s">
        <v>1303</v>
      </c>
      <c r="C2713" s="9">
        <v>43511</v>
      </c>
      <c r="D2713" s="5" t="s">
        <v>16</v>
      </c>
      <c r="E2713" s="5" t="s">
        <v>1302</v>
      </c>
      <c r="F2713" s="6">
        <v>4095</v>
      </c>
    </row>
    <row r="2714" spans="1:6" x14ac:dyDescent="0.15">
      <c r="A2714" s="5" t="s">
        <v>37</v>
      </c>
      <c r="B2714" s="5" t="s">
        <v>1304</v>
      </c>
      <c r="C2714" s="9">
        <v>43511</v>
      </c>
      <c r="D2714" s="5" t="s">
        <v>16</v>
      </c>
      <c r="E2714" s="5" t="s">
        <v>1302</v>
      </c>
      <c r="F2714" s="6">
        <v>23887.5</v>
      </c>
    </row>
    <row r="2715" spans="1:6" x14ac:dyDescent="0.15">
      <c r="A2715" s="5" t="s">
        <v>53</v>
      </c>
      <c r="B2715" s="5" t="s">
        <v>1306</v>
      </c>
      <c r="C2715" s="9">
        <v>43515</v>
      </c>
      <c r="D2715" s="5" t="s">
        <v>16</v>
      </c>
      <c r="E2715" s="5" t="s">
        <v>1305</v>
      </c>
      <c r="F2715" s="6">
        <v>6435</v>
      </c>
    </row>
    <row r="2716" spans="1:6" x14ac:dyDescent="0.15">
      <c r="A2716" s="5" t="s">
        <v>37</v>
      </c>
      <c r="B2716" s="5" t="s">
        <v>1307</v>
      </c>
      <c r="C2716" s="9">
        <v>43515</v>
      </c>
      <c r="D2716" s="5" t="s">
        <v>16</v>
      </c>
      <c r="E2716" s="5" t="s">
        <v>1305</v>
      </c>
      <c r="F2716" s="6">
        <v>21450</v>
      </c>
    </row>
    <row r="2717" spans="1:6" x14ac:dyDescent="0.15">
      <c r="A2717" s="5" t="s">
        <v>43</v>
      </c>
      <c r="B2717" s="5" t="s">
        <v>1337</v>
      </c>
      <c r="C2717" s="9">
        <v>43514</v>
      </c>
      <c r="D2717" s="5" t="s">
        <v>16</v>
      </c>
      <c r="E2717" s="5" t="s">
        <v>1336</v>
      </c>
      <c r="F2717" s="6">
        <v>9700</v>
      </c>
    </row>
    <row r="2718" spans="1:6" x14ac:dyDescent="0.15">
      <c r="A2718" s="5" t="s">
        <v>37</v>
      </c>
      <c r="B2718" s="5" t="s">
        <v>1338</v>
      </c>
      <c r="C2718" s="9">
        <v>43514</v>
      </c>
      <c r="D2718" s="5" t="s">
        <v>16</v>
      </c>
      <c r="E2718" s="5" t="s">
        <v>1336</v>
      </c>
      <c r="F2718" s="6">
        <v>9750</v>
      </c>
    </row>
    <row r="2719" spans="1:6" x14ac:dyDescent="0.15">
      <c r="A2719" s="5" t="s">
        <v>41</v>
      </c>
      <c r="B2719" s="5" t="s">
        <v>1339</v>
      </c>
      <c r="C2719" s="9">
        <v>43514</v>
      </c>
      <c r="D2719" s="5" t="s">
        <v>16</v>
      </c>
      <c r="E2719" s="5" t="s">
        <v>1336</v>
      </c>
      <c r="F2719" s="6">
        <v>1940</v>
      </c>
    </row>
    <row r="2720" spans="1:6" x14ac:dyDescent="0.15">
      <c r="A2720" s="5" t="s">
        <v>35</v>
      </c>
      <c r="B2720" s="5" t="s">
        <v>1340</v>
      </c>
      <c r="C2720" s="9">
        <v>43514</v>
      </c>
      <c r="D2720" s="5" t="s">
        <v>16</v>
      </c>
      <c r="E2720" s="5" t="s">
        <v>1336</v>
      </c>
      <c r="F2720" s="6">
        <v>1950</v>
      </c>
    </row>
    <row r="2721" spans="1:6" x14ac:dyDescent="0.15">
      <c r="A2721" s="5" t="s">
        <v>43</v>
      </c>
      <c r="B2721" s="5" t="s">
        <v>1342</v>
      </c>
      <c r="C2721" s="9">
        <v>43521</v>
      </c>
      <c r="D2721" s="5" t="s">
        <v>16</v>
      </c>
      <c r="E2721" s="5" t="s">
        <v>1341</v>
      </c>
      <c r="F2721" s="6">
        <v>23280</v>
      </c>
    </row>
    <row r="2722" spans="1:6" x14ac:dyDescent="0.15">
      <c r="A2722" s="5" t="s">
        <v>37</v>
      </c>
      <c r="B2722" s="5" t="s">
        <v>287</v>
      </c>
      <c r="C2722" s="9">
        <v>43516</v>
      </c>
      <c r="D2722" s="5" t="s">
        <v>16</v>
      </c>
      <c r="E2722" s="5" t="s">
        <v>286</v>
      </c>
      <c r="F2722" s="6">
        <v>195</v>
      </c>
    </row>
    <row r="2723" spans="1:6" x14ac:dyDescent="0.15">
      <c r="A2723" s="5" t="s">
        <v>35</v>
      </c>
      <c r="B2723" s="5" t="s">
        <v>289</v>
      </c>
      <c r="C2723" s="9">
        <v>43517</v>
      </c>
      <c r="D2723" s="5" t="s">
        <v>16</v>
      </c>
      <c r="E2723" s="5" t="s">
        <v>288</v>
      </c>
      <c r="F2723" s="6">
        <v>390</v>
      </c>
    </row>
    <row r="2724" spans="1:6" x14ac:dyDescent="0.15">
      <c r="A2724" s="5" t="s">
        <v>35</v>
      </c>
      <c r="B2724" s="5" t="s">
        <v>291</v>
      </c>
      <c r="C2724" s="9">
        <v>43518</v>
      </c>
      <c r="D2724" s="5" t="s">
        <v>16</v>
      </c>
      <c r="E2724" s="5" t="s">
        <v>290</v>
      </c>
      <c r="F2724" s="6">
        <v>292.5</v>
      </c>
    </row>
    <row r="2725" spans="1:6" x14ac:dyDescent="0.15">
      <c r="A2725" s="5" t="s">
        <v>35</v>
      </c>
      <c r="B2725" s="5" t="s">
        <v>293</v>
      </c>
      <c r="C2725" s="9">
        <v>43521</v>
      </c>
      <c r="D2725" s="5" t="s">
        <v>16</v>
      </c>
      <c r="E2725" s="5" t="s">
        <v>292</v>
      </c>
      <c r="F2725" s="6">
        <v>1170</v>
      </c>
    </row>
    <row r="2726" spans="1:6" x14ac:dyDescent="0.15">
      <c r="A2726" s="5" t="s">
        <v>41</v>
      </c>
      <c r="B2726" s="5" t="s">
        <v>1204</v>
      </c>
      <c r="C2726" s="9">
        <v>43528</v>
      </c>
      <c r="D2726" s="5" t="s">
        <v>16</v>
      </c>
      <c r="E2726" s="5" t="s">
        <v>1203</v>
      </c>
      <c r="F2726" s="6">
        <v>7760</v>
      </c>
    </row>
    <row r="2727" spans="1:6" x14ac:dyDescent="0.15">
      <c r="A2727" s="5" t="s">
        <v>40</v>
      </c>
      <c r="B2727" s="5" t="s">
        <v>1205</v>
      </c>
      <c r="C2727" s="9">
        <v>43528</v>
      </c>
      <c r="D2727" s="5" t="s">
        <v>16</v>
      </c>
      <c r="E2727" s="5" t="s">
        <v>1203</v>
      </c>
      <c r="F2727" s="6">
        <v>4500</v>
      </c>
    </row>
    <row r="2728" spans="1:6" x14ac:dyDescent="0.15">
      <c r="A2728" s="5" t="s">
        <v>43</v>
      </c>
      <c r="B2728" s="5" t="s">
        <v>1206</v>
      </c>
      <c r="C2728" s="9">
        <v>43528</v>
      </c>
      <c r="D2728" s="5" t="s">
        <v>16</v>
      </c>
      <c r="E2728" s="5" t="s">
        <v>1203</v>
      </c>
      <c r="F2728" s="6">
        <v>3880</v>
      </c>
    </row>
    <row r="2729" spans="1:6" x14ac:dyDescent="0.15">
      <c r="A2729" s="5" t="s">
        <v>57</v>
      </c>
      <c r="B2729" s="5" t="s">
        <v>1207</v>
      </c>
      <c r="C2729" s="9">
        <v>43528</v>
      </c>
      <c r="D2729" s="5" t="s">
        <v>16</v>
      </c>
      <c r="E2729" s="5" t="s">
        <v>1203</v>
      </c>
      <c r="F2729" s="6">
        <v>3880</v>
      </c>
    </row>
    <row r="2730" spans="1:6" x14ac:dyDescent="0.15">
      <c r="A2730" s="5" t="s">
        <v>37</v>
      </c>
      <c r="B2730" s="5" t="s">
        <v>1209</v>
      </c>
      <c r="C2730" s="9">
        <v>43528</v>
      </c>
      <c r="D2730" s="5" t="s">
        <v>16</v>
      </c>
      <c r="E2730" s="5" t="s">
        <v>1208</v>
      </c>
      <c r="F2730" s="6">
        <v>11700</v>
      </c>
    </row>
    <row r="2731" spans="1:6" x14ac:dyDescent="0.15">
      <c r="A2731" s="5" t="s">
        <v>158</v>
      </c>
      <c r="B2731" s="5" t="s">
        <v>1210</v>
      </c>
      <c r="C2731" s="9">
        <v>43528</v>
      </c>
      <c r="D2731" s="5" t="s">
        <v>16</v>
      </c>
      <c r="E2731" s="5" t="s">
        <v>1208</v>
      </c>
      <c r="F2731" s="6">
        <v>8190</v>
      </c>
    </row>
    <row r="2732" spans="1:6" x14ac:dyDescent="0.15">
      <c r="A2732" s="5" t="s">
        <v>65</v>
      </c>
      <c r="B2732" s="5" t="s">
        <v>1212</v>
      </c>
      <c r="C2732" s="9">
        <v>43528</v>
      </c>
      <c r="D2732" s="5" t="s">
        <v>16</v>
      </c>
      <c r="E2732" s="5" t="s">
        <v>1211</v>
      </c>
      <c r="F2732" s="6">
        <v>3000</v>
      </c>
    </row>
    <row r="2733" spans="1:6" x14ac:dyDescent="0.15">
      <c r="A2733" s="5" t="s">
        <v>41</v>
      </c>
      <c r="B2733" s="5" t="s">
        <v>295</v>
      </c>
      <c r="C2733" s="9">
        <v>43529</v>
      </c>
      <c r="D2733" s="5" t="s">
        <v>16</v>
      </c>
      <c r="E2733" s="5" t="s">
        <v>294</v>
      </c>
      <c r="F2733" s="6">
        <v>48.5</v>
      </c>
    </row>
    <row r="2734" spans="1:6" x14ac:dyDescent="0.15">
      <c r="A2734" s="5" t="s">
        <v>40</v>
      </c>
      <c r="B2734" s="5" t="s">
        <v>296</v>
      </c>
      <c r="C2734" s="9">
        <v>43529</v>
      </c>
      <c r="D2734" s="5" t="s">
        <v>16</v>
      </c>
      <c r="E2734" s="5" t="s">
        <v>294</v>
      </c>
      <c r="F2734" s="6">
        <v>825</v>
      </c>
    </row>
    <row r="2735" spans="1:6" x14ac:dyDescent="0.15">
      <c r="A2735" s="5" t="s">
        <v>35</v>
      </c>
      <c r="B2735" s="5" t="s">
        <v>297</v>
      </c>
      <c r="C2735" s="9">
        <v>43529</v>
      </c>
      <c r="D2735" s="5" t="s">
        <v>16</v>
      </c>
      <c r="E2735" s="5" t="s">
        <v>294</v>
      </c>
      <c r="F2735" s="6">
        <v>3900</v>
      </c>
    </row>
    <row r="2736" spans="1:6" x14ac:dyDescent="0.15">
      <c r="A2736" s="5" t="s">
        <v>158</v>
      </c>
      <c r="B2736" s="5" t="s">
        <v>1214</v>
      </c>
      <c r="C2736" s="9">
        <v>43536</v>
      </c>
      <c r="D2736" s="5" t="s">
        <v>16</v>
      </c>
      <c r="E2736" s="5" t="s">
        <v>1213</v>
      </c>
      <c r="F2736" s="6">
        <v>15210</v>
      </c>
    </row>
    <row r="2737" spans="1:6" x14ac:dyDescent="0.15">
      <c r="A2737" s="5" t="s">
        <v>158</v>
      </c>
      <c r="B2737" s="5" t="s">
        <v>1216</v>
      </c>
      <c r="C2737" s="9">
        <v>43536</v>
      </c>
      <c r="D2737" s="5" t="s">
        <v>16</v>
      </c>
      <c r="E2737" s="5" t="s">
        <v>1215</v>
      </c>
      <c r="F2737" s="6">
        <v>2340</v>
      </c>
    </row>
    <row r="2738" spans="1:6" x14ac:dyDescent="0.15">
      <c r="A2738" s="5" t="s">
        <v>40</v>
      </c>
      <c r="B2738" s="5" t="s">
        <v>299</v>
      </c>
      <c r="C2738" s="9">
        <v>43530</v>
      </c>
      <c r="D2738" s="5" t="s">
        <v>16</v>
      </c>
      <c r="E2738" s="5" t="s">
        <v>298</v>
      </c>
      <c r="F2738" s="6">
        <v>6825</v>
      </c>
    </row>
    <row r="2739" spans="1:6" x14ac:dyDescent="0.15">
      <c r="A2739" s="5" t="s">
        <v>37</v>
      </c>
      <c r="B2739" s="5" t="s">
        <v>301</v>
      </c>
      <c r="C2739" s="9">
        <v>43530</v>
      </c>
      <c r="D2739" s="5" t="s">
        <v>16</v>
      </c>
      <c r="E2739" s="5" t="s">
        <v>300</v>
      </c>
      <c r="F2739" s="6">
        <v>487.5</v>
      </c>
    </row>
    <row r="2740" spans="1:6" x14ac:dyDescent="0.15">
      <c r="A2740" s="5" t="s">
        <v>58</v>
      </c>
      <c r="B2740" s="5" t="s">
        <v>1218</v>
      </c>
      <c r="C2740" s="9">
        <v>43556</v>
      </c>
      <c r="D2740" s="5" t="s">
        <v>16</v>
      </c>
      <c r="E2740" s="5" t="s">
        <v>1217</v>
      </c>
      <c r="F2740" s="6">
        <v>8250</v>
      </c>
    </row>
    <row r="2741" spans="1:6" x14ac:dyDescent="0.15">
      <c r="A2741" s="5" t="s">
        <v>148</v>
      </c>
      <c r="B2741" s="5" t="s">
        <v>1220</v>
      </c>
      <c r="C2741" s="9">
        <v>43536</v>
      </c>
      <c r="D2741" s="5" t="s">
        <v>16</v>
      </c>
      <c r="E2741" s="5" t="s">
        <v>1219</v>
      </c>
      <c r="F2741" s="6">
        <v>12610</v>
      </c>
    </row>
    <row r="2742" spans="1:6" x14ac:dyDescent="0.15">
      <c r="A2742" s="5" t="s">
        <v>37</v>
      </c>
      <c r="B2742" s="5" t="s">
        <v>1344</v>
      </c>
      <c r="C2742" s="9">
        <v>43535</v>
      </c>
      <c r="D2742" s="5" t="s">
        <v>16</v>
      </c>
      <c r="E2742" s="5" t="s">
        <v>1343</v>
      </c>
      <c r="F2742" s="6">
        <v>13650</v>
      </c>
    </row>
    <row r="2743" spans="1:6" x14ac:dyDescent="0.15">
      <c r="A2743" s="5" t="s">
        <v>57</v>
      </c>
      <c r="B2743" s="5" t="s">
        <v>303</v>
      </c>
      <c r="C2743" s="9">
        <v>43535</v>
      </c>
      <c r="D2743" s="5" t="s">
        <v>16</v>
      </c>
      <c r="E2743" s="5" t="s">
        <v>302</v>
      </c>
      <c r="F2743" s="6">
        <v>48.5</v>
      </c>
    </row>
    <row r="2744" spans="1:6" x14ac:dyDescent="0.15">
      <c r="A2744" s="5" t="s">
        <v>64</v>
      </c>
      <c r="B2744" s="5" t="s">
        <v>304</v>
      </c>
      <c r="C2744" s="9">
        <v>43535</v>
      </c>
      <c r="D2744" s="5" t="s">
        <v>16</v>
      </c>
      <c r="E2744" s="5" t="s">
        <v>302</v>
      </c>
      <c r="F2744" s="6">
        <v>75</v>
      </c>
    </row>
    <row r="2745" spans="1:6" x14ac:dyDescent="0.15">
      <c r="A2745" s="5" t="s">
        <v>43</v>
      </c>
      <c r="B2745" s="5" t="s">
        <v>306</v>
      </c>
      <c r="C2745" s="9">
        <v>43536</v>
      </c>
      <c r="D2745" s="5" t="s">
        <v>16</v>
      </c>
      <c r="E2745" s="5" t="s">
        <v>305</v>
      </c>
      <c r="F2745" s="6">
        <v>485</v>
      </c>
    </row>
    <row r="2746" spans="1:6" x14ac:dyDescent="0.15">
      <c r="A2746" s="5" t="s">
        <v>43</v>
      </c>
      <c r="B2746" s="5" t="s">
        <v>308</v>
      </c>
      <c r="C2746" s="9">
        <v>43536</v>
      </c>
      <c r="D2746" s="5" t="s">
        <v>16</v>
      </c>
      <c r="E2746" s="5" t="s">
        <v>307</v>
      </c>
      <c r="F2746" s="6">
        <v>145.5</v>
      </c>
    </row>
    <row r="2747" spans="1:6" x14ac:dyDescent="0.15">
      <c r="A2747" s="5" t="s">
        <v>42</v>
      </c>
      <c r="B2747" s="5" t="s">
        <v>309</v>
      </c>
      <c r="C2747" s="9">
        <v>43536</v>
      </c>
      <c r="D2747" s="5" t="s">
        <v>16</v>
      </c>
      <c r="E2747" s="5" t="s">
        <v>307</v>
      </c>
      <c r="F2747" s="6">
        <v>1500</v>
      </c>
    </row>
    <row r="2748" spans="1:6" x14ac:dyDescent="0.15">
      <c r="A2748" s="5" t="s">
        <v>43</v>
      </c>
      <c r="B2748" s="5" t="s">
        <v>311</v>
      </c>
      <c r="C2748" s="9">
        <v>43537</v>
      </c>
      <c r="D2748" s="5" t="s">
        <v>16</v>
      </c>
      <c r="E2748" s="5" t="s">
        <v>310</v>
      </c>
      <c r="F2748" s="6">
        <v>4025.5</v>
      </c>
    </row>
    <row r="2749" spans="1:6" x14ac:dyDescent="0.15">
      <c r="A2749" s="5" t="s">
        <v>35</v>
      </c>
      <c r="B2749" s="5" t="s">
        <v>1474</v>
      </c>
      <c r="C2749" s="9">
        <v>43542</v>
      </c>
      <c r="D2749" s="5" t="s">
        <v>16</v>
      </c>
      <c r="E2749" s="5" t="s">
        <v>1473</v>
      </c>
      <c r="F2749" s="6">
        <v>1170</v>
      </c>
    </row>
    <row r="2750" spans="1:6" x14ac:dyDescent="0.15">
      <c r="A2750" s="5" t="s">
        <v>35</v>
      </c>
      <c r="B2750" s="5" t="s">
        <v>313</v>
      </c>
      <c r="C2750" s="9">
        <v>43542</v>
      </c>
      <c r="D2750" s="5" t="s">
        <v>16</v>
      </c>
      <c r="E2750" s="5" t="s">
        <v>312</v>
      </c>
      <c r="F2750" s="6">
        <v>10042.5</v>
      </c>
    </row>
    <row r="2751" spans="1:6" x14ac:dyDescent="0.15">
      <c r="A2751" s="5" t="s">
        <v>35</v>
      </c>
      <c r="B2751" s="5" t="s">
        <v>315</v>
      </c>
      <c r="C2751" s="9">
        <v>43543</v>
      </c>
      <c r="D2751" s="5" t="s">
        <v>16</v>
      </c>
      <c r="E2751" s="5" t="s">
        <v>314</v>
      </c>
      <c r="F2751" s="6">
        <v>22425</v>
      </c>
    </row>
    <row r="2752" spans="1:6" x14ac:dyDescent="0.15">
      <c r="A2752" s="5" t="s">
        <v>37</v>
      </c>
      <c r="B2752" s="5" t="s">
        <v>317</v>
      </c>
      <c r="C2752" s="9">
        <v>43544</v>
      </c>
      <c r="D2752" s="5" t="s">
        <v>16</v>
      </c>
      <c r="E2752" s="5" t="s">
        <v>316</v>
      </c>
      <c r="F2752" s="6">
        <v>10042.5</v>
      </c>
    </row>
    <row r="2753" spans="1:6" x14ac:dyDescent="0.15">
      <c r="A2753" s="5" t="s">
        <v>43</v>
      </c>
      <c r="B2753" s="5" t="s">
        <v>319</v>
      </c>
      <c r="C2753" s="9">
        <v>43544</v>
      </c>
      <c r="D2753" s="5" t="s">
        <v>16</v>
      </c>
      <c r="E2753" s="5" t="s">
        <v>318</v>
      </c>
      <c r="F2753" s="6">
        <v>48.5</v>
      </c>
    </row>
    <row r="2754" spans="1:6" x14ac:dyDescent="0.15">
      <c r="A2754" s="5" t="s">
        <v>35</v>
      </c>
      <c r="B2754" s="5" t="s">
        <v>321</v>
      </c>
      <c r="C2754" s="9">
        <v>43549</v>
      </c>
      <c r="D2754" s="5" t="s">
        <v>16</v>
      </c>
      <c r="E2754" s="5" t="s">
        <v>320</v>
      </c>
      <c r="F2754" s="6">
        <v>2535</v>
      </c>
    </row>
    <row r="2755" spans="1:6" x14ac:dyDescent="0.15">
      <c r="A2755" s="5" t="s">
        <v>37</v>
      </c>
      <c r="B2755" s="5" t="s">
        <v>323</v>
      </c>
      <c r="C2755" s="9">
        <v>43549</v>
      </c>
      <c r="D2755" s="5" t="s">
        <v>16</v>
      </c>
      <c r="E2755" s="5" t="s">
        <v>322</v>
      </c>
      <c r="F2755" s="6">
        <v>195</v>
      </c>
    </row>
    <row r="2756" spans="1:6" x14ac:dyDescent="0.15">
      <c r="A2756" s="5" t="s">
        <v>35</v>
      </c>
      <c r="B2756" s="5" t="s">
        <v>1487</v>
      </c>
      <c r="C2756" s="9">
        <v>43556</v>
      </c>
      <c r="D2756" s="5" t="s">
        <v>16</v>
      </c>
      <c r="E2756" s="5" t="s">
        <v>1486</v>
      </c>
      <c r="F2756" s="6">
        <v>5850</v>
      </c>
    </row>
    <row r="2757" spans="1:6" x14ac:dyDescent="0.15">
      <c r="A2757" s="5" t="s">
        <v>44</v>
      </c>
      <c r="B2757" s="5" t="s">
        <v>1488</v>
      </c>
      <c r="C2757" s="9">
        <v>43556</v>
      </c>
      <c r="D2757" s="5" t="s">
        <v>16</v>
      </c>
      <c r="E2757" s="5" t="s">
        <v>1486</v>
      </c>
      <c r="F2757" s="6">
        <v>3900</v>
      </c>
    </row>
    <row r="2758" spans="1:6" x14ac:dyDescent="0.15">
      <c r="A2758" s="5" t="s">
        <v>37</v>
      </c>
      <c r="B2758" s="5" t="s">
        <v>1489</v>
      </c>
      <c r="C2758" s="9">
        <v>43556</v>
      </c>
      <c r="D2758" s="5" t="s">
        <v>16</v>
      </c>
      <c r="E2758" s="5" t="s">
        <v>1486</v>
      </c>
      <c r="F2758" s="6">
        <v>15600</v>
      </c>
    </row>
    <row r="2759" spans="1:6" x14ac:dyDescent="0.15">
      <c r="A2759" s="5" t="s">
        <v>43</v>
      </c>
      <c r="B2759" s="5" t="s">
        <v>325</v>
      </c>
      <c r="C2759" s="9">
        <v>43549</v>
      </c>
      <c r="D2759" s="5" t="s">
        <v>16</v>
      </c>
      <c r="E2759" s="5" t="s">
        <v>324</v>
      </c>
      <c r="F2759" s="6">
        <v>97</v>
      </c>
    </row>
    <row r="2760" spans="1:6" x14ac:dyDescent="0.15">
      <c r="A2760" s="5" t="s">
        <v>37</v>
      </c>
      <c r="B2760" s="5" t="s">
        <v>326</v>
      </c>
      <c r="C2760" s="9">
        <v>43549</v>
      </c>
      <c r="D2760" s="5" t="s">
        <v>16</v>
      </c>
      <c r="E2760" s="5" t="s">
        <v>324</v>
      </c>
      <c r="F2760" s="6">
        <v>292.5</v>
      </c>
    </row>
    <row r="2761" spans="1:6" x14ac:dyDescent="0.15">
      <c r="A2761" s="5" t="s">
        <v>37</v>
      </c>
      <c r="B2761" s="5" t="s">
        <v>1346</v>
      </c>
      <c r="C2761" s="9">
        <v>43566</v>
      </c>
      <c r="D2761" s="5" t="s">
        <v>16</v>
      </c>
      <c r="E2761" s="5" t="s">
        <v>1345</v>
      </c>
      <c r="F2761" s="6">
        <v>13650</v>
      </c>
    </row>
    <row r="2762" spans="1:6" x14ac:dyDescent="0.15">
      <c r="A2762" s="5" t="s">
        <v>44</v>
      </c>
      <c r="B2762" s="5" t="s">
        <v>1222</v>
      </c>
      <c r="C2762" s="9">
        <v>43661</v>
      </c>
      <c r="D2762" s="5" t="s">
        <v>16</v>
      </c>
      <c r="E2762" s="5" t="s">
        <v>1221</v>
      </c>
      <c r="F2762" s="6">
        <v>25350</v>
      </c>
    </row>
    <row r="2763" spans="1:6" x14ac:dyDescent="0.15">
      <c r="A2763" s="5" t="s">
        <v>42</v>
      </c>
      <c r="B2763" s="5" t="s">
        <v>328</v>
      </c>
      <c r="C2763" s="9">
        <v>43550</v>
      </c>
      <c r="D2763" s="5" t="s">
        <v>16</v>
      </c>
      <c r="E2763" s="5" t="s">
        <v>327</v>
      </c>
      <c r="F2763" s="6">
        <v>225</v>
      </c>
    </row>
    <row r="2764" spans="1:6" x14ac:dyDescent="0.15">
      <c r="A2764" s="5" t="s">
        <v>35</v>
      </c>
      <c r="B2764" s="5" t="s">
        <v>1395</v>
      </c>
      <c r="C2764" s="9">
        <v>43556</v>
      </c>
      <c r="D2764" s="5" t="s">
        <v>16</v>
      </c>
      <c r="E2764" s="5" t="s">
        <v>1394</v>
      </c>
      <c r="F2764" s="6">
        <v>5850</v>
      </c>
    </row>
    <row r="2765" spans="1:6" x14ac:dyDescent="0.15">
      <c r="A2765" s="5" t="s">
        <v>40</v>
      </c>
      <c r="B2765" s="5" t="s">
        <v>1396</v>
      </c>
      <c r="C2765" s="9">
        <v>43556</v>
      </c>
      <c r="D2765" s="5" t="s">
        <v>16</v>
      </c>
      <c r="E2765" s="5" t="s">
        <v>1394</v>
      </c>
      <c r="F2765" s="6">
        <v>3000</v>
      </c>
    </row>
    <row r="2766" spans="1:6" x14ac:dyDescent="0.15">
      <c r="A2766" s="5" t="s">
        <v>41</v>
      </c>
      <c r="B2766" s="5" t="s">
        <v>1397</v>
      </c>
      <c r="C2766" s="9">
        <v>43556</v>
      </c>
      <c r="D2766" s="5" t="s">
        <v>16</v>
      </c>
      <c r="E2766" s="5" t="s">
        <v>1394</v>
      </c>
      <c r="F2766" s="6">
        <v>1940</v>
      </c>
    </row>
    <row r="2767" spans="1:6" x14ac:dyDescent="0.15">
      <c r="A2767" s="5" t="s">
        <v>37</v>
      </c>
      <c r="B2767" s="5" t="s">
        <v>330</v>
      </c>
      <c r="C2767" s="9">
        <v>43552</v>
      </c>
      <c r="D2767" s="5" t="s">
        <v>16</v>
      </c>
      <c r="E2767" s="5" t="s">
        <v>329</v>
      </c>
      <c r="F2767" s="6">
        <v>14040</v>
      </c>
    </row>
    <row r="2768" spans="1:6" x14ac:dyDescent="0.15">
      <c r="A2768" s="5" t="s">
        <v>35</v>
      </c>
      <c r="B2768" s="5" t="s">
        <v>332</v>
      </c>
      <c r="C2768" s="9">
        <v>43553</v>
      </c>
      <c r="D2768" s="5" t="s">
        <v>16</v>
      </c>
      <c r="E2768" s="5" t="s">
        <v>331</v>
      </c>
      <c r="F2768" s="6">
        <v>2925</v>
      </c>
    </row>
    <row r="2769" spans="1:6" x14ac:dyDescent="0.15">
      <c r="A2769" s="5" t="s">
        <v>148</v>
      </c>
      <c r="B2769" s="5" t="s">
        <v>1224</v>
      </c>
      <c r="C2769" s="9">
        <v>43563</v>
      </c>
      <c r="D2769" s="5" t="s">
        <v>16</v>
      </c>
      <c r="E2769" s="5" t="s">
        <v>1223</v>
      </c>
      <c r="F2769" s="6">
        <v>7275</v>
      </c>
    </row>
    <row r="2770" spans="1:6" x14ac:dyDescent="0.15">
      <c r="A2770" s="5" t="s">
        <v>37</v>
      </c>
      <c r="B2770" s="5" t="s">
        <v>1225</v>
      </c>
      <c r="C2770" s="9">
        <v>43563</v>
      </c>
      <c r="D2770" s="5" t="s">
        <v>16</v>
      </c>
      <c r="E2770" s="5" t="s">
        <v>1223</v>
      </c>
      <c r="F2770" s="6">
        <v>9750</v>
      </c>
    </row>
    <row r="2771" spans="1:6" x14ac:dyDescent="0.15">
      <c r="A2771" s="5" t="s">
        <v>44</v>
      </c>
      <c r="B2771" s="5" t="s">
        <v>1226</v>
      </c>
      <c r="C2771" s="9">
        <v>43563</v>
      </c>
      <c r="D2771" s="5" t="s">
        <v>16</v>
      </c>
      <c r="E2771" s="5" t="s">
        <v>1223</v>
      </c>
      <c r="F2771" s="6">
        <v>5850</v>
      </c>
    </row>
    <row r="2772" spans="1:6" x14ac:dyDescent="0.15">
      <c r="A2772" s="5" t="s">
        <v>57</v>
      </c>
      <c r="B2772" s="5" t="s">
        <v>1228</v>
      </c>
      <c r="C2772" s="9">
        <v>43563</v>
      </c>
      <c r="D2772" s="5" t="s">
        <v>16</v>
      </c>
      <c r="E2772" s="5" t="s">
        <v>1227</v>
      </c>
      <c r="F2772" s="6">
        <v>7760</v>
      </c>
    </row>
    <row r="2773" spans="1:6" x14ac:dyDescent="0.15">
      <c r="A2773" s="5" t="s">
        <v>65</v>
      </c>
      <c r="B2773" s="5" t="s">
        <v>1229</v>
      </c>
      <c r="C2773" s="9">
        <v>43563</v>
      </c>
      <c r="D2773" s="5" t="s">
        <v>16</v>
      </c>
      <c r="E2773" s="5" t="s">
        <v>1227</v>
      </c>
      <c r="F2773" s="6">
        <v>3000</v>
      </c>
    </row>
    <row r="2774" spans="1:6" x14ac:dyDescent="0.15">
      <c r="A2774" s="5" t="s">
        <v>35</v>
      </c>
      <c r="B2774" s="5" t="s">
        <v>1230</v>
      </c>
      <c r="C2774" s="9">
        <v>43563</v>
      </c>
      <c r="D2774" s="5" t="s">
        <v>16</v>
      </c>
      <c r="E2774" s="5" t="s">
        <v>1227</v>
      </c>
      <c r="F2774" s="6">
        <v>13650</v>
      </c>
    </row>
    <row r="2775" spans="1:6" x14ac:dyDescent="0.15">
      <c r="A2775" s="5" t="s">
        <v>35</v>
      </c>
      <c r="B2775" s="5" t="s">
        <v>334</v>
      </c>
      <c r="C2775" s="9">
        <v>43556</v>
      </c>
      <c r="D2775" s="5" t="s">
        <v>16</v>
      </c>
      <c r="E2775" s="5" t="s">
        <v>333</v>
      </c>
      <c r="F2775" s="6">
        <v>4095</v>
      </c>
    </row>
    <row r="2776" spans="1:6" x14ac:dyDescent="0.15">
      <c r="A2776" s="5" t="s">
        <v>37</v>
      </c>
      <c r="B2776" s="5" t="s">
        <v>336</v>
      </c>
      <c r="C2776" s="9">
        <v>43556</v>
      </c>
      <c r="D2776" s="5" t="s">
        <v>16</v>
      </c>
      <c r="E2776" s="5" t="s">
        <v>335</v>
      </c>
      <c r="F2776" s="6">
        <v>2437.5</v>
      </c>
    </row>
    <row r="2777" spans="1:6" x14ac:dyDescent="0.15">
      <c r="A2777" s="5" t="s">
        <v>37</v>
      </c>
      <c r="B2777" s="5" t="s">
        <v>338</v>
      </c>
      <c r="C2777" s="9">
        <v>43556</v>
      </c>
      <c r="D2777" s="5" t="s">
        <v>16</v>
      </c>
      <c r="E2777" s="5" t="s">
        <v>337</v>
      </c>
      <c r="F2777" s="6">
        <v>682.5</v>
      </c>
    </row>
    <row r="2778" spans="1:6" x14ac:dyDescent="0.15">
      <c r="A2778" s="5" t="s">
        <v>40</v>
      </c>
      <c r="B2778" s="5" t="s">
        <v>340</v>
      </c>
      <c r="C2778" s="9">
        <v>43556</v>
      </c>
      <c r="D2778" s="5" t="s">
        <v>16</v>
      </c>
      <c r="E2778" s="5" t="s">
        <v>339</v>
      </c>
      <c r="F2778" s="6">
        <v>15000</v>
      </c>
    </row>
    <row r="2779" spans="1:6" x14ac:dyDescent="0.15">
      <c r="A2779" s="5" t="s">
        <v>53</v>
      </c>
      <c r="B2779" s="5" t="s">
        <v>1309</v>
      </c>
      <c r="C2779" s="9">
        <v>43558</v>
      </c>
      <c r="D2779" s="5" t="s">
        <v>16</v>
      </c>
      <c r="E2779" s="5" t="s">
        <v>1308</v>
      </c>
      <c r="F2779" s="6">
        <v>25350</v>
      </c>
    </row>
    <row r="2780" spans="1:6" x14ac:dyDescent="0.15">
      <c r="A2780" s="5" t="s">
        <v>35</v>
      </c>
      <c r="B2780" s="5" t="s">
        <v>1476</v>
      </c>
      <c r="C2780" s="9">
        <v>43563</v>
      </c>
      <c r="D2780" s="5" t="s">
        <v>16</v>
      </c>
      <c r="E2780" s="5" t="s">
        <v>1475</v>
      </c>
      <c r="F2780" s="6">
        <v>6145</v>
      </c>
    </row>
    <row r="2781" spans="1:6" x14ac:dyDescent="0.15">
      <c r="A2781" s="5" t="s">
        <v>37</v>
      </c>
      <c r="B2781" s="5" t="s">
        <v>1477</v>
      </c>
      <c r="C2781" s="9">
        <v>43563</v>
      </c>
      <c r="D2781" s="5" t="s">
        <v>16</v>
      </c>
      <c r="E2781" s="5" t="s">
        <v>1475</v>
      </c>
      <c r="F2781" s="6">
        <v>20475</v>
      </c>
    </row>
    <row r="2782" spans="1:6" x14ac:dyDescent="0.15">
      <c r="A2782" s="5" t="s">
        <v>43</v>
      </c>
      <c r="B2782" s="5" t="s">
        <v>342</v>
      </c>
      <c r="C2782" s="9">
        <v>43558</v>
      </c>
      <c r="D2782" s="5" t="s">
        <v>16</v>
      </c>
      <c r="E2782" s="5" t="s">
        <v>341</v>
      </c>
      <c r="F2782" s="6">
        <v>679</v>
      </c>
    </row>
    <row r="2783" spans="1:6" x14ac:dyDescent="0.15">
      <c r="A2783" s="5" t="s">
        <v>40</v>
      </c>
      <c r="B2783" s="5" t="s">
        <v>344</v>
      </c>
      <c r="C2783" s="9">
        <v>43559</v>
      </c>
      <c r="D2783" s="5" t="s">
        <v>16</v>
      </c>
      <c r="E2783" s="5" t="s">
        <v>343</v>
      </c>
      <c r="F2783" s="6">
        <v>5025</v>
      </c>
    </row>
    <row r="2784" spans="1:6" x14ac:dyDescent="0.15">
      <c r="A2784" s="5" t="s">
        <v>37</v>
      </c>
      <c r="B2784" s="5" t="s">
        <v>1348</v>
      </c>
      <c r="C2784" s="9">
        <v>43563</v>
      </c>
      <c r="D2784" s="5" t="s">
        <v>16</v>
      </c>
      <c r="E2784" s="5" t="s">
        <v>1347</v>
      </c>
      <c r="F2784" s="6">
        <v>25350</v>
      </c>
    </row>
    <row r="2785" spans="1:6" x14ac:dyDescent="0.15">
      <c r="A2785" s="5" t="s">
        <v>41</v>
      </c>
      <c r="B2785" s="5" t="s">
        <v>346</v>
      </c>
      <c r="C2785" s="9">
        <v>43563</v>
      </c>
      <c r="D2785" s="5" t="s">
        <v>16</v>
      </c>
      <c r="E2785" s="5" t="s">
        <v>345</v>
      </c>
      <c r="F2785" s="6">
        <v>776</v>
      </c>
    </row>
    <row r="2786" spans="1:6" x14ac:dyDescent="0.15">
      <c r="A2786" s="5" t="s">
        <v>35</v>
      </c>
      <c r="B2786" s="5" t="s">
        <v>347</v>
      </c>
      <c r="C2786" s="9">
        <v>43563</v>
      </c>
      <c r="D2786" s="5" t="s">
        <v>16</v>
      </c>
      <c r="E2786" s="5" t="s">
        <v>345</v>
      </c>
      <c r="F2786" s="6">
        <v>3120</v>
      </c>
    </row>
    <row r="2787" spans="1:6" x14ac:dyDescent="0.15">
      <c r="A2787" s="5" t="s">
        <v>35</v>
      </c>
      <c r="B2787" s="5" t="s">
        <v>349</v>
      </c>
      <c r="C2787" s="9">
        <v>43563</v>
      </c>
      <c r="D2787" s="5" t="s">
        <v>16</v>
      </c>
      <c r="E2787" s="5" t="s">
        <v>348</v>
      </c>
      <c r="F2787" s="6">
        <v>585</v>
      </c>
    </row>
    <row r="2788" spans="1:6" x14ac:dyDescent="0.15">
      <c r="A2788" s="5" t="s">
        <v>43</v>
      </c>
      <c r="B2788" s="5" t="s">
        <v>350</v>
      </c>
      <c r="C2788" s="9">
        <v>43563</v>
      </c>
      <c r="D2788" s="5" t="s">
        <v>16</v>
      </c>
      <c r="E2788" s="5" t="s">
        <v>348</v>
      </c>
      <c r="F2788" s="6">
        <v>485</v>
      </c>
    </row>
    <row r="2789" spans="1:6" x14ac:dyDescent="0.15">
      <c r="A2789" s="5" t="s">
        <v>42</v>
      </c>
      <c r="B2789" s="5" t="s">
        <v>352</v>
      </c>
      <c r="C2789" s="9">
        <v>43563</v>
      </c>
      <c r="D2789" s="5" t="s">
        <v>16</v>
      </c>
      <c r="E2789" s="5" t="s">
        <v>351</v>
      </c>
      <c r="F2789" s="6">
        <v>2700</v>
      </c>
    </row>
    <row r="2790" spans="1:6" x14ac:dyDescent="0.15">
      <c r="A2790" s="5" t="s">
        <v>43</v>
      </c>
      <c r="B2790" s="5" t="s">
        <v>1350</v>
      </c>
      <c r="C2790" s="9">
        <v>43570</v>
      </c>
      <c r="D2790" s="5" t="s">
        <v>16</v>
      </c>
      <c r="E2790" s="5" t="s">
        <v>1349</v>
      </c>
      <c r="F2790" s="6">
        <v>23280</v>
      </c>
    </row>
    <row r="2791" spans="1:6" x14ac:dyDescent="0.15">
      <c r="A2791" s="5" t="s">
        <v>46</v>
      </c>
      <c r="B2791" s="5" t="s">
        <v>1176</v>
      </c>
      <c r="C2791" s="9">
        <v>43560</v>
      </c>
      <c r="D2791" s="5" t="s">
        <v>16</v>
      </c>
      <c r="E2791" s="5" t="s">
        <v>1175</v>
      </c>
      <c r="F2791" s="6">
        <v>533.5</v>
      </c>
    </row>
    <row r="2792" spans="1:6" x14ac:dyDescent="0.15">
      <c r="A2792" s="5" t="s">
        <v>35</v>
      </c>
      <c r="B2792" s="5" t="s">
        <v>354</v>
      </c>
      <c r="C2792" s="9">
        <v>43567</v>
      </c>
      <c r="D2792" s="5" t="s">
        <v>16</v>
      </c>
      <c r="E2792" s="5" t="s">
        <v>353</v>
      </c>
      <c r="F2792" s="6">
        <v>487.5</v>
      </c>
    </row>
    <row r="2793" spans="1:6" x14ac:dyDescent="0.15">
      <c r="A2793" s="5" t="s">
        <v>37</v>
      </c>
      <c r="B2793" s="5" t="s">
        <v>356</v>
      </c>
      <c r="C2793" s="9">
        <v>43570</v>
      </c>
      <c r="D2793" s="5" t="s">
        <v>16</v>
      </c>
      <c r="E2793" s="5" t="s">
        <v>355</v>
      </c>
      <c r="F2793" s="6">
        <v>195</v>
      </c>
    </row>
    <row r="2794" spans="1:6" x14ac:dyDescent="0.15">
      <c r="A2794" s="5" t="s">
        <v>40</v>
      </c>
      <c r="B2794" s="5" t="s">
        <v>358</v>
      </c>
      <c r="C2794" s="9">
        <v>43566</v>
      </c>
      <c r="D2794" s="5" t="s">
        <v>16</v>
      </c>
      <c r="E2794" s="5" t="s">
        <v>357</v>
      </c>
      <c r="F2794" s="6">
        <v>1125</v>
      </c>
    </row>
    <row r="2795" spans="1:6" x14ac:dyDescent="0.15">
      <c r="A2795" s="5" t="s">
        <v>51</v>
      </c>
      <c r="B2795" s="5" t="s">
        <v>360</v>
      </c>
      <c r="C2795" s="9">
        <v>43570</v>
      </c>
      <c r="D2795" s="5" t="s">
        <v>16</v>
      </c>
      <c r="E2795" s="5" t="s">
        <v>359</v>
      </c>
      <c r="F2795" s="6">
        <v>2145</v>
      </c>
    </row>
    <row r="2796" spans="1:6" x14ac:dyDescent="0.15">
      <c r="A2796" s="5" t="s">
        <v>43</v>
      </c>
      <c r="B2796" s="5" t="s">
        <v>362</v>
      </c>
      <c r="C2796" s="9">
        <v>43570</v>
      </c>
      <c r="D2796" s="5" t="s">
        <v>16</v>
      </c>
      <c r="E2796" s="5" t="s">
        <v>361</v>
      </c>
      <c r="F2796" s="6">
        <v>485</v>
      </c>
    </row>
    <row r="2797" spans="1:6" x14ac:dyDescent="0.15">
      <c r="A2797" s="5" t="s">
        <v>37</v>
      </c>
      <c r="B2797" s="5" t="s">
        <v>363</v>
      </c>
      <c r="C2797" s="9">
        <v>43570</v>
      </c>
      <c r="D2797" s="5" t="s">
        <v>16</v>
      </c>
      <c r="E2797" s="5" t="s">
        <v>361</v>
      </c>
      <c r="F2797" s="6">
        <v>10042.5</v>
      </c>
    </row>
    <row r="2798" spans="1:6" x14ac:dyDescent="0.15">
      <c r="A2798" s="5" t="s">
        <v>64</v>
      </c>
      <c r="B2798" s="5" t="s">
        <v>365</v>
      </c>
      <c r="C2798" s="9">
        <v>43571</v>
      </c>
      <c r="D2798" s="5" t="s">
        <v>16</v>
      </c>
      <c r="E2798" s="5" t="s">
        <v>364</v>
      </c>
      <c r="F2798" s="6">
        <v>2550</v>
      </c>
    </row>
    <row r="2799" spans="1:6" x14ac:dyDescent="0.15">
      <c r="A2799" s="5" t="s">
        <v>53</v>
      </c>
      <c r="B2799" s="5" t="s">
        <v>366</v>
      </c>
      <c r="C2799" s="9">
        <v>43571</v>
      </c>
      <c r="D2799" s="5" t="s">
        <v>16</v>
      </c>
      <c r="E2799" s="5" t="s">
        <v>364</v>
      </c>
      <c r="F2799" s="6">
        <v>390</v>
      </c>
    </row>
    <row r="2800" spans="1:6" x14ac:dyDescent="0.15">
      <c r="A2800" s="5" t="s">
        <v>43</v>
      </c>
      <c r="B2800" s="5" t="s">
        <v>368</v>
      </c>
      <c r="C2800" s="9">
        <v>43571</v>
      </c>
      <c r="D2800" s="5" t="s">
        <v>16</v>
      </c>
      <c r="E2800" s="5" t="s">
        <v>367</v>
      </c>
      <c r="F2800" s="6">
        <v>533.5</v>
      </c>
    </row>
    <row r="2801" spans="1:6" x14ac:dyDescent="0.15">
      <c r="A2801" s="5" t="s">
        <v>42</v>
      </c>
      <c r="B2801" s="5" t="s">
        <v>369</v>
      </c>
      <c r="C2801" s="9">
        <v>43571</v>
      </c>
      <c r="D2801" s="5" t="s">
        <v>16</v>
      </c>
      <c r="E2801" s="5" t="s">
        <v>367</v>
      </c>
      <c r="F2801" s="6">
        <v>975</v>
      </c>
    </row>
    <row r="2802" spans="1:6" x14ac:dyDescent="0.15">
      <c r="A2802" s="5" t="s">
        <v>37</v>
      </c>
      <c r="B2802" s="5" t="s">
        <v>370</v>
      </c>
      <c r="C2802" s="9">
        <v>43571</v>
      </c>
      <c r="D2802" s="5" t="s">
        <v>16</v>
      </c>
      <c r="E2802" s="5" t="s">
        <v>367</v>
      </c>
      <c r="F2802" s="6">
        <v>4290</v>
      </c>
    </row>
    <row r="2803" spans="1:6" x14ac:dyDescent="0.15">
      <c r="A2803" s="5" t="s">
        <v>37</v>
      </c>
      <c r="B2803" s="5" t="s">
        <v>1405</v>
      </c>
      <c r="C2803" s="9">
        <v>43571</v>
      </c>
      <c r="D2803" s="5" t="s">
        <v>16</v>
      </c>
      <c r="E2803" s="5" t="s">
        <v>1404</v>
      </c>
      <c r="F2803" s="6">
        <v>23400</v>
      </c>
    </row>
    <row r="2804" spans="1:6" x14ac:dyDescent="0.15">
      <c r="A2804" s="5" t="s">
        <v>43</v>
      </c>
      <c r="B2804" s="5" t="s">
        <v>1406</v>
      </c>
      <c r="C2804" s="9">
        <v>43571</v>
      </c>
      <c r="D2804" s="5" t="s">
        <v>16</v>
      </c>
      <c r="E2804" s="5" t="s">
        <v>1404</v>
      </c>
      <c r="F2804" s="6">
        <v>1940</v>
      </c>
    </row>
    <row r="2805" spans="1:6" x14ac:dyDescent="0.15">
      <c r="A2805" s="5" t="s">
        <v>35</v>
      </c>
      <c r="B2805" s="5" t="s">
        <v>372</v>
      </c>
      <c r="C2805" s="9">
        <v>43571</v>
      </c>
      <c r="D2805" s="5" t="s">
        <v>16</v>
      </c>
      <c r="E2805" s="5" t="s">
        <v>371</v>
      </c>
      <c r="F2805" s="6">
        <v>50700</v>
      </c>
    </row>
    <row r="2806" spans="1:6" x14ac:dyDescent="0.15">
      <c r="A2806" s="5" t="s">
        <v>37</v>
      </c>
      <c r="B2806" s="5" t="s">
        <v>374</v>
      </c>
      <c r="C2806" s="9">
        <v>43571</v>
      </c>
      <c r="D2806" s="5" t="s">
        <v>16</v>
      </c>
      <c r="E2806" s="5" t="s">
        <v>373</v>
      </c>
      <c r="F2806" s="6">
        <v>50017.5</v>
      </c>
    </row>
    <row r="2807" spans="1:6" x14ac:dyDescent="0.15">
      <c r="A2807" s="5" t="s">
        <v>43</v>
      </c>
      <c r="B2807" s="5" t="s">
        <v>376</v>
      </c>
      <c r="C2807" s="9">
        <v>43571</v>
      </c>
      <c r="D2807" s="5" t="s">
        <v>16</v>
      </c>
      <c r="E2807" s="5" t="s">
        <v>375</v>
      </c>
      <c r="F2807" s="6">
        <v>2667.5</v>
      </c>
    </row>
    <row r="2808" spans="1:6" x14ac:dyDescent="0.15">
      <c r="A2808" s="5" t="s">
        <v>37</v>
      </c>
      <c r="B2808" s="5" t="s">
        <v>377</v>
      </c>
      <c r="C2808" s="9">
        <v>43571</v>
      </c>
      <c r="D2808" s="5" t="s">
        <v>16</v>
      </c>
      <c r="E2808" s="5" t="s">
        <v>375</v>
      </c>
      <c r="F2808" s="6">
        <v>26520</v>
      </c>
    </row>
    <row r="2809" spans="1:6" x14ac:dyDescent="0.15">
      <c r="A2809" s="5" t="s">
        <v>41</v>
      </c>
      <c r="B2809" s="5" t="s">
        <v>379</v>
      </c>
      <c r="C2809" s="9">
        <v>43570</v>
      </c>
      <c r="D2809" s="5" t="s">
        <v>16</v>
      </c>
      <c r="E2809" s="5" t="s">
        <v>378</v>
      </c>
      <c r="F2809" s="6">
        <v>1164</v>
      </c>
    </row>
    <row r="2810" spans="1:6" x14ac:dyDescent="0.15">
      <c r="A2810" s="5" t="s">
        <v>35</v>
      </c>
      <c r="B2810" s="5" t="s">
        <v>380</v>
      </c>
      <c r="C2810" s="9">
        <v>43570</v>
      </c>
      <c r="D2810" s="5" t="s">
        <v>16</v>
      </c>
      <c r="E2810" s="5" t="s">
        <v>378</v>
      </c>
      <c r="F2810" s="6">
        <v>2340</v>
      </c>
    </row>
    <row r="2811" spans="1:6" x14ac:dyDescent="0.15">
      <c r="A2811" s="5" t="s">
        <v>37</v>
      </c>
      <c r="B2811" s="5" t="s">
        <v>382</v>
      </c>
      <c r="C2811" s="9">
        <v>43571</v>
      </c>
      <c r="D2811" s="5" t="s">
        <v>16</v>
      </c>
      <c r="E2811" s="5" t="s">
        <v>381</v>
      </c>
      <c r="F2811" s="6">
        <v>1950</v>
      </c>
    </row>
    <row r="2812" spans="1:6" x14ac:dyDescent="0.15">
      <c r="A2812" s="5" t="s">
        <v>42</v>
      </c>
      <c r="B2812" s="5" t="s">
        <v>1178</v>
      </c>
      <c r="C2812" s="9">
        <v>43573</v>
      </c>
      <c r="D2812" s="5" t="s">
        <v>16</v>
      </c>
      <c r="E2812" s="5" t="s">
        <v>1177</v>
      </c>
      <c r="F2812" s="6">
        <v>300</v>
      </c>
    </row>
    <row r="2813" spans="1:6" x14ac:dyDescent="0.15">
      <c r="A2813" s="5" t="s">
        <v>37</v>
      </c>
      <c r="B2813" s="5" t="s">
        <v>1179</v>
      </c>
      <c r="C2813" s="9">
        <v>43573</v>
      </c>
      <c r="D2813" s="5" t="s">
        <v>16</v>
      </c>
      <c r="E2813" s="5" t="s">
        <v>1177</v>
      </c>
      <c r="F2813" s="6">
        <v>487.5</v>
      </c>
    </row>
    <row r="2814" spans="1:6" x14ac:dyDescent="0.15">
      <c r="A2814" s="5" t="s">
        <v>43</v>
      </c>
      <c r="B2814" s="5" t="s">
        <v>1180</v>
      </c>
      <c r="C2814" s="9">
        <v>43573</v>
      </c>
      <c r="D2814" s="5" t="s">
        <v>16</v>
      </c>
      <c r="E2814" s="5" t="s">
        <v>1177</v>
      </c>
      <c r="F2814" s="6">
        <v>242.5</v>
      </c>
    </row>
    <row r="2815" spans="1:6" x14ac:dyDescent="0.15">
      <c r="A2815" s="5" t="s">
        <v>35</v>
      </c>
      <c r="B2815" s="5" t="s">
        <v>384</v>
      </c>
      <c r="C2815" s="9">
        <v>43572</v>
      </c>
      <c r="D2815" s="5" t="s">
        <v>16</v>
      </c>
      <c r="E2815" s="5" t="s">
        <v>383</v>
      </c>
      <c r="F2815" s="6">
        <v>1267.5</v>
      </c>
    </row>
    <row r="2816" spans="1:6" x14ac:dyDescent="0.15">
      <c r="A2816" s="5" t="s">
        <v>40</v>
      </c>
      <c r="B2816" s="5" t="s">
        <v>385</v>
      </c>
      <c r="C2816" s="9">
        <v>43572</v>
      </c>
      <c r="D2816" s="5" t="s">
        <v>16</v>
      </c>
      <c r="E2816" s="5" t="s">
        <v>383</v>
      </c>
      <c r="F2816" s="6">
        <v>3000</v>
      </c>
    </row>
    <row r="2817" spans="1:6" x14ac:dyDescent="0.15">
      <c r="A2817" s="5" t="s">
        <v>53</v>
      </c>
      <c r="B2817" s="5" t="s">
        <v>1311</v>
      </c>
      <c r="C2817" s="9">
        <v>43573</v>
      </c>
      <c r="D2817" s="5" t="s">
        <v>16</v>
      </c>
      <c r="E2817" s="5" t="s">
        <v>1310</v>
      </c>
      <c r="F2817" s="6">
        <v>27885</v>
      </c>
    </row>
    <row r="2818" spans="1:6" x14ac:dyDescent="0.15">
      <c r="A2818" s="5" t="s">
        <v>41</v>
      </c>
      <c r="B2818" s="5" t="s">
        <v>1232</v>
      </c>
      <c r="C2818" s="9">
        <v>43598</v>
      </c>
      <c r="D2818" s="5" t="s">
        <v>16</v>
      </c>
      <c r="E2818" s="5" t="s">
        <v>1231</v>
      </c>
      <c r="F2818" s="6">
        <v>3880</v>
      </c>
    </row>
    <row r="2819" spans="1:6" x14ac:dyDescent="0.15">
      <c r="A2819" s="5" t="s">
        <v>40</v>
      </c>
      <c r="B2819" s="5" t="s">
        <v>1233</v>
      </c>
      <c r="C2819" s="9">
        <v>43598</v>
      </c>
      <c r="D2819" s="5" t="s">
        <v>16</v>
      </c>
      <c r="E2819" s="5" t="s">
        <v>1231</v>
      </c>
      <c r="F2819" s="6">
        <v>6000</v>
      </c>
    </row>
    <row r="2820" spans="1:6" x14ac:dyDescent="0.15">
      <c r="A2820" s="5" t="s">
        <v>35</v>
      </c>
      <c r="B2820" s="5" t="s">
        <v>1234</v>
      </c>
      <c r="C2820" s="9">
        <v>43598</v>
      </c>
      <c r="D2820" s="5" t="s">
        <v>16</v>
      </c>
      <c r="E2820" s="5" t="s">
        <v>1231</v>
      </c>
      <c r="F2820" s="6">
        <v>13650</v>
      </c>
    </row>
    <row r="2821" spans="1:6" x14ac:dyDescent="0.15">
      <c r="A2821" s="5" t="s">
        <v>148</v>
      </c>
      <c r="B2821" s="5" t="s">
        <v>1236</v>
      </c>
      <c r="C2821" s="9">
        <v>43591</v>
      </c>
      <c r="D2821" s="5" t="s">
        <v>16</v>
      </c>
      <c r="E2821" s="5" t="s">
        <v>1235</v>
      </c>
      <c r="F2821" s="6">
        <v>7275</v>
      </c>
    </row>
    <row r="2822" spans="1:6" x14ac:dyDescent="0.15">
      <c r="A2822" s="5" t="s">
        <v>148</v>
      </c>
      <c r="B2822" s="5" t="s">
        <v>1238</v>
      </c>
      <c r="C2822" s="9">
        <v>43591</v>
      </c>
      <c r="D2822" s="5" t="s">
        <v>16</v>
      </c>
      <c r="E2822" s="5" t="s">
        <v>1237</v>
      </c>
      <c r="F2822" s="6">
        <v>10670</v>
      </c>
    </row>
    <row r="2823" spans="1:6" x14ac:dyDescent="0.15">
      <c r="A2823" s="5" t="s">
        <v>37</v>
      </c>
      <c r="B2823" s="5" t="s">
        <v>1408</v>
      </c>
      <c r="C2823" s="9">
        <v>43592</v>
      </c>
      <c r="D2823" s="5" t="s">
        <v>16</v>
      </c>
      <c r="E2823" s="5" t="s">
        <v>1407</v>
      </c>
      <c r="F2823" s="6">
        <v>25350</v>
      </c>
    </row>
    <row r="2824" spans="1:6" x14ac:dyDescent="0.15">
      <c r="A2824" s="5" t="s">
        <v>35</v>
      </c>
      <c r="B2824" s="5" t="s">
        <v>1240</v>
      </c>
      <c r="C2824" s="9">
        <v>43592</v>
      </c>
      <c r="D2824" s="5" t="s">
        <v>16</v>
      </c>
      <c r="E2824" s="5" t="s">
        <v>1239</v>
      </c>
      <c r="F2824" s="6">
        <v>25350</v>
      </c>
    </row>
    <row r="2825" spans="1:6" x14ac:dyDescent="0.15">
      <c r="A2825" s="5" t="s">
        <v>43</v>
      </c>
      <c r="B2825" s="5" t="s">
        <v>1493</v>
      </c>
      <c r="C2825" s="9">
        <v>43602</v>
      </c>
      <c r="D2825" s="5" t="s">
        <v>16</v>
      </c>
      <c r="E2825" s="5" t="s">
        <v>1492</v>
      </c>
      <c r="F2825" s="6">
        <v>9603</v>
      </c>
    </row>
    <row r="2826" spans="1:6" x14ac:dyDescent="0.15">
      <c r="A2826" s="5" t="s">
        <v>41</v>
      </c>
      <c r="B2826" s="5" t="s">
        <v>1494</v>
      </c>
      <c r="C2826" s="9">
        <v>43602</v>
      </c>
      <c r="D2826" s="5" t="s">
        <v>16</v>
      </c>
      <c r="E2826" s="5" t="s">
        <v>1492</v>
      </c>
      <c r="F2826" s="6">
        <v>5917</v>
      </c>
    </row>
    <row r="2827" spans="1:6" x14ac:dyDescent="0.15">
      <c r="A2827" s="5" t="s">
        <v>37</v>
      </c>
      <c r="B2827" s="5" t="s">
        <v>1495</v>
      </c>
      <c r="C2827" s="9">
        <v>43602</v>
      </c>
      <c r="D2827" s="5" t="s">
        <v>16</v>
      </c>
      <c r="E2827" s="5" t="s">
        <v>1492</v>
      </c>
      <c r="F2827" s="6">
        <v>1950</v>
      </c>
    </row>
    <row r="2828" spans="1:6" x14ac:dyDescent="0.15">
      <c r="A2828" s="5" t="s">
        <v>35</v>
      </c>
      <c r="B2828" s="5" t="s">
        <v>387</v>
      </c>
      <c r="C2828" s="9">
        <v>43591</v>
      </c>
      <c r="D2828" s="5" t="s">
        <v>16</v>
      </c>
      <c r="E2828" s="5" t="s">
        <v>386</v>
      </c>
      <c r="F2828" s="6">
        <v>1950</v>
      </c>
    </row>
    <row r="2829" spans="1:6" x14ac:dyDescent="0.15">
      <c r="A2829" s="5" t="s">
        <v>37</v>
      </c>
      <c r="B2829" s="5" t="s">
        <v>388</v>
      </c>
      <c r="C2829" s="9">
        <v>43591</v>
      </c>
      <c r="D2829" s="5" t="s">
        <v>16</v>
      </c>
      <c r="E2829" s="5" t="s">
        <v>386</v>
      </c>
      <c r="F2829" s="6">
        <v>3900</v>
      </c>
    </row>
    <row r="2830" spans="1:6" x14ac:dyDescent="0.15">
      <c r="A2830" s="5" t="s">
        <v>35</v>
      </c>
      <c r="B2830" s="5" t="s">
        <v>390</v>
      </c>
      <c r="C2830" s="9">
        <v>43591</v>
      </c>
      <c r="D2830" s="5" t="s">
        <v>16</v>
      </c>
      <c r="E2830" s="5" t="s">
        <v>389</v>
      </c>
      <c r="F2830" s="6">
        <v>292.5</v>
      </c>
    </row>
    <row r="2831" spans="1:6" x14ac:dyDescent="0.15">
      <c r="A2831" s="5" t="s">
        <v>43</v>
      </c>
      <c r="B2831" s="5" t="s">
        <v>392</v>
      </c>
      <c r="C2831" s="9">
        <v>43591</v>
      </c>
      <c r="D2831" s="5" t="s">
        <v>16</v>
      </c>
      <c r="E2831" s="5" t="s">
        <v>391</v>
      </c>
      <c r="F2831" s="6">
        <v>97</v>
      </c>
    </row>
    <row r="2832" spans="1:6" x14ac:dyDescent="0.15">
      <c r="A2832" s="5" t="s">
        <v>37</v>
      </c>
      <c r="B2832" s="5" t="s">
        <v>393</v>
      </c>
      <c r="C2832" s="9">
        <v>43591</v>
      </c>
      <c r="D2832" s="5" t="s">
        <v>16</v>
      </c>
      <c r="E2832" s="5" t="s">
        <v>391</v>
      </c>
      <c r="F2832" s="6">
        <v>682.5</v>
      </c>
    </row>
    <row r="2833" spans="1:6" x14ac:dyDescent="0.15">
      <c r="A2833" s="5" t="s">
        <v>41</v>
      </c>
      <c r="B2833" s="5" t="s">
        <v>395</v>
      </c>
      <c r="C2833" s="9">
        <v>43591</v>
      </c>
      <c r="D2833" s="5" t="s">
        <v>16</v>
      </c>
      <c r="E2833" s="5" t="s">
        <v>394</v>
      </c>
      <c r="F2833" s="6">
        <v>2425</v>
      </c>
    </row>
    <row r="2834" spans="1:6" x14ac:dyDescent="0.15">
      <c r="A2834" s="5" t="s">
        <v>35</v>
      </c>
      <c r="B2834" s="5" t="s">
        <v>396</v>
      </c>
      <c r="C2834" s="9">
        <v>43591</v>
      </c>
      <c r="D2834" s="5" t="s">
        <v>16</v>
      </c>
      <c r="E2834" s="5" t="s">
        <v>394</v>
      </c>
      <c r="F2834" s="6">
        <v>19500</v>
      </c>
    </row>
    <row r="2835" spans="1:6" x14ac:dyDescent="0.15">
      <c r="A2835" s="5" t="s">
        <v>43</v>
      </c>
      <c r="B2835" s="5" t="s">
        <v>398</v>
      </c>
      <c r="C2835" s="9">
        <v>43591</v>
      </c>
      <c r="D2835" s="5" t="s">
        <v>16</v>
      </c>
      <c r="E2835" s="5" t="s">
        <v>397</v>
      </c>
      <c r="F2835" s="6">
        <v>145.5</v>
      </c>
    </row>
    <row r="2836" spans="1:6" x14ac:dyDescent="0.15">
      <c r="A2836" s="5" t="s">
        <v>35</v>
      </c>
      <c r="B2836" s="5" t="s">
        <v>400</v>
      </c>
      <c r="C2836" s="9">
        <v>43591</v>
      </c>
      <c r="D2836" s="5" t="s">
        <v>16</v>
      </c>
      <c r="E2836" s="5" t="s">
        <v>399</v>
      </c>
      <c r="F2836" s="6">
        <v>-1950</v>
      </c>
    </row>
    <row r="2837" spans="1:6" x14ac:dyDescent="0.15">
      <c r="A2837" s="5" t="s">
        <v>37</v>
      </c>
      <c r="B2837" s="5" t="s">
        <v>401</v>
      </c>
      <c r="C2837" s="9">
        <v>43591</v>
      </c>
      <c r="D2837" s="5" t="s">
        <v>16</v>
      </c>
      <c r="E2837" s="5" t="s">
        <v>399</v>
      </c>
      <c r="F2837" s="6">
        <v>-3900</v>
      </c>
    </row>
    <row r="2838" spans="1:6" x14ac:dyDescent="0.15">
      <c r="A2838" s="5" t="s">
        <v>35</v>
      </c>
      <c r="B2838" s="5" t="s">
        <v>403</v>
      </c>
      <c r="C2838" s="9">
        <v>43591</v>
      </c>
      <c r="D2838" s="5" t="s">
        <v>16</v>
      </c>
      <c r="E2838" s="5" t="s">
        <v>402</v>
      </c>
      <c r="F2838" s="6">
        <v>1950</v>
      </c>
    </row>
    <row r="2839" spans="1:6" x14ac:dyDescent="0.15">
      <c r="A2839" s="5" t="s">
        <v>37</v>
      </c>
      <c r="B2839" s="5" t="s">
        <v>404</v>
      </c>
      <c r="C2839" s="9">
        <v>43591</v>
      </c>
      <c r="D2839" s="5" t="s">
        <v>16</v>
      </c>
      <c r="E2839" s="5" t="s">
        <v>402</v>
      </c>
      <c r="F2839" s="6">
        <v>3900</v>
      </c>
    </row>
    <row r="2840" spans="1:6" x14ac:dyDescent="0.15">
      <c r="A2840" s="5" t="s">
        <v>35</v>
      </c>
      <c r="B2840" s="5" t="s">
        <v>406</v>
      </c>
      <c r="C2840" s="9">
        <v>43591</v>
      </c>
      <c r="D2840" s="5" t="s">
        <v>16</v>
      </c>
      <c r="E2840" s="5" t="s">
        <v>405</v>
      </c>
      <c r="F2840" s="6">
        <v>682.5</v>
      </c>
    </row>
    <row r="2841" spans="1:6" x14ac:dyDescent="0.15">
      <c r="A2841" s="5" t="s">
        <v>35</v>
      </c>
      <c r="B2841" s="5" t="s">
        <v>408</v>
      </c>
      <c r="C2841" s="9">
        <v>43593</v>
      </c>
      <c r="D2841" s="5" t="s">
        <v>16</v>
      </c>
      <c r="E2841" s="5" t="s">
        <v>407</v>
      </c>
      <c r="F2841" s="6">
        <v>2535</v>
      </c>
    </row>
    <row r="2842" spans="1:6" x14ac:dyDescent="0.15">
      <c r="A2842" s="5" t="s">
        <v>35</v>
      </c>
      <c r="B2842" s="5" t="s">
        <v>410</v>
      </c>
      <c r="C2842" s="9">
        <v>43593</v>
      </c>
      <c r="D2842" s="5" t="s">
        <v>16</v>
      </c>
      <c r="E2842" s="5" t="s">
        <v>409</v>
      </c>
      <c r="F2842" s="6">
        <v>10042.5</v>
      </c>
    </row>
    <row r="2843" spans="1:6" x14ac:dyDescent="0.15">
      <c r="A2843" s="5" t="s">
        <v>35</v>
      </c>
      <c r="B2843" s="5" t="s">
        <v>412</v>
      </c>
      <c r="C2843" s="9">
        <v>43593</v>
      </c>
      <c r="D2843" s="5" t="s">
        <v>16</v>
      </c>
      <c r="E2843" s="5" t="s">
        <v>411</v>
      </c>
      <c r="F2843" s="6">
        <v>2535</v>
      </c>
    </row>
    <row r="2844" spans="1:6" x14ac:dyDescent="0.15">
      <c r="A2844" s="5" t="s">
        <v>51</v>
      </c>
      <c r="B2844" s="5" t="s">
        <v>414</v>
      </c>
      <c r="C2844" s="9">
        <v>43593</v>
      </c>
      <c r="D2844" s="5" t="s">
        <v>16</v>
      </c>
      <c r="E2844" s="5" t="s">
        <v>413</v>
      </c>
      <c r="F2844" s="6">
        <v>4290</v>
      </c>
    </row>
    <row r="2845" spans="1:6" x14ac:dyDescent="0.15">
      <c r="A2845" s="5" t="s">
        <v>35</v>
      </c>
      <c r="B2845" s="5" t="s">
        <v>416</v>
      </c>
      <c r="C2845" s="9">
        <v>43593</v>
      </c>
      <c r="D2845" s="5" t="s">
        <v>16</v>
      </c>
      <c r="E2845" s="5" t="s">
        <v>415</v>
      </c>
      <c r="F2845" s="6">
        <v>97.5</v>
      </c>
    </row>
    <row r="2846" spans="1:6" x14ac:dyDescent="0.15">
      <c r="A2846" s="5" t="s">
        <v>37</v>
      </c>
      <c r="B2846" s="5" t="s">
        <v>418</v>
      </c>
      <c r="C2846" s="9">
        <v>43594</v>
      </c>
      <c r="D2846" s="5" t="s">
        <v>16</v>
      </c>
      <c r="E2846" s="5" t="s">
        <v>417</v>
      </c>
      <c r="F2846" s="6">
        <v>195</v>
      </c>
    </row>
    <row r="2847" spans="1:6" x14ac:dyDescent="0.15">
      <c r="A2847" s="5" t="s">
        <v>35</v>
      </c>
      <c r="B2847" s="5" t="s">
        <v>420</v>
      </c>
      <c r="C2847" s="9">
        <v>43595</v>
      </c>
      <c r="D2847" s="5" t="s">
        <v>16</v>
      </c>
      <c r="E2847" s="5" t="s">
        <v>419</v>
      </c>
      <c r="F2847" s="6">
        <v>1950</v>
      </c>
    </row>
    <row r="2848" spans="1:6" x14ac:dyDescent="0.15">
      <c r="A2848" s="5" t="s">
        <v>37</v>
      </c>
      <c r="B2848" s="5" t="s">
        <v>421</v>
      </c>
      <c r="C2848" s="9">
        <v>43595</v>
      </c>
      <c r="D2848" s="5" t="s">
        <v>16</v>
      </c>
      <c r="E2848" s="5" t="s">
        <v>419</v>
      </c>
      <c r="F2848" s="6">
        <v>3900</v>
      </c>
    </row>
    <row r="2849" spans="1:6" x14ac:dyDescent="0.15">
      <c r="A2849" s="5" t="s">
        <v>41</v>
      </c>
      <c r="B2849" s="5" t="s">
        <v>1410</v>
      </c>
      <c r="C2849" s="9">
        <v>43598</v>
      </c>
      <c r="D2849" s="5" t="s">
        <v>16</v>
      </c>
      <c r="E2849" s="5" t="s">
        <v>1409</v>
      </c>
      <c r="F2849" s="6">
        <v>7760</v>
      </c>
    </row>
    <row r="2850" spans="1:6" x14ac:dyDescent="0.15">
      <c r="A2850" s="5" t="s">
        <v>65</v>
      </c>
      <c r="B2850" s="5" t="s">
        <v>1411</v>
      </c>
      <c r="C2850" s="9">
        <v>43598</v>
      </c>
      <c r="D2850" s="5" t="s">
        <v>16</v>
      </c>
      <c r="E2850" s="5" t="s">
        <v>1409</v>
      </c>
      <c r="F2850" s="6">
        <v>1350</v>
      </c>
    </row>
    <row r="2851" spans="1:6" x14ac:dyDescent="0.15">
      <c r="A2851" s="5" t="s">
        <v>51</v>
      </c>
      <c r="B2851" s="5" t="s">
        <v>423</v>
      </c>
      <c r="C2851" s="9">
        <v>43595</v>
      </c>
      <c r="D2851" s="5" t="s">
        <v>16</v>
      </c>
      <c r="E2851" s="5" t="s">
        <v>422</v>
      </c>
      <c r="F2851" s="6">
        <v>195</v>
      </c>
    </row>
    <row r="2852" spans="1:6" x14ac:dyDescent="0.15">
      <c r="A2852" s="5" t="s">
        <v>158</v>
      </c>
      <c r="B2852" s="5" t="s">
        <v>425</v>
      </c>
      <c r="C2852" s="9">
        <v>43595</v>
      </c>
      <c r="D2852" s="5" t="s">
        <v>16</v>
      </c>
      <c r="E2852" s="5" t="s">
        <v>424</v>
      </c>
      <c r="F2852" s="6">
        <v>780</v>
      </c>
    </row>
    <row r="2853" spans="1:6" x14ac:dyDescent="0.15">
      <c r="A2853" s="5" t="s">
        <v>43</v>
      </c>
      <c r="B2853" s="5" t="s">
        <v>1413</v>
      </c>
      <c r="C2853" s="9">
        <v>43600</v>
      </c>
      <c r="D2853" s="5" t="s">
        <v>16</v>
      </c>
      <c r="E2853" s="5" t="s">
        <v>1412</v>
      </c>
      <c r="F2853" s="6">
        <v>1940</v>
      </c>
    </row>
    <row r="2854" spans="1:6" x14ac:dyDescent="0.15">
      <c r="A2854" s="5" t="s">
        <v>37</v>
      </c>
      <c r="B2854" s="5" t="s">
        <v>1414</v>
      </c>
      <c r="C2854" s="9">
        <v>43600</v>
      </c>
      <c r="D2854" s="5" t="s">
        <v>16</v>
      </c>
      <c r="E2854" s="5" t="s">
        <v>1412</v>
      </c>
      <c r="F2854" s="6">
        <v>15600</v>
      </c>
    </row>
    <row r="2855" spans="1:6" x14ac:dyDescent="0.15">
      <c r="A2855" s="5" t="s">
        <v>46</v>
      </c>
      <c r="B2855" s="5" t="s">
        <v>1415</v>
      </c>
      <c r="C2855" s="9">
        <v>43600</v>
      </c>
      <c r="D2855" s="5" t="s">
        <v>16</v>
      </c>
      <c r="E2855" s="5" t="s">
        <v>1412</v>
      </c>
      <c r="F2855" s="6">
        <v>3880</v>
      </c>
    </row>
    <row r="2856" spans="1:6" x14ac:dyDescent="0.15">
      <c r="A2856" s="5" t="s">
        <v>44</v>
      </c>
      <c r="B2856" s="5" t="s">
        <v>1416</v>
      </c>
      <c r="C2856" s="9">
        <v>43600</v>
      </c>
      <c r="D2856" s="5" t="s">
        <v>16</v>
      </c>
      <c r="E2856" s="5" t="s">
        <v>1412</v>
      </c>
      <c r="F2856" s="6">
        <v>3900</v>
      </c>
    </row>
    <row r="2857" spans="1:6" x14ac:dyDescent="0.15">
      <c r="A2857" s="5" t="s">
        <v>37</v>
      </c>
      <c r="B2857" s="5" t="s">
        <v>427</v>
      </c>
      <c r="C2857" s="9">
        <v>43598</v>
      </c>
      <c r="D2857" s="5" t="s">
        <v>16</v>
      </c>
      <c r="E2857" s="5" t="s">
        <v>426</v>
      </c>
      <c r="F2857" s="6">
        <v>682.5</v>
      </c>
    </row>
    <row r="2858" spans="1:6" x14ac:dyDescent="0.15">
      <c r="A2858" s="5" t="s">
        <v>43</v>
      </c>
      <c r="B2858" s="5" t="s">
        <v>429</v>
      </c>
      <c r="C2858" s="9">
        <v>43598</v>
      </c>
      <c r="D2858" s="5" t="s">
        <v>16</v>
      </c>
      <c r="E2858" s="5" t="s">
        <v>428</v>
      </c>
      <c r="F2858" s="6">
        <v>1552</v>
      </c>
    </row>
    <row r="2859" spans="1:6" x14ac:dyDescent="0.15">
      <c r="A2859" s="5" t="s">
        <v>49</v>
      </c>
      <c r="B2859" s="5" t="s">
        <v>430</v>
      </c>
      <c r="C2859" s="9">
        <v>43598</v>
      </c>
      <c r="D2859" s="5" t="s">
        <v>16</v>
      </c>
      <c r="E2859" s="5" t="s">
        <v>428</v>
      </c>
      <c r="F2859" s="6">
        <v>194</v>
      </c>
    </row>
    <row r="2860" spans="1:6" x14ac:dyDescent="0.15">
      <c r="A2860" s="5" t="s">
        <v>42</v>
      </c>
      <c r="B2860" s="5" t="s">
        <v>432</v>
      </c>
      <c r="C2860" s="9">
        <v>43598</v>
      </c>
      <c r="D2860" s="5" t="s">
        <v>16</v>
      </c>
      <c r="E2860" s="5" t="s">
        <v>431</v>
      </c>
      <c r="F2860" s="6">
        <v>6000</v>
      </c>
    </row>
    <row r="2861" spans="1:6" x14ac:dyDescent="0.15">
      <c r="A2861" s="5" t="s">
        <v>41</v>
      </c>
      <c r="B2861" s="5" t="s">
        <v>1527</v>
      </c>
      <c r="C2861" s="9">
        <v>43598</v>
      </c>
      <c r="D2861" s="5" t="s">
        <v>16</v>
      </c>
      <c r="E2861" s="5" t="s">
        <v>434</v>
      </c>
      <c r="F2861" s="6">
        <v>-3880</v>
      </c>
    </row>
    <row r="2862" spans="1:6" x14ac:dyDescent="0.15">
      <c r="A2862" s="5" t="s">
        <v>40</v>
      </c>
      <c r="B2862" s="5" t="s">
        <v>1528</v>
      </c>
      <c r="C2862" s="9">
        <v>43598</v>
      </c>
      <c r="D2862" s="5" t="s">
        <v>16</v>
      </c>
      <c r="E2862" s="5" t="s">
        <v>434</v>
      </c>
      <c r="F2862" s="6">
        <v>-6000</v>
      </c>
    </row>
    <row r="2863" spans="1:6" x14ac:dyDescent="0.15">
      <c r="A2863" s="5" t="s">
        <v>35</v>
      </c>
      <c r="B2863" s="5" t="s">
        <v>1529</v>
      </c>
      <c r="C2863" s="9">
        <v>43598</v>
      </c>
      <c r="D2863" s="5" t="s">
        <v>16</v>
      </c>
      <c r="E2863" s="5" t="s">
        <v>434</v>
      </c>
      <c r="F2863" s="6">
        <v>-13650</v>
      </c>
    </row>
    <row r="2864" spans="1:6" x14ac:dyDescent="0.15">
      <c r="A2864" s="5" t="s">
        <v>41</v>
      </c>
      <c r="B2864" s="5" t="s">
        <v>1242</v>
      </c>
      <c r="C2864" s="9">
        <v>43598</v>
      </c>
      <c r="D2864" s="5" t="s">
        <v>16</v>
      </c>
      <c r="E2864" s="5" t="s">
        <v>1241</v>
      </c>
      <c r="F2864" s="6">
        <v>3880</v>
      </c>
    </row>
    <row r="2865" spans="1:6" x14ac:dyDescent="0.15">
      <c r="A2865" s="5" t="s">
        <v>40</v>
      </c>
      <c r="B2865" s="5" t="s">
        <v>1243</v>
      </c>
      <c r="C2865" s="9">
        <v>43598</v>
      </c>
      <c r="D2865" s="5" t="s">
        <v>16</v>
      </c>
      <c r="E2865" s="5" t="s">
        <v>1241</v>
      </c>
      <c r="F2865" s="6">
        <v>6000</v>
      </c>
    </row>
    <row r="2866" spans="1:6" x14ac:dyDescent="0.15">
      <c r="A2866" s="5" t="s">
        <v>35</v>
      </c>
      <c r="B2866" s="5" t="s">
        <v>1244</v>
      </c>
      <c r="C2866" s="9">
        <v>43598</v>
      </c>
      <c r="D2866" s="5" t="s">
        <v>16</v>
      </c>
      <c r="E2866" s="5" t="s">
        <v>1241</v>
      </c>
      <c r="F2866" s="6">
        <v>13650</v>
      </c>
    </row>
    <row r="2867" spans="1:6" x14ac:dyDescent="0.15">
      <c r="A2867" s="5" t="s">
        <v>42</v>
      </c>
      <c r="B2867" s="5" t="s">
        <v>433</v>
      </c>
      <c r="C2867" s="9">
        <v>43599</v>
      </c>
      <c r="D2867" s="5" t="s">
        <v>16</v>
      </c>
      <c r="E2867" s="5" t="s">
        <v>431</v>
      </c>
      <c r="F2867" s="6">
        <v>6000</v>
      </c>
    </row>
    <row r="2868" spans="1:6" x14ac:dyDescent="0.15">
      <c r="A2868" s="5" t="s">
        <v>51</v>
      </c>
      <c r="B2868" s="5" t="s">
        <v>436</v>
      </c>
      <c r="C2868" s="9">
        <v>43601</v>
      </c>
      <c r="D2868" s="5" t="s">
        <v>16</v>
      </c>
      <c r="E2868" s="5" t="s">
        <v>435</v>
      </c>
      <c r="F2868" s="6">
        <v>5265</v>
      </c>
    </row>
    <row r="2869" spans="1:6" x14ac:dyDescent="0.15">
      <c r="A2869" s="5" t="s">
        <v>46</v>
      </c>
      <c r="B2869" s="5" t="s">
        <v>1352</v>
      </c>
      <c r="C2869" s="9">
        <v>43612</v>
      </c>
      <c r="D2869" s="5" t="s">
        <v>16</v>
      </c>
      <c r="E2869" s="5" t="s">
        <v>1351</v>
      </c>
      <c r="F2869" s="6">
        <v>2037</v>
      </c>
    </row>
    <row r="2870" spans="1:6" x14ac:dyDescent="0.15">
      <c r="A2870" s="5" t="s">
        <v>41</v>
      </c>
      <c r="B2870" s="5" t="s">
        <v>1353</v>
      </c>
      <c r="C2870" s="9">
        <v>43612</v>
      </c>
      <c r="D2870" s="5" t="s">
        <v>16</v>
      </c>
      <c r="E2870" s="5" t="s">
        <v>1351</v>
      </c>
      <c r="F2870" s="6">
        <v>3880</v>
      </c>
    </row>
    <row r="2871" spans="1:6" x14ac:dyDescent="0.15">
      <c r="A2871" s="5" t="s">
        <v>35</v>
      </c>
      <c r="B2871" s="5" t="s">
        <v>1354</v>
      </c>
      <c r="C2871" s="9">
        <v>43612</v>
      </c>
      <c r="D2871" s="5" t="s">
        <v>16</v>
      </c>
      <c r="E2871" s="5" t="s">
        <v>1351</v>
      </c>
      <c r="F2871" s="6">
        <v>3900</v>
      </c>
    </row>
    <row r="2872" spans="1:6" x14ac:dyDescent="0.15">
      <c r="A2872" s="5" t="s">
        <v>43</v>
      </c>
      <c r="B2872" s="5" t="s">
        <v>1355</v>
      </c>
      <c r="C2872" s="9">
        <v>43612</v>
      </c>
      <c r="D2872" s="5" t="s">
        <v>16</v>
      </c>
      <c r="E2872" s="5" t="s">
        <v>1351</v>
      </c>
      <c r="F2872" s="6">
        <v>7760</v>
      </c>
    </row>
    <row r="2873" spans="1:6" x14ac:dyDescent="0.15">
      <c r="A2873" s="5" t="s">
        <v>37</v>
      </c>
      <c r="B2873" s="5" t="s">
        <v>1356</v>
      </c>
      <c r="C2873" s="9">
        <v>43612</v>
      </c>
      <c r="D2873" s="5" t="s">
        <v>16</v>
      </c>
      <c r="E2873" s="5" t="s">
        <v>1351</v>
      </c>
      <c r="F2873" s="6">
        <v>7800</v>
      </c>
    </row>
    <row r="2874" spans="1:6" x14ac:dyDescent="0.15">
      <c r="A2874" s="5" t="s">
        <v>53</v>
      </c>
      <c r="B2874" s="5" t="s">
        <v>438</v>
      </c>
      <c r="C2874" s="9">
        <v>43605</v>
      </c>
      <c r="D2874" s="5" t="s">
        <v>16</v>
      </c>
      <c r="E2874" s="5" t="s">
        <v>437</v>
      </c>
      <c r="F2874" s="6">
        <v>15600</v>
      </c>
    </row>
    <row r="2875" spans="1:6" x14ac:dyDescent="0.15">
      <c r="A2875" s="5" t="s">
        <v>51</v>
      </c>
      <c r="B2875" s="5" t="s">
        <v>439</v>
      </c>
      <c r="C2875" s="9">
        <v>43605</v>
      </c>
      <c r="D2875" s="5" t="s">
        <v>16</v>
      </c>
      <c r="E2875" s="5" t="s">
        <v>437</v>
      </c>
      <c r="F2875" s="6">
        <v>2925</v>
      </c>
    </row>
    <row r="2876" spans="1:6" x14ac:dyDescent="0.15">
      <c r="A2876" s="5" t="s">
        <v>35</v>
      </c>
      <c r="B2876" s="5" t="s">
        <v>441</v>
      </c>
      <c r="C2876" s="9">
        <v>43602</v>
      </c>
      <c r="D2876" s="5" t="s">
        <v>16</v>
      </c>
      <c r="E2876" s="5" t="s">
        <v>440</v>
      </c>
      <c r="F2876" s="6">
        <v>975</v>
      </c>
    </row>
    <row r="2877" spans="1:6" x14ac:dyDescent="0.15">
      <c r="A2877" s="5" t="s">
        <v>37</v>
      </c>
      <c r="B2877" s="5" t="s">
        <v>443</v>
      </c>
      <c r="C2877" s="9">
        <v>43607</v>
      </c>
      <c r="D2877" s="5" t="s">
        <v>16</v>
      </c>
      <c r="E2877" s="5" t="s">
        <v>442</v>
      </c>
      <c r="F2877" s="6">
        <v>6337.5</v>
      </c>
    </row>
    <row r="2878" spans="1:6" x14ac:dyDescent="0.15">
      <c r="A2878" s="5" t="s">
        <v>43</v>
      </c>
      <c r="B2878" s="5" t="s">
        <v>1182</v>
      </c>
      <c r="C2878" s="9">
        <v>43606</v>
      </c>
      <c r="D2878" s="5" t="s">
        <v>16</v>
      </c>
      <c r="E2878" s="5" t="s">
        <v>1181</v>
      </c>
      <c r="F2878" s="6">
        <v>824.5</v>
      </c>
    </row>
    <row r="2879" spans="1:6" x14ac:dyDescent="0.15">
      <c r="A2879" s="5" t="s">
        <v>43</v>
      </c>
      <c r="B2879" s="5" t="s">
        <v>1358</v>
      </c>
      <c r="C2879" s="9">
        <v>43613</v>
      </c>
      <c r="D2879" s="5" t="s">
        <v>16</v>
      </c>
      <c r="E2879" s="5" t="s">
        <v>1357</v>
      </c>
      <c r="F2879" s="6">
        <v>19400</v>
      </c>
    </row>
    <row r="2880" spans="1:6" x14ac:dyDescent="0.15">
      <c r="A2880" s="5" t="s">
        <v>37</v>
      </c>
      <c r="B2880" s="5" t="s">
        <v>1359</v>
      </c>
      <c r="C2880" s="9">
        <v>43613</v>
      </c>
      <c r="D2880" s="5" t="s">
        <v>16</v>
      </c>
      <c r="E2880" s="5" t="s">
        <v>1357</v>
      </c>
      <c r="F2880" s="6">
        <v>3900</v>
      </c>
    </row>
    <row r="2881" spans="1:6" x14ac:dyDescent="0.15">
      <c r="A2881" s="5" t="s">
        <v>37</v>
      </c>
      <c r="B2881" s="5" t="s">
        <v>1418</v>
      </c>
      <c r="C2881" s="9">
        <v>43607</v>
      </c>
      <c r="D2881" s="5" t="s">
        <v>16</v>
      </c>
      <c r="E2881" s="5" t="s">
        <v>1417</v>
      </c>
      <c r="F2881" s="6">
        <v>25350</v>
      </c>
    </row>
    <row r="2882" spans="1:6" x14ac:dyDescent="0.15">
      <c r="A2882" s="5" t="s">
        <v>40</v>
      </c>
      <c r="B2882" s="5" t="s">
        <v>1491</v>
      </c>
      <c r="C2882" s="9">
        <v>43607</v>
      </c>
      <c r="D2882" s="5" t="s">
        <v>16</v>
      </c>
      <c r="E2882" s="5" t="s">
        <v>1490</v>
      </c>
      <c r="F2882" s="6">
        <v>4500</v>
      </c>
    </row>
    <row r="2883" spans="1:6" x14ac:dyDescent="0.15">
      <c r="A2883" s="5" t="s">
        <v>43</v>
      </c>
      <c r="B2883" s="5" t="s">
        <v>445</v>
      </c>
      <c r="C2883" s="9">
        <v>43608</v>
      </c>
      <c r="D2883" s="5" t="s">
        <v>16</v>
      </c>
      <c r="E2883" s="5" t="s">
        <v>444</v>
      </c>
      <c r="F2883" s="6">
        <v>582</v>
      </c>
    </row>
    <row r="2884" spans="1:6" x14ac:dyDescent="0.15">
      <c r="A2884" s="5" t="s">
        <v>35</v>
      </c>
      <c r="B2884" s="5" t="s">
        <v>447</v>
      </c>
      <c r="C2884" s="9">
        <v>43608</v>
      </c>
      <c r="D2884" s="5" t="s">
        <v>16</v>
      </c>
      <c r="E2884" s="5" t="s">
        <v>446</v>
      </c>
      <c r="F2884" s="6">
        <v>5167.5</v>
      </c>
    </row>
    <row r="2885" spans="1:6" x14ac:dyDescent="0.15">
      <c r="A2885" s="5" t="s">
        <v>43</v>
      </c>
      <c r="B2885" s="5" t="s">
        <v>449</v>
      </c>
      <c r="C2885" s="9">
        <v>43608</v>
      </c>
      <c r="D2885" s="5" t="s">
        <v>16</v>
      </c>
      <c r="E2885" s="5" t="s">
        <v>448</v>
      </c>
      <c r="F2885" s="6">
        <v>2716</v>
      </c>
    </row>
    <row r="2886" spans="1:6" x14ac:dyDescent="0.15">
      <c r="A2886" s="5" t="s">
        <v>148</v>
      </c>
      <c r="B2886" s="5" t="s">
        <v>1246</v>
      </c>
      <c r="C2886" s="9">
        <v>43619</v>
      </c>
      <c r="D2886" s="5" t="s">
        <v>16</v>
      </c>
      <c r="E2886" s="5" t="s">
        <v>1245</v>
      </c>
      <c r="F2886" s="6">
        <v>2910</v>
      </c>
    </row>
    <row r="2887" spans="1:6" x14ac:dyDescent="0.15">
      <c r="A2887" s="5" t="s">
        <v>58</v>
      </c>
      <c r="B2887" s="5" t="s">
        <v>1247</v>
      </c>
      <c r="C2887" s="9">
        <v>43619</v>
      </c>
      <c r="D2887" s="5" t="s">
        <v>16</v>
      </c>
      <c r="E2887" s="5" t="s">
        <v>1245</v>
      </c>
      <c r="F2887" s="6">
        <v>3375</v>
      </c>
    </row>
    <row r="2888" spans="1:6" x14ac:dyDescent="0.15">
      <c r="A2888" s="5" t="s">
        <v>63</v>
      </c>
      <c r="B2888" s="5" t="s">
        <v>1248</v>
      </c>
      <c r="C2888" s="9">
        <v>43619</v>
      </c>
      <c r="D2888" s="5" t="s">
        <v>16</v>
      </c>
      <c r="E2888" s="5" t="s">
        <v>1245</v>
      </c>
      <c r="F2888" s="6">
        <v>3880</v>
      </c>
    </row>
    <row r="2889" spans="1:6" x14ac:dyDescent="0.15">
      <c r="A2889" s="5" t="s">
        <v>174</v>
      </c>
      <c r="B2889" s="5" t="s">
        <v>1249</v>
      </c>
      <c r="C2889" s="9">
        <v>43619</v>
      </c>
      <c r="D2889" s="5" t="s">
        <v>16</v>
      </c>
      <c r="E2889" s="5" t="s">
        <v>1245</v>
      </c>
      <c r="F2889" s="6">
        <v>4500</v>
      </c>
    </row>
    <row r="2890" spans="1:6" x14ac:dyDescent="0.15">
      <c r="A2890" s="5" t="s">
        <v>37</v>
      </c>
      <c r="B2890" s="5" t="s">
        <v>1250</v>
      </c>
      <c r="C2890" s="9">
        <v>43619</v>
      </c>
      <c r="D2890" s="5" t="s">
        <v>16</v>
      </c>
      <c r="E2890" s="5" t="s">
        <v>1245</v>
      </c>
      <c r="F2890" s="6">
        <v>5850</v>
      </c>
    </row>
    <row r="2891" spans="1:6" x14ac:dyDescent="0.15">
      <c r="A2891" s="5" t="s">
        <v>65</v>
      </c>
      <c r="B2891" s="5" t="s">
        <v>1420</v>
      </c>
      <c r="C2891" s="9">
        <v>43626</v>
      </c>
      <c r="D2891" s="5" t="s">
        <v>16</v>
      </c>
      <c r="E2891" s="5" t="s">
        <v>1419</v>
      </c>
      <c r="F2891" s="6">
        <v>3000</v>
      </c>
    </row>
    <row r="2892" spans="1:6" x14ac:dyDescent="0.15">
      <c r="A2892" s="5" t="s">
        <v>37</v>
      </c>
      <c r="B2892" s="5" t="s">
        <v>1422</v>
      </c>
      <c r="C2892" s="9">
        <v>43615</v>
      </c>
      <c r="D2892" s="5" t="s">
        <v>16</v>
      </c>
      <c r="E2892" s="5" t="s">
        <v>1421</v>
      </c>
      <c r="F2892" s="6">
        <v>25350</v>
      </c>
    </row>
    <row r="2893" spans="1:6" x14ac:dyDescent="0.15">
      <c r="A2893" s="5" t="s">
        <v>158</v>
      </c>
      <c r="B2893" s="5" t="s">
        <v>451</v>
      </c>
      <c r="C2893" s="9">
        <v>43609</v>
      </c>
      <c r="D2893" s="5" t="s">
        <v>16</v>
      </c>
      <c r="E2893" s="5" t="s">
        <v>450</v>
      </c>
      <c r="F2893" s="6">
        <v>5070</v>
      </c>
    </row>
    <row r="2894" spans="1:6" x14ac:dyDescent="0.15">
      <c r="A2894" s="5" t="s">
        <v>42</v>
      </c>
      <c r="B2894" s="5" t="s">
        <v>453</v>
      </c>
      <c r="C2894" s="9">
        <v>43609</v>
      </c>
      <c r="D2894" s="5" t="s">
        <v>16</v>
      </c>
      <c r="E2894" s="5" t="s">
        <v>452</v>
      </c>
      <c r="F2894" s="6">
        <v>2025</v>
      </c>
    </row>
    <row r="2895" spans="1:6" x14ac:dyDescent="0.15">
      <c r="A2895" s="5" t="s">
        <v>37</v>
      </c>
      <c r="B2895" s="5" t="s">
        <v>1424</v>
      </c>
      <c r="C2895" s="9">
        <v>43614</v>
      </c>
      <c r="D2895" s="5" t="s">
        <v>16</v>
      </c>
      <c r="E2895" s="5" t="s">
        <v>1423</v>
      </c>
      <c r="F2895" s="6">
        <v>25350</v>
      </c>
    </row>
    <row r="2896" spans="1:6" x14ac:dyDescent="0.15">
      <c r="A2896" s="5" t="s">
        <v>37</v>
      </c>
      <c r="B2896" s="5" t="s">
        <v>1313</v>
      </c>
      <c r="C2896" s="9">
        <v>43620</v>
      </c>
      <c r="D2896" s="5" t="s">
        <v>16</v>
      </c>
      <c r="E2896" s="5" t="s">
        <v>1312</v>
      </c>
      <c r="F2896" s="6">
        <v>27885</v>
      </c>
    </row>
    <row r="2897" spans="1:6" x14ac:dyDescent="0.15">
      <c r="A2897" s="5" t="s">
        <v>35</v>
      </c>
      <c r="B2897" s="5" t="s">
        <v>455</v>
      </c>
      <c r="C2897" s="9">
        <v>43613</v>
      </c>
      <c r="D2897" s="5" t="s">
        <v>16</v>
      </c>
      <c r="E2897" s="5" t="s">
        <v>454</v>
      </c>
      <c r="F2897" s="6">
        <v>-4095</v>
      </c>
    </row>
    <row r="2898" spans="1:6" x14ac:dyDescent="0.15">
      <c r="A2898" s="5" t="s">
        <v>35</v>
      </c>
      <c r="B2898" s="5" t="s">
        <v>457</v>
      </c>
      <c r="C2898" s="9">
        <v>43613</v>
      </c>
      <c r="D2898" s="5" t="s">
        <v>16</v>
      </c>
      <c r="E2898" s="5" t="s">
        <v>456</v>
      </c>
      <c r="F2898" s="6">
        <v>4095</v>
      </c>
    </row>
    <row r="2899" spans="1:6" x14ac:dyDescent="0.15">
      <c r="A2899" s="5" t="s">
        <v>41</v>
      </c>
      <c r="B2899" s="5" t="s">
        <v>459</v>
      </c>
      <c r="C2899" s="9">
        <v>43606</v>
      </c>
      <c r="D2899" s="5" t="s">
        <v>16</v>
      </c>
      <c r="E2899" s="5" t="s">
        <v>458</v>
      </c>
      <c r="F2899" s="6">
        <v>2182.5</v>
      </c>
    </row>
    <row r="2900" spans="1:6" x14ac:dyDescent="0.15">
      <c r="A2900" s="5" t="s">
        <v>35</v>
      </c>
      <c r="B2900" s="5" t="s">
        <v>460</v>
      </c>
      <c r="C2900" s="9">
        <v>43606</v>
      </c>
      <c r="D2900" s="5" t="s">
        <v>16</v>
      </c>
      <c r="E2900" s="5" t="s">
        <v>458</v>
      </c>
      <c r="F2900" s="6">
        <v>4875</v>
      </c>
    </row>
    <row r="2901" spans="1:6" x14ac:dyDescent="0.15">
      <c r="A2901" s="5" t="s">
        <v>58</v>
      </c>
      <c r="B2901" s="5" t="s">
        <v>461</v>
      </c>
      <c r="C2901" s="9">
        <v>43612</v>
      </c>
      <c r="D2901" s="5" t="s">
        <v>16</v>
      </c>
      <c r="E2901" s="5" t="s">
        <v>67</v>
      </c>
      <c r="F2901" s="6">
        <v>150</v>
      </c>
    </row>
    <row r="2902" spans="1:6" x14ac:dyDescent="0.15">
      <c r="A2902" s="5" t="s">
        <v>37</v>
      </c>
      <c r="B2902" s="5" t="s">
        <v>463</v>
      </c>
      <c r="C2902" s="9">
        <v>43613</v>
      </c>
      <c r="D2902" s="5" t="s">
        <v>16</v>
      </c>
      <c r="E2902" s="5" t="s">
        <v>462</v>
      </c>
      <c r="F2902" s="6">
        <v>585</v>
      </c>
    </row>
    <row r="2903" spans="1:6" x14ac:dyDescent="0.15">
      <c r="A2903" s="5" t="s">
        <v>35</v>
      </c>
      <c r="B2903" s="5" t="s">
        <v>1497</v>
      </c>
      <c r="C2903" s="9">
        <v>43619</v>
      </c>
      <c r="D2903" s="5" t="s">
        <v>16</v>
      </c>
      <c r="E2903" s="5" t="s">
        <v>1496</v>
      </c>
      <c r="F2903" s="6">
        <v>11700</v>
      </c>
    </row>
    <row r="2904" spans="1:6" x14ac:dyDescent="0.15">
      <c r="A2904" s="5" t="s">
        <v>43</v>
      </c>
      <c r="B2904" s="5" t="s">
        <v>1426</v>
      </c>
      <c r="C2904" s="9">
        <v>43621</v>
      </c>
      <c r="D2904" s="5" t="s">
        <v>16</v>
      </c>
      <c r="E2904" s="5" t="s">
        <v>1425</v>
      </c>
      <c r="F2904" s="6">
        <v>3880</v>
      </c>
    </row>
    <row r="2905" spans="1:6" x14ac:dyDescent="0.15">
      <c r="A2905" s="5" t="s">
        <v>37</v>
      </c>
      <c r="B2905" s="5" t="s">
        <v>1427</v>
      </c>
      <c r="C2905" s="9">
        <v>43621</v>
      </c>
      <c r="D2905" s="5" t="s">
        <v>16</v>
      </c>
      <c r="E2905" s="5" t="s">
        <v>1425</v>
      </c>
      <c r="F2905" s="6">
        <v>1950</v>
      </c>
    </row>
    <row r="2906" spans="1:6" x14ac:dyDescent="0.15">
      <c r="A2906" s="5" t="s">
        <v>44</v>
      </c>
      <c r="B2906" s="5" t="s">
        <v>1428</v>
      </c>
      <c r="C2906" s="9">
        <v>43621</v>
      </c>
      <c r="D2906" s="5" t="s">
        <v>16</v>
      </c>
      <c r="E2906" s="5" t="s">
        <v>1425</v>
      </c>
      <c r="F2906" s="6">
        <v>19500</v>
      </c>
    </row>
    <row r="2907" spans="1:6" x14ac:dyDescent="0.15">
      <c r="A2907" s="5" t="s">
        <v>43</v>
      </c>
      <c r="B2907" s="5" t="s">
        <v>465</v>
      </c>
      <c r="C2907" s="9">
        <v>43619</v>
      </c>
      <c r="D2907" s="5" t="s">
        <v>16</v>
      </c>
      <c r="E2907" s="5" t="s">
        <v>464</v>
      </c>
      <c r="F2907" s="6">
        <v>921.5</v>
      </c>
    </row>
    <row r="2908" spans="1:6" x14ac:dyDescent="0.15">
      <c r="A2908" s="5" t="s">
        <v>37</v>
      </c>
      <c r="B2908" s="5" t="s">
        <v>466</v>
      </c>
      <c r="C2908" s="9">
        <v>43619</v>
      </c>
      <c r="D2908" s="5" t="s">
        <v>16</v>
      </c>
      <c r="E2908" s="5" t="s">
        <v>464</v>
      </c>
      <c r="F2908" s="6">
        <v>2730</v>
      </c>
    </row>
    <row r="2909" spans="1:6" x14ac:dyDescent="0.15">
      <c r="A2909" s="5" t="s">
        <v>35</v>
      </c>
      <c r="B2909" s="5" t="s">
        <v>468</v>
      </c>
      <c r="C2909" s="9">
        <v>43619</v>
      </c>
      <c r="D2909" s="5" t="s">
        <v>16</v>
      </c>
      <c r="E2909" s="5" t="s">
        <v>467</v>
      </c>
      <c r="F2909" s="6">
        <v>1365</v>
      </c>
    </row>
    <row r="2910" spans="1:6" x14ac:dyDescent="0.15">
      <c r="A2910" s="5" t="s">
        <v>37</v>
      </c>
      <c r="B2910" s="5" t="s">
        <v>470</v>
      </c>
      <c r="C2910" s="9">
        <v>43619</v>
      </c>
      <c r="D2910" s="5" t="s">
        <v>16</v>
      </c>
      <c r="E2910" s="5" t="s">
        <v>469</v>
      </c>
      <c r="F2910" s="6">
        <v>5362.5</v>
      </c>
    </row>
    <row r="2911" spans="1:6" x14ac:dyDescent="0.15">
      <c r="A2911" s="5" t="s">
        <v>37</v>
      </c>
      <c r="B2911" s="5" t="s">
        <v>1252</v>
      </c>
      <c r="C2911" s="9">
        <v>43627</v>
      </c>
      <c r="D2911" s="5" t="s">
        <v>16</v>
      </c>
      <c r="E2911" s="5" t="s">
        <v>1251</v>
      </c>
      <c r="F2911" s="6">
        <v>25350</v>
      </c>
    </row>
    <row r="2912" spans="1:6" x14ac:dyDescent="0.15">
      <c r="A2912" s="5" t="s">
        <v>51</v>
      </c>
      <c r="B2912" s="5" t="s">
        <v>1254</v>
      </c>
      <c r="C2912" s="9">
        <v>43647</v>
      </c>
      <c r="D2912" s="5" t="s">
        <v>16</v>
      </c>
      <c r="E2912" s="5" t="s">
        <v>1253</v>
      </c>
      <c r="F2912" s="6">
        <v>25350</v>
      </c>
    </row>
    <row r="2913" spans="1:6" x14ac:dyDescent="0.15">
      <c r="A2913" s="5" t="s">
        <v>44</v>
      </c>
      <c r="B2913" s="5" t="s">
        <v>1256</v>
      </c>
      <c r="C2913" s="9">
        <v>43647</v>
      </c>
      <c r="D2913" s="5" t="s">
        <v>16</v>
      </c>
      <c r="E2913" s="5" t="s">
        <v>1255</v>
      </c>
      <c r="F2913" s="6">
        <v>5850</v>
      </c>
    </row>
    <row r="2914" spans="1:6" x14ac:dyDescent="0.15">
      <c r="A2914" s="5" t="s">
        <v>148</v>
      </c>
      <c r="B2914" s="5" t="s">
        <v>1257</v>
      </c>
      <c r="C2914" s="9">
        <v>43647</v>
      </c>
      <c r="D2914" s="5" t="s">
        <v>16</v>
      </c>
      <c r="E2914" s="5" t="s">
        <v>1255</v>
      </c>
      <c r="F2914" s="6">
        <v>8730</v>
      </c>
    </row>
    <row r="2915" spans="1:6" x14ac:dyDescent="0.15">
      <c r="A2915" s="5" t="s">
        <v>37</v>
      </c>
      <c r="B2915" s="5" t="s">
        <v>472</v>
      </c>
      <c r="C2915" s="9">
        <v>43620</v>
      </c>
      <c r="D2915" s="5" t="s">
        <v>16</v>
      </c>
      <c r="E2915" s="5" t="s">
        <v>471</v>
      </c>
      <c r="F2915" s="6">
        <v>195</v>
      </c>
    </row>
    <row r="2916" spans="1:6" x14ac:dyDescent="0.15">
      <c r="A2916" s="5" t="s">
        <v>37</v>
      </c>
      <c r="B2916" s="5" t="s">
        <v>1259</v>
      </c>
      <c r="C2916" s="9">
        <v>43658</v>
      </c>
      <c r="D2916" s="5" t="s">
        <v>16</v>
      </c>
      <c r="E2916" s="5" t="s">
        <v>1258</v>
      </c>
      <c r="F2916" s="6">
        <v>23400</v>
      </c>
    </row>
    <row r="2917" spans="1:6" x14ac:dyDescent="0.15">
      <c r="A2917" s="5" t="s">
        <v>37</v>
      </c>
      <c r="B2917" s="5" t="s">
        <v>1261</v>
      </c>
      <c r="C2917" s="9">
        <v>43658</v>
      </c>
      <c r="D2917" s="5" t="s">
        <v>16</v>
      </c>
      <c r="E2917" s="5" t="s">
        <v>1260</v>
      </c>
      <c r="F2917" s="6">
        <v>23400</v>
      </c>
    </row>
    <row r="2918" spans="1:6" x14ac:dyDescent="0.15">
      <c r="A2918" s="5" t="s">
        <v>35</v>
      </c>
      <c r="B2918" s="5" t="s">
        <v>474</v>
      </c>
      <c r="C2918" s="9">
        <v>43621</v>
      </c>
      <c r="D2918" s="5" t="s">
        <v>16</v>
      </c>
      <c r="E2918" s="5" t="s">
        <v>473</v>
      </c>
      <c r="F2918" s="6">
        <v>3217.5</v>
      </c>
    </row>
    <row r="2919" spans="1:6" x14ac:dyDescent="0.15">
      <c r="A2919" s="5" t="s">
        <v>43</v>
      </c>
      <c r="B2919" s="5" t="s">
        <v>476</v>
      </c>
      <c r="C2919" s="9">
        <v>43621</v>
      </c>
      <c r="D2919" s="5" t="s">
        <v>16</v>
      </c>
      <c r="E2919" s="5" t="s">
        <v>475</v>
      </c>
      <c r="F2919" s="6">
        <v>2522</v>
      </c>
    </row>
    <row r="2920" spans="1:6" x14ac:dyDescent="0.15">
      <c r="A2920" s="5" t="s">
        <v>40</v>
      </c>
      <c r="B2920" s="5" t="s">
        <v>478</v>
      </c>
      <c r="C2920" s="9">
        <v>43621</v>
      </c>
      <c r="D2920" s="5" t="s">
        <v>16</v>
      </c>
      <c r="E2920" s="5" t="s">
        <v>477</v>
      </c>
      <c r="F2920" s="6">
        <v>1050</v>
      </c>
    </row>
    <row r="2921" spans="1:6" x14ac:dyDescent="0.15">
      <c r="A2921" s="5" t="s">
        <v>35</v>
      </c>
      <c r="B2921" s="5" t="s">
        <v>479</v>
      </c>
      <c r="C2921" s="9">
        <v>43621</v>
      </c>
      <c r="D2921" s="5" t="s">
        <v>16</v>
      </c>
      <c r="E2921" s="5" t="s">
        <v>477</v>
      </c>
      <c r="F2921" s="6">
        <v>487.5</v>
      </c>
    </row>
    <row r="2922" spans="1:6" x14ac:dyDescent="0.15">
      <c r="A2922" s="5" t="s">
        <v>42</v>
      </c>
      <c r="B2922" s="5" t="s">
        <v>481</v>
      </c>
      <c r="C2922" s="9">
        <v>43621</v>
      </c>
      <c r="D2922" s="5" t="s">
        <v>16</v>
      </c>
      <c r="E2922" s="5" t="s">
        <v>480</v>
      </c>
      <c r="F2922" s="6">
        <v>1800</v>
      </c>
    </row>
    <row r="2923" spans="1:6" x14ac:dyDescent="0.15">
      <c r="A2923" s="5" t="s">
        <v>37</v>
      </c>
      <c r="B2923" s="5" t="s">
        <v>482</v>
      </c>
      <c r="C2923" s="9">
        <v>43621</v>
      </c>
      <c r="D2923" s="5" t="s">
        <v>16</v>
      </c>
      <c r="E2923" s="5" t="s">
        <v>480</v>
      </c>
      <c r="F2923" s="6">
        <v>7020</v>
      </c>
    </row>
    <row r="2924" spans="1:6" x14ac:dyDescent="0.15">
      <c r="A2924" s="5" t="s">
        <v>37</v>
      </c>
      <c r="B2924" s="5" t="s">
        <v>1430</v>
      </c>
      <c r="C2924" s="9">
        <v>43623</v>
      </c>
      <c r="D2924" s="5" t="s">
        <v>16</v>
      </c>
      <c r="E2924" s="5" t="s">
        <v>1429</v>
      </c>
      <c r="F2924" s="6">
        <v>25350</v>
      </c>
    </row>
    <row r="2925" spans="1:6" x14ac:dyDescent="0.15">
      <c r="A2925" s="5" t="s">
        <v>37</v>
      </c>
      <c r="B2925" s="5" t="s">
        <v>1432</v>
      </c>
      <c r="C2925" s="9">
        <v>43623</v>
      </c>
      <c r="D2925" s="5" t="s">
        <v>16</v>
      </c>
      <c r="E2925" s="5" t="s">
        <v>1431</v>
      </c>
      <c r="F2925" s="6">
        <v>25350</v>
      </c>
    </row>
    <row r="2926" spans="1:6" x14ac:dyDescent="0.15">
      <c r="A2926" s="5" t="s">
        <v>37</v>
      </c>
      <c r="B2926" s="5" t="s">
        <v>484</v>
      </c>
      <c r="C2926" s="9">
        <v>43622</v>
      </c>
      <c r="D2926" s="5" t="s">
        <v>16</v>
      </c>
      <c r="E2926" s="5" t="s">
        <v>483</v>
      </c>
      <c r="F2926" s="6">
        <v>15600</v>
      </c>
    </row>
    <row r="2927" spans="1:6" x14ac:dyDescent="0.15">
      <c r="A2927" s="5" t="s">
        <v>37</v>
      </c>
      <c r="B2927" s="5" t="s">
        <v>1315</v>
      </c>
      <c r="C2927" s="9">
        <v>43633</v>
      </c>
      <c r="D2927" s="5" t="s">
        <v>16</v>
      </c>
      <c r="E2927" s="5" t="s">
        <v>1314</v>
      </c>
      <c r="F2927" s="6">
        <v>19305</v>
      </c>
    </row>
    <row r="2928" spans="1:6" x14ac:dyDescent="0.15">
      <c r="A2928" s="5" t="s">
        <v>43</v>
      </c>
      <c r="B2928" s="5" t="s">
        <v>1316</v>
      </c>
      <c r="C2928" s="9">
        <v>43633</v>
      </c>
      <c r="D2928" s="5" t="s">
        <v>16</v>
      </c>
      <c r="E2928" s="5" t="s">
        <v>1314</v>
      </c>
      <c r="F2928" s="6">
        <v>4268</v>
      </c>
    </row>
    <row r="2929" spans="1:6" x14ac:dyDescent="0.15">
      <c r="A2929" s="5" t="s">
        <v>57</v>
      </c>
      <c r="B2929" s="5" t="s">
        <v>1317</v>
      </c>
      <c r="C2929" s="9">
        <v>43633</v>
      </c>
      <c r="D2929" s="5" t="s">
        <v>16</v>
      </c>
      <c r="E2929" s="5" t="s">
        <v>1314</v>
      </c>
      <c r="F2929" s="6">
        <v>2134</v>
      </c>
    </row>
    <row r="2930" spans="1:6" x14ac:dyDescent="0.15">
      <c r="A2930" s="5" t="s">
        <v>41</v>
      </c>
      <c r="B2930" s="5" t="s">
        <v>1318</v>
      </c>
      <c r="C2930" s="9">
        <v>43633</v>
      </c>
      <c r="D2930" s="5" t="s">
        <v>16</v>
      </c>
      <c r="E2930" s="5" t="s">
        <v>1314</v>
      </c>
      <c r="F2930" s="6">
        <v>2134</v>
      </c>
    </row>
    <row r="2931" spans="1:6" x14ac:dyDescent="0.15">
      <c r="A2931" s="5" t="s">
        <v>35</v>
      </c>
      <c r="B2931" s="5" t="s">
        <v>485</v>
      </c>
      <c r="C2931" s="9">
        <v>43622</v>
      </c>
      <c r="D2931" s="5" t="s">
        <v>16</v>
      </c>
      <c r="E2931" s="5" t="s">
        <v>68</v>
      </c>
      <c r="F2931" s="6">
        <v>585</v>
      </c>
    </row>
    <row r="2932" spans="1:6" x14ac:dyDescent="0.15">
      <c r="A2932" s="5" t="s">
        <v>37</v>
      </c>
      <c r="B2932" s="5" t="s">
        <v>487</v>
      </c>
      <c r="C2932" s="9">
        <v>43626</v>
      </c>
      <c r="D2932" s="5" t="s">
        <v>16</v>
      </c>
      <c r="E2932" s="5" t="s">
        <v>486</v>
      </c>
      <c r="F2932" s="6">
        <v>877.5</v>
      </c>
    </row>
    <row r="2933" spans="1:6" x14ac:dyDescent="0.15">
      <c r="A2933" s="5" t="s">
        <v>43</v>
      </c>
      <c r="B2933" s="5" t="s">
        <v>489</v>
      </c>
      <c r="C2933" s="9">
        <v>43626</v>
      </c>
      <c r="D2933" s="5" t="s">
        <v>16</v>
      </c>
      <c r="E2933" s="5" t="s">
        <v>488</v>
      </c>
      <c r="F2933" s="6">
        <v>776</v>
      </c>
    </row>
    <row r="2934" spans="1:6" x14ac:dyDescent="0.15">
      <c r="A2934" s="5" t="s">
        <v>37</v>
      </c>
      <c r="B2934" s="5" t="s">
        <v>490</v>
      </c>
      <c r="C2934" s="9">
        <v>43626</v>
      </c>
      <c r="D2934" s="5" t="s">
        <v>16</v>
      </c>
      <c r="E2934" s="5" t="s">
        <v>488</v>
      </c>
      <c r="F2934" s="6">
        <v>2535</v>
      </c>
    </row>
    <row r="2935" spans="1:6" x14ac:dyDescent="0.15">
      <c r="A2935" s="5" t="s">
        <v>37</v>
      </c>
      <c r="B2935" s="5" t="s">
        <v>492</v>
      </c>
      <c r="C2935" s="9">
        <v>43626</v>
      </c>
      <c r="D2935" s="5" t="s">
        <v>16</v>
      </c>
      <c r="E2935" s="5" t="s">
        <v>491</v>
      </c>
      <c r="F2935" s="6">
        <v>19207.5</v>
      </c>
    </row>
    <row r="2936" spans="1:6" x14ac:dyDescent="0.15">
      <c r="A2936" s="5" t="s">
        <v>37</v>
      </c>
      <c r="B2936" s="5" t="s">
        <v>1434</v>
      </c>
      <c r="C2936" s="9">
        <v>43633</v>
      </c>
      <c r="D2936" s="5" t="s">
        <v>16</v>
      </c>
      <c r="E2936" s="5" t="s">
        <v>1433</v>
      </c>
      <c r="F2936" s="6">
        <v>25350</v>
      </c>
    </row>
    <row r="2937" spans="1:6" x14ac:dyDescent="0.15">
      <c r="A2937" s="5" t="s">
        <v>43</v>
      </c>
      <c r="B2937" s="5" t="s">
        <v>1435</v>
      </c>
      <c r="C2937" s="9">
        <v>43633</v>
      </c>
      <c r="D2937" s="5" t="s">
        <v>16</v>
      </c>
      <c r="E2937" s="5" t="s">
        <v>1433</v>
      </c>
      <c r="F2937" s="6">
        <v>19400</v>
      </c>
    </row>
    <row r="2938" spans="1:6" x14ac:dyDescent="0.15">
      <c r="A2938" s="5" t="s">
        <v>37</v>
      </c>
      <c r="B2938" s="5" t="s">
        <v>1437</v>
      </c>
      <c r="C2938" s="9">
        <v>43640</v>
      </c>
      <c r="D2938" s="5" t="s">
        <v>16</v>
      </c>
      <c r="E2938" s="5" t="s">
        <v>1436</v>
      </c>
      <c r="F2938" s="6">
        <v>50700</v>
      </c>
    </row>
    <row r="2939" spans="1:6" x14ac:dyDescent="0.15">
      <c r="A2939" s="5" t="s">
        <v>37</v>
      </c>
      <c r="B2939" s="5" t="s">
        <v>1361</v>
      </c>
      <c r="C2939" s="9">
        <v>43633</v>
      </c>
      <c r="D2939" s="5" t="s">
        <v>16</v>
      </c>
      <c r="E2939" s="5" t="s">
        <v>1360</v>
      </c>
      <c r="F2939" s="6">
        <v>17550</v>
      </c>
    </row>
    <row r="2940" spans="1:6" x14ac:dyDescent="0.15">
      <c r="A2940" s="5" t="s">
        <v>43</v>
      </c>
      <c r="B2940" s="5" t="s">
        <v>1362</v>
      </c>
      <c r="C2940" s="9">
        <v>43633</v>
      </c>
      <c r="D2940" s="5" t="s">
        <v>16</v>
      </c>
      <c r="E2940" s="5" t="s">
        <v>1360</v>
      </c>
      <c r="F2940" s="6">
        <v>7760</v>
      </c>
    </row>
    <row r="2941" spans="1:6" x14ac:dyDescent="0.15">
      <c r="A2941" s="5" t="s">
        <v>37</v>
      </c>
      <c r="B2941" s="5" t="s">
        <v>1364</v>
      </c>
      <c r="C2941" s="9">
        <v>43641</v>
      </c>
      <c r="D2941" s="5" t="s">
        <v>16</v>
      </c>
      <c r="E2941" s="5" t="s">
        <v>1363</v>
      </c>
      <c r="F2941" s="6">
        <v>19500</v>
      </c>
    </row>
    <row r="2942" spans="1:6" x14ac:dyDescent="0.15">
      <c r="A2942" s="5" t="s">
        <v>43</v>
      </c>
      <c r="B2942" s="5" t="s">
        <v>1365</v>
      </c>
      <c r="C2942" s="9">
        <v>43641</v>
      </c>
      <c r="D2942" s="5" t="s">
        <v>16</v>
      </c>
      <c r="E2942" s="5" t="s">
        <v>1363</v>
      </c>
      <c r="F2942" s="6">
        <v>5820</v>
      </c>
    </row>
    <row r="2943" spans="1:6" x14ac:dyDescent="0.15">
      <c r="A2943" s="5" t="s">
        <v>42</v>
      </c>
      <c r="B2943" s="5" t="s">
        <v>494</v>
      </c>
      <c r="C2943" s="9">
        <v>43627</v>
      </c>
      <c r="D2943" s="5" t="s">
        <v>16</v>
      </c>
      <c r="E2943" s="5" t="s">
        <v>493</v>
      </c>
      <c r="F2943" s="6">
        <v>900</v>
      </c>
    </row>
    <row r="2944" spans="1:6" x14ac:dyDescent="0.15">
      <c r="A2944" s="5" t="s">
        <v>37</v>
      </c>
      <c r="B2944" s="5" t="s">
        <v>495</v>
      </c>
      <c r="C2944" s="9">
        <v>43627</v>
      </c>
      <c r="D2944" s="5" t="s">
        <v>16</v>
      </c>
      <c r="E2944" s="5" t="s">
        <v>493</v>
      </c>
      <c r="F2944" s="6">
        <v>585</v>
      </c>
    </row>
    <row r="2945" spans="1:6" x14ac:dyDescent="0.15">
      <c r="A2945" s="5" t="s">
        <v>43</v>
      </c>
      <c r="B2945" s="5" t="s">
        <v>497</v>
      </c>
      <c r="C2945" s="9">
        <v>43627</v>
      </c>
      <c r="D2945" s="5" t="s">
        <v>16</v>
      </c>
      <c r="E2945" s="5" t="s">
        <v>496</v>
      </c>
      <c r="F2945" s="6">
        <v>388</v>
      </c>
    </row>
    <row r="2946" spans="1:6" x14ac:dyDescent="0.15">
      <c r="A2946" s="5" t="s">
        <v>35</v>
      </c>
      <c r="B2946" s="5" t="s">
        <v>499</v>
      </c>
      <c r="C2946" s="9">
        <v>43628</v>
      </c>
      <c r="D2946" s="5" t="s">
        <v>16</v>
      </c>
      <c r="E2946" s="5" t="s">
        <v>498</v>
      </c>
      <c r="F2946" s="6">
        <v>975</v>
      </c>
    </row>
    <row r="2947" spans="1:6" x14ac:dyDescent="0.15">
      <c r="A2947" s="5" t="s">
        <v>35</v>
      </c>
      <c r="B2947" s="5" t="s">
        <v>501</v>
      </c>
      <c r="C2947" s="9">
        <v>43627</v>
      </c>
      <c r="D2947" s="5" t="s">
        <v>16</v>
      </c>
      <c r="E2947" s="5" t="s">
        <v>500</v>
      </c>
      <c r="F2947" s="6">
        <v>13260</v>
      </c>
    </row>
    <row r="2948" spans="1:6" x14ac:dyDescent="0.15">
      <c r="A2948" s="5" t="s">
        <v>37</v>
      </c>
      <c r="B2948" s="5" t="s">
        <v>503</v>
      </c>
      <c r="C2948" s="9">
        <v>43628</v>
      </c>
      <c r="D2948" s="5" t="s">
        <v>16</v>
      </c>
      <c r="E2948" s="5" t="s">
        <v>502</v>
      </c>
      <c r="F2948" s="6">
        <v>9750</v>
      </c>
    </row>
    <row r="2949" spans="1:6" x14ac:dyDescent="0.15">
      <c r="A2949" s="5" t="s">
        <v>43</v>
      </c>
      <c r="B2949" s="5" t="s">
        <v>504</v>
      </c>
      <c r="C2949" s="9">
        <v>43629</v>
      </c>
      <c r="D2949" s="5" t="s">
        <v>16</v>
      </c>
      <c r="E2949" s="5" t="s">
        <v>69</v>
      </c>
      <c r="F2949" s="6">
        <v>2522</v>
      </c>
    </row>
    <row r="2950" spans="1:6" x14ac:dyDescent="0.15">
      <c r="A2950" s="5" t="s">
        <v>37</v>
      </c>
      <c r="B2950" s="5" t="s">
        <v>505</v>
      </c>
      <c r="C2950" s="9">
        <v>43629</v>
      </c>
      <c r="D2950" s="5" t="s">
        <v>16</v>
      </c>
      <c r="E2950" s="5" t="s">
        <v>69</v>
      </c>
      <c r="F2950" s="6">
        <v>15210</v>
      </c>
    </row>
    <row r="2951" spans="1:6" x14ac:dyDescent="0.15">
      <c r="A2951" s="5" t="s">
        <v>37</v>
      </c>
      <c r="B2951" s="5" t="s">
        <v>507</v>
      </c>
      <c r="C2951" s="9">
        <v>43630</v>
      </c>
      <c r="D2951" s="5" t="s">
        <v>16</v>
      </c>
      <c r="E2951" s="5" t="s">
        <v>506</v>
      </c>
      <c r="F2951" s="6">
        <v>3900</v>
      </c>
    </row>
    <row r="2952" spans="1:6" x14ac:dyDescent="0.15">
      <c r="A2952" s="5" t="s">
        <v>37</v>
      </c>
      <c r="B2952" s="5" t="s">
        <v>509</v>
      </c>
      <c r="C2952" s="9">
        <v>43630</v>
      </c>
      <c r="D2952" s="5" t="s">
        <v>16</v>
      </c>
      <c r="E2952" s="5" t="s">
        <v>508</v>
      </c>
      <c r="F2952" s="6">
        <v>1950</v>
      </c>
    </row>
    <row r="2953" spans="1:6" x14ac:dyDescent="0.15">
      <c r="A2953" s="5" t="s">
        <v>49</v>
      </c>
      <c r="B2953" s="5" t="s">
        <v>510</v>
      </c>
      <c r="C2953" s="9">
        <v>43630</v>
      </c>
      <c r="D2953" s="5" t="s">
        <v>16</v>
      </c>
      <c r="E2953" s="5" t="s">
        <v>508</v>
      </c>
      <c r="F2953" s="6">
        <v>1500</v>
      </c>
    </row>
    <row r="2954" spans="1:6" x14ac:dyDescent="0.15">
      <c r="A2954" s="5" t="s">
        <v>35</v>
      </c>
      <c r="B2954" s="5" t="s">
        <v>512</v>
      </c>
      <c r="C2954" s="9">
        <v>43630</v>
      </c>
      <c r="D2954" s="5" t="s">
        <v>16</v>
      </c>
      <c r="E2954" s="5" t="s">
        <v>511</v>
      </c>
      <c r="F2954" s="6">
        <v>2535</v>
      </c>
    </row>
    <row r="2955" spans="1:6" x14ac:dyDescent="0.15">
      <c r="A2955" s="5" t="s">
        <v>51</v>
      </c>
      <c r="B2955" s="5" t="s">
        <v>513</v>
      </c>
      <c r="C2955" s="9">
        <v>43630</v>
      </c>
      <c r="D2955" s="5" t="s">
        <v>16</v>
      </c>
      <c r="E2955" s="5" t="s">
        <v>511</v>
      </c>
      <c r="F2955" s="6">
        <v>7800</v>
      </c>
    </row>
    <row r="2956" spans="1:6" x14ac:dyDescent="0.15">
      <c r="A2956" s="5" t="s">
        <v>37</v>
      </c>
      <c r="B2956" s="5" t="s">
        <v>1439</v>
      </c>
      <c r="C2956" s="9">
        <v>43657</v>
      </c>
      <c r="D2956" s="5" t="s">
        <v>16</v>
      </c>
      <c r="E2956" s="5" t="s">
        <v>1438</v>
      </c>
      <c r="F2956" s="6">
        <v>50700</v>
      </c>
    </row>
    <row r="2957" spans="1:6" x14ac:dyDescent="0.15">
      <c r="A2957" s="5" t="s">
        <v>37</v>
      </c>
      <c r="B2957" s="5" t="s">
        <v>515</v>
      </c>
      <c r="C2957" s="9">
        <v>43633</v>
      </c>
      <c r="D2957" s="5" t="s">
        <v>16</v>
      </c>
      <c r="E2957" s="5" t="s">
        <v>514</v>
      </c>
      <c r="F2957" s="6">
        <v>877.5</v>
      </c>
    </row>
    <row r="2958" spans="1:6" x14ac:dyDescent="0.15">
      <c r="A2958" s="5" t="s">
        <v>35</v>
      </c>
      <c r="B2958" s="5" t="s">
        <v>517</v>
      </c>
      <c r="C2958" s="9">
        <v>43634</v>
      </c>
      <c r="D2958" s="5" t="s">
        <v>16</v>
      </c>
      <c r="E2958" s="5" t="s">
        <v>516</v>
      </c>
      <c r="F2958" s="6">
        <v>97.5</v>
      </c>
    </row>
    <row r="2959" spans="1:6" x14ac:dyDescent="0.15">
      <c r="A2959" s="5" t="s">
        <v>43</v>
      </c>
      <c r="B2959" s="5" t="s">
        <v>1499</v>
      </c>
      <c r="C2959" s="9">
        <v>43654</v>
      </c>
      <c r="D2959" s="5" t="s">
        <v>16</v>
      </c>
      <c r="E2959" s="5" t="s">
        <v>1498</v>
      </c>
      <c r="F2959" s="6">
        <v>5335</v>
      </c>
    </row>
    <row r="2960" spans="1:6" x14ac:dyDescent="0.15">
      <c r="A2960" s="5" t="s">
        <v>41</v>
      </c>
      <c r="B2960" s="5" t="s">
        <v>1500</v>
      </c>
      <c r="C2960" s="9">
        <v>43654</v>
      </c>
      <c r="D2960" s="5" t="s">
        <v>16</v>
      </c>
      <c r="E2960" s="5" t="s">
        <v>1498</v>
      </c>
      <c r="F2960" s="6">
        <v>4268</v>
      </c>
    </row>
    <row r="2961" spans="1:6" x14ac:dyDescent="0.15">
      <c r="A2961" s="5" t="s">
        <v>35</v>
      </c>
      <c r="B2961" s="5" t="s">
        <v>1501</v>
      </c>
      <c r="C2961" s="9">
        <v>43654</v>
      </c>
      <c r="D2961" s="5" t="s">
        <v>16</v>
      </c>
      <c r="E2961" s="5" t="s">
        <v>1498</v>
      </c>
      <c r="F2961" s="6">
        <v>5850</v>
      </c>
    </row>
    <row r="2962" spans="1:6" x14ac:dyDescent="0.15">
      <c r="A2962" s="5" t="s">
        <v>37</v>
      </c>
      <c r="B2962" s="5" t="s">
        <v>1502</v>
      </c>
      <c r="C2962" s="9">
        <v>43654</v>
      </c>
      <c r="D2962" s="5" t="s">
        <v>16</v>
      </c>
      <c r="E2962" s="5" t="s">
        <v>1498</v>
      </c>
      <c r="F2962" s="6">
        <v>5850</v>
      </c>
    </row>
    <row r="2963" spans="1:6" x14ac:dyDescent="0.15">
      <c r="A2963" s="5" t="s">
        <v>37</v>
      </c>
      <c r="B2963" s="5" t="s">
        <v>1367</v>
      </c>
      <c r="C2963" s="9">
        <v>43641</v>
      </c>
      <c r="D2963" s="5" t="s">
        <v>16</v>
      </c>
      <c r="E2963" s="5" t="s">
        <v>1366</v>
      </c>
      <c r="F2963" s="6">
        <v>19500</v>
      </c>
    </row>
    <row r="2964" spans="1:6" x14ac:dyDescent="0.15">
      <c r="A2964" s="5" t="s">
        <v>43</v>
      </c>
      <c r="B2964" s="5" t="s">
        <v>1368</v>
      </c>
      <c r="C2964" s="9">
        <v>43641</v>
      </c>
      <c r="D2964" s="5" t="s">
        <v>16</v>
      </c>
      <c r="E2964" s="5" t="s">
        <v>1366</v>
      </c>
      <c r="F2964" s="6">
        <v>5820</v>
      </c>
    </row>
    <row r="2965" spans="1:6" x14ac:dyDescent="0.15">
      <c r="A2965" s="5" t="s">
        <v>37</v>
      </c>
      <c r="B2965" s="5" t="s">
        <v>519</v>
      </c>
      <c r="C2965" s="9">
        <v>43640</v>
      </c>
      <c r="D2965" s="5" t="s">
        <v>16</v>
      </c>
      <c r="E2965" s="5" t="s">
        <v>518</v>
      </c>
      <c r="F2965" s="6">
        <v>3900</v>
      </c>
    </row>
    <row r="2966" spans="1:6" x14ac:dyDescent="0.15">
      <c r="A2966" s="5" t="s">
        <v>43</v>
      </c>
      <c r="B2966" s="5" t="s">
        <v>520</v>
      </c>
      <c r="C2966" s="9">
        <v>43640</v>
      </c>
      <c r="D2966" s="5" t="s">
        <v>16</v>
      </c>
      <c r="E2966" s="5" t="s">
        <v>70</v>
      </c>
      <c r="F2966" s="6">
        <v>7808.5</v>
      </c>
    </row>
    <row r="2967" spans="1:6" x14ac:dyDescent="0.15">
      <c r="A2967" s="5" t="s">
        <v>37</v>
      </c>
      <c r="B2967" s="5" t="s">
        <v>521</v>
      </c>
      <c r="C2967" s="9">
        <v>43640</v>
      </c>
      <c r="D2967" s="5" t="s">
        <v>16</v>
      </c>
      <c r="E2967" s="5" t="s">
        <v>70</v>
      </c>
      <c r="F2967" s="6">
        <v>12285</v>
      </c>
    </row>
    <row r="2968" spans="1:6" x14ac:dyDescent="0.15">
      <c r="A2968" s="5" t="s">
        <v>37</v>
      </c>
      <c r="B2968" s="5" t="s">
        <v>523</v>
      </c>
      <c r="C2968" s="9">
        <v>43640</v>
      </c>
      <c r="D2968" s="5" t="s">
        <v>16</v>
      </c>
      <c r="E2968" s="5" t="s">
        <v>522</v>
      </c>
      <c r="F2968" s="6">
        <v>9750</v>
      </c>
    </row>
    <row r="2969" spans="1:6" x14ac:dyDescent="0.15">
      <c r="A2969" s="5" t="s">
        <v>37</v>
      </c>
      <c r="B2969" s="5" t="s">
        <v>1530</v>
      </c>
      <c r="C2969" s="9">
        <v>43640</v>
      </c>
      <c r="D2969" s="5" t="s">
        <v>16</v>
      </c>
      <c r="E2969" s="5" t="s">
        <v>524</v>
      </c>
      <c r="F2969" s="6">
        <v>-19305</v>
      </c>
    </row>
    <row r="2970" spans="1:6" x14ac:dyDescent="0.15">
      <c r="A2970" s="5" t="s">
        <v>43</v>
      </c>
      <c r="B2970" s="5" t="s">
        <v>1531</v>
      </c>
      <c r="C2970" s="9">
        <v>43640</v>
      </c>
      <c r="D2970" s="5" t="s">
        <v>16</v>
      </c>
      <c r="E2970" s="5" t="s">
        <v>524</v>
      </c>
      <c r="F2970" s="6">
        <v>-4268</v>
      </c>
    </row>
    <row r="2971" spans="1:6" x14ac:dyDescent="0.15">
      <c r="A2971" s="5" t="s">
        <v>57</v>
      </c>
      <c r="B2971" s="5" t="s">
        <v>1532</v>
      </c>
      <c r="C2971" s="9">
        <v>43640</v>
      </c>
      <c r="D2971" s="5" t="s">
        <v>16</v>
      </c>
      <c r="E2971" s="5" t="s">
        <v>524</v>
      </c>
      <c r="F2971" s="6">
        <v>-291</v>
      </c>
    </row>
    <row r="2972" spans="1:6" x14ac:dyDescent="0.15">
      <c r="A2972" s="5" t="s">
        <v>57</v>
      </c>
      <c r="B2972" s="5" t="s">
        <v>1532</v>
      </c>
      <c r="C2972" s="9">
        <v>43640</v>
      </c>
      <c r="D2972" s="5" t="s">
        <v>16</v>
      </c>
      <c r="E2972" s="5" t="s">
        <v>524</v>
      </c>
      <c r="F2972" s="6">
        <v>-1843</v>
      </c>
    </row>
    <row r="2973" spans="1:6" x14ac:dyDescent="0.15">
      <c r="A2973" s="5" t="s">
        <v>41</v>
      </c>
      <c r="B2973" s="5" t="s">
        <v>1533</v>
      </c>
      <c r="C2973" s="9">
        <v>43640</v>
      </c>
      <c r="D2973" s="5" t="s">
        <v>16</v>
      </c>
      <c r="E2973" s="5" t="s">
        <v>524</v>
      </c>
      <c r="F2973" s="6">
        <v>-2085.5</v>
      </c>
    </row>
    <row r="2974" spans="1:6" x14ac:dyDescent="0.15">
      <c r="A2974" s="5" t="s">
        <v>41</v>
      </c>
      <c r="B2974" s="5" t="s">
        <v>1533</v>
      </c>
      <c r="C2974" s="9">
        <v>43640</v>
      </c>
      <c r="D2974" s="5" t="s">
        <v>16</v>
      </c>
      <c r="E2974" s="5" t="s">
        <v>524</v>
      </c>
      <c r="F2974" s="6">
        <v>-48.5</v>
      </c>
    </row>
    <row r="2975" spans="1:6" x14ac:dyDescent="0.15">
      <c r="A2975" s="5" t="s">
        <v>37</v>
      </c>
      <c r="B2975" s="5" t="s">
        <v>1320</v>
      </c>
      <c r="C2975" s="9">
        <v>43641</v>
      </c>
      <c r="D2975" s="5" t="s">
        <v>16</v>
      </c>
      <c r="E2975" s="5" t="s">
        <v>1319</v>
      </c>
      <c r="F2975" s="6">
        <v>21450</v>
      </c>
    </row>
    <row r="2976" spans="1:6" x14ac:dyDescent="0.15">
      <c r="A2976" s="5" t="s">
        <v>43</v>
      </c>
      <c r="B2976" s="5" t="s">
        <v>1321</v>
      </c>
      <c r="C2976" s="9">
        <v>43641</v>
      </c>
      <c r="D2976" s="5" t="s">
        <v>16</v>
      </c>
      <c r="E2976" s="5" t="s">
        <v>1319</v>
      </c>
      <c r="F2976" s="6">
        <v>2134</v>
      </c>
    </row>
    <row r="2977" spans="1:6" x14ac:dyDescent="0.15">
      <c r="A2977" s="5" t="s">
        <v>57</v>
      </c>
      <c r="B2977" s="5" t="s">
        <v>1322</v>
      </c>
      <c r="C2977" s="9">
        <v>43641</v>
      </c>
      <c r="D2977" s="5" t="s">
        <v>16</v>
      </c>
      <c r="E2977" s="5" t="s">
        <v>1319</v>
      </c>
      <c r="F2977" s="6">
        <v>2134</v>
      </c>
    </row>
    <row r="2978" spans="1:6" x14ac:dyDescent="0.15">
      <c r="A2978" s="5" t="s">
        <v>41</v>
      </c>
      <c r="B2978" s="5" t="s">
        <v>1323</v>
      </c>
      <c r="C2978" s="9">
        <v>43641</v>
      </c>
      <c r="D2978" s="5" t="s">
        <v>16</v>
      </c>
      <c r="E2978" s="5" t="s">
        <v>1319</v>
      </c>
      <c r="F2978" s="6">
        <v>2134</v>
      </c>
    </row>
    <row r="2979" spans="1:6" x14ac:dyDescent="0.15">
      <c r="A2979" s="5" t="s">
        <v>37</v>
      </c>
      <c r="B2979" s="5" t="s">
        <v>526</v>
      </c>
      <c r="C2979" s="9">
        <v>43640</v>
      </c>
      <c r="D2979" s="5" t="s">
        <v>16</v>
      </c>
      <c r="E2979" s="5" t="s">
        <v>525</v>
      </c>
      <c r="F2979" s="6">
        <v>4680</v>
      </c>
    </row>
    <row r="2980" spans="1:6" x14ac:dyDescent="0.15">
      <c r="A2980" s="5" t="s">
        <v>35</v>
      </c>
      <c r="B2980" s="5" t="s">
        <v>528</v>
      </c>
      <c r="C2980" s="9">
        <v>43640</v>
      </c>
      <c r="D2980" s="5" t="s">
        <v>16</v>
      </c>
      <c r="E2980" s="5" t="s">
        <v>527</v>
      </c>
      <c r="F2980" s="6">
        <v>585</v>
      </c>
    </row>
    <row r="2981" spans="1:6" x14ac:dyDescent="0.15">
      <c r="A2981" s="5" t="s">
        <v>37</v>
      </c>
      <c r="B2981" s="5" t="s">
        <v>530</v>
      </c>
      <c r="C2981" s="9">
        <v>43641</v>
      </c>
      <c r="D2981" s="5" t="s">
        <v>16</v>
      </c>
      <c r="E2981" s="5" t="s">
        <v>529</v>
      </c>
      <c r="F2981" s="6">
        <v>6240</v>
      </c>
    </row>
    <row r="2982" spans="1:6" x14ac:dyDescent="0.15">
      <c r="A2982" s="5" t="s">
        <v>42</v>
      </c>
      <c r="B2982" s="5" t="s">
        <v>1184</v>
      </c>
      <c r="C2982" s="9">
        <v>43642</v>
      </c>
      <c r="D2982" s="5" t="s">
        <v>16</v>
      </c>
      <c r="E2982" s="5" t="s">
        <v>1183</v>
      </c>
      <c r="F2982" s="6">
        <v>3000</v>
      </c>
    </row>
    <row r="2983" spans="1:6" x14ac:dyDescent="0.15">
      <c r="A2983" s="5" t="s">
        <v>58</v>
      </c>
      <c r="B2983" s="5" t="s">
        <v>1263</v>
      </c>
      <c r="C2983" s="9">
        <v>43647</v>
      </c>
      <c r="D2983" s="5" t="s">
        <v>16</v>
      </c>
      <c r="E2983" s="5" t="s">
        <v>1262</v>
      </c>
      <c r="F2983" s="6">
        <v>5625</v>
      </c>
    </row>
    <row r="2984" spans="1:6" x14ac:dyDescent="0.15">
      <c r="A2984" s="5" t="s">
        <v>158</v>
      </c>
      <c r="B2984" s="5" t="s">
        <v>1264</v>
      </c>
      <c r="C2984" s="9">
        <v>43647</v>
      </c>
      <c r="D2984" s="5" t="s">
        <v>16</v>
      </c>
      <c r="E2984" s="5" t="s">
        <v>1262</v>
      </c>
      <c r="F2984" s="6">
        <v>4680</v>
      </c>
    </row>
    <row r="2985" spans="1:6" x14ac:dyDescent="0.15">
      <c r="A2985" s="5" t="s">
        <v>40</v>
      </c>
      <c r="B2985" s="5" t="s">
        <v>1265</v>
      </c>
      <c r="C2985" s="9">
        <v>43647</v>
      </c>
      <c r="D2985" s="5" t="s">
        <v>16</v>
      </c>
      <c r="E2985" s="5" t="s">
        <v>1262</v>
      </c>
      <c r="F2985" s="6">
        <v>6000</v>
      </c>
    </row>
    <row r="2986" spans="1:6" x14ac:dyDescent="0.15">
      <c r="A2986" s="5" t="s">
        <v>51</v>
      </c>
      <c r="B2986" s="5" t="s">
        <v>532</v>
      </c>
      <c r="C2986" s="9">
        <v>43643</v>
      </c>
      <c r="D2986" s="5" t="s">
        <v>16</v>
      </c>
      <c r="E2986" s="5" t="s">
        <v>531</v>
      </c>
      <c r="F2986" s="6">
        <v>15600</v>
      </c>
    </row>
    <row r="2987" spans="1:6" x14ac:dyDescent="0.15">
      <c r="A2987" s="5" t="s">
        <v>53</v>
      </c>
      <c r="B2987" s="5" t="s">
        <v>533</v>
      </c>
      <c r="C2987" s="9">
        <v>43643</v>
      </c>
      <c r="D2987" s="5" t="s">
        <v>16</v>
      </c>
      <c r="E2987" s="5" t="s">
        <v>531</v>
      </c>
      <c r="F2987" s="6">
        <v>3900</v>
      </c>
    </row>
    <row r="2988" spans="1:6" x14ac:dyDescent="0.15">
      <c r="A2988" s="5" t="s">
        <v>51</v>
      </c>
      <c r="B2988" s="5" t="s">
        <v>534</v>
      </c>
      <c r="C2988" s="9">
        <v>43643</v>
      </c>
      <c r="D2988" s="5" t="s">
        <v>16</v>
      </c>
      <c r="E2988" s="5" t="s">
        <v>531</v>
      </c>
      <c r="F2988" s="6">
        <v>1950</v>
      </c>
    </row>
    <row r="2989" spans="1:6" x14ac:dyDescent="0.15">
      <c r="A2989" s="5" t="s">
        <v>44</v>
      </c>
      <c r="B2989" s="5" t="s">
        <v>1441</v>
      </c>
      <c r="C2989" s="9">
        <v>43691</v>
      </c>
      <c r="D2989" s="5" t="s">
        <v>16</v>
      </c>
      <c r="E2989" s="5" t="s">
        <v>1440</v>
      </c>
      <c r="F2989" s="6">
        <v>38707.5</v>
      </c>
    </row>
    <row r="2990" spans="1:6" x14ac:dyDescent="0.15">
      <c r="A2990" s="5" t="s">
        <v>46</v>
      </c>
      <c r="B2990" s="5" t="s">
        <v>1186</v>
      </c>
      <c r="C2990" s="9">
        <v>43647</v>
      </c>
      <c r="D2990" s="5" t="s">
        <v>16</v>
      </c>
      <c r="E2990" s="5" t="s">
        <v>1185</v>
      </c>
      <c r="F2990" s="6">
        <v>339.5</v>
      </c>
    </row>
    <row r="2991" spans="1:6" x14ac:dyDescent="0.15">
      <c r="A2991" s="5" t="s">
        <v>37</v>
      </c>
      <c r="B2991" s="5" t="s">
        <v>1443</v>
      </c>
      <c r="C2991" s="9">
        <v>43663</v>
      </c>
      <c r="D2991" s="5" t="s">
        <v>16</v>
      </c>
      <c r="E2991" s="5" t="s">
        <v>1442</v>
      </c>
      <c r="F2991" s="6">
        <v>13650</v>
      </c>
    </row>
    <row r="2992" spans="1:6" x14ac:dyDescent="0.15">
      <c r="A2992" s="5" t="s">
        <v>35</v>
      </c>
      <c r="B2992" s="5" t="s">
        <v>536</v>
      </c>
      <c r="C2992" s="9">
        <v>43647</v>
      </c>
      <c r="D2992" s="5" t="s">
        <v>16</v>
      </c>
      <c r="E2992" s="5" t="s">
        <v>535</v>
      </c>
      <c r="F2992" s="6">
        <v>3607.5</v>
      </c>
    </row>
    <row r="2993" spans="1:6" x14ac:dyDescent="0.15">
      <c r="A2993" s="5" t="s">
        <v>37</v>
      </c>
      <c r="B2993" s="5" t="s">
        <v>538</v>
      </c>
      <c r="C2993" s="9">
        <v>43662</v>
      </c>
      <c r="D2993" s="5" t="s">
        <v>16</v>
      </c>
      <c r="E2993" s="5" t="s">
        <v>537</v>
      </c>
      <c r="F2993" s="6">
        <v>1950</v>
      </c>
    </row>
    <row r="2994" spans="1:6" x14ac:dyDescent="0.15">
      <c r="A2994" s="5" t="s">
        <v>37</v>
      </c>
      <c r="B2994" s="5" t="s">
        <v>538</v>
      </c>
      <c r="C2994" s="9">
        <v>43662</v>
      </c>
      <c r="D2994" s="5" t="s">
        <v>16</v>
      </c>
      <c r="E2994" s="5" t="s">
        <v>537</v>
      </c>
      <c r="F2994" s="6">
        <v>1950</v>
      </c>
    </row>
    <row r="2995" spans="1:6" x14ac:dyDescent="0.15">
      <c r="A2995" s="5" t="s">
        <v>42</v>
      </c>
      <c r="B2995" s="5" t="s">
        <v>539</v>
      </c>
      <c r="C2995" s="9">
        <v>43647</v>
      </c>
      <c r="D2995" s="5" t="s">
        <v>16</v>
      </c>
      <c r="E2995" s="5" t="s">
        <v>71</v>
      </c>
      <c r="F2995" s="6">
        <v>1350</v>
      </c>
    </row>
    <row r="2996" spans="1:6" x14ac:dyDescent="0.15">
      <c r="A2996" s="5" t="s">
        <v>37</v>
      </c>
      <c r="B2996" s="5" t="s">
        <v>540</v>
      </c>
      <c r="C2996" s="9">
        <v>43647</v>
      </c>
      <c r="D2996" s="5" t="s">
        <v>16</v>
      </c>
      <c r="E2996" s="5" t="s">
        <v>71</v>
      </c>
      <c r="F2996" s="6">
        <v>1755</v>
      </c>
    </row>
    <row r="2997" spans="1:6" x14ac:dyDescent="0.15">
      <c r="A2997" s="5" t="s">
        <v>37</v>
      </c>
      <c r="B2997" s="5" t="s">
        <v>542</v>
      </c>
      <c r="C2997" s="9">
        <v>43647</v>
      </c>
      <c r="D2997" s="5" t="s">
        <v>16</v>
      </c>
      <c r="E2997" s="5" t="s">
        <v>541</v>
      </c>
      <c r="F2997" s="6">
        <v>11700</v>
      </c>
    </row>
    <row r="2998" spans="1:6" x14ac:dyDescent="0.15">
      <c r="A2998" s="5" t="s">
        <v>35</v>
      </c>
      <c r="B2998" s="5" t="s">
        <v>543</v>
      </c>
      <c r="C2998" s="9">
        <v>43648</v>
      </c>
      <c r="D2998" s="5" t="s">
        <v>16</v>
      </c>
      <c r="E2998" s="5" t="s">
        <v>72</v>
      </c>
      <c r="F2998" s="6">
        <v>22425</v>
      </c>
    </row>
    <row r="2999" spans="1:6" x14ac:dyDescent="0.15">
      <c r="A2999" s="5" t="s">
        <v>35</v>
      </c>
      <c r="B2999" s="5" t="s">
        <v>545</v>
      </c>
      <c r="C2999" s="9">
        <v>43648</v>
      </c>
      <c r="D2999" s="5" t="s">
        <v>16</v>
      </c>
      <c r="E2999" s="5" t="s">
        <v>544</v>
      </c>
      <c r="F2999" s="6">
        <v>11992.5</v>
      </c>
    </row>
    <row r="3000" spans="1:6" x14ac:dyDescent="0.15">
      <c r="A3000" s="5" t="s">
        <v>55</v>
      </c>
      <c r="B3000" s="5" t="s">
        <v>546</v>
      </c>
      <c r="C3000" s="9">
        <v>43648</v>
      </c>
      <c r="D3000" s="5" t="s">
        <v>16</v>
      </c>
      <c r="E3000" s="5" t="s">
        <v>544</v>
      </c>
      <c r="F3000" s="6">
        <v>550</v>
      </c>
    </row>
    <row r="3001" spans="1:6" x14ac:dyDescent="0.15">
      <c r="A3001" s="5" t="s">
        <v>37</v>
      </c>
      <c r="B3001" s="5" t="s">
        <v>547</v>
      </c>
      <c r="C3001" s="9">
        <v>43649</v>
      </c>
      <c r="D3001" s="5" t="s">
        <v>16</v>
      </c>
      <c r="E3001" s="5" t="s">
        <v>73</v>
      </c>
      <c r="F3001" s="6">
        <v>487.5</v>
      </c>
    </row>
    <row r="3002" spans="1:6" x14ac:dyDescent="0.15">
      <c r="A3002" s="5" t="s">
        <v>37</v>
      </c>
      <c r="B3002" s="5" t="s">
        <v>550</v>
      </c>
      <c r="C3002" s="9">
        <v>43649</v>
      </c>
      <c r="D3002" s="5" t="s">
        <v>16</v>
      </c>
      <c r="E3002" s="5" t="s">
        <v>549</v>
      </c>
      <c r="F3002" s="6">
        <v>4485</v>
      </c>
    </row>
    <row r="3003" spans="1:6" x14ac:dyDescent="0.15">
      <c r="A3003" s="5" t="s">
        <v>37</v>
      </c>
      <c r="B3003" s="5" t="s">
        <v>548</v>
      </c>
      <c r="C3003" s="9">
        <v>43649</v>
      </c>
      <c r="D3003" s="5" t="s">
        <v>16</v>
      </c>
      <c r="E3003" s="5" t="s">
        <v>73</v>
      </c>
      <c r="F3003" s="6">
        <v>-487.5</v>
      </c>
    </row>
    <row r="3004" spans="1:6" x14ac:dyDescent="0.15">
      <c r="A3004" s="5" t="s">
        <v>43</v>
      </c>
      <c r="B3004" s="5" t="s">
        <v>552</v>
      </c>
      <c r="C3004" s="9">
        <v>43649</v>
      </c>
      <c r="D3004" s="5" t="s">
        <v>16</v>
      </c>
      <c r="E3004" s="5" t="s">
        <v>551</v>
      </c>
      <c r="F3004" s="6">
        <v>485</v>
      </c>
    </row>
    <row r="3005" spans="1:6" x14ac:dyDescent="0.15">
      <c r="A3005" s="5" t="s">
        <v>53</v>
      </c>
      <c r="B3005" s="5" t="s">
        <v>554</v>
      </c>
      <c r="C3005" s="9">
        <v>43650</v>
      </c>
      <c r="D3005" s="5" t="s">
        <v>16</v>
      </c>
      <c r="E3005" s="5" t="s">
        <v>553</v>
      </c>
      <c r="F3005" s="6">
        <v>97.5</v>
      </c>
    </row>
    <row r="3006" spans="1:6" x14ac:dyDescent="0.15">
      <c r="A3006" s="5" t="s">
        <v>35</v>
      </c>
      <c r="B3006" s="5" t="s">
        <v>556</v>
      </c>
      <c r="C3006" s="9">
        <v>43651</v>
      </c>
      <c r="D3006" s="5" t="s">
        <v>16</v>
      </c>
      <c r="E3006" s="5" t="s">
        <v>555</v>
      </c>
      <c r="F3006" s="6">
        <v>97.5</v>
      </c>
    </row>
    <row r="3007" spans="1:6" x14ac:dyDescent="0.15">
      <c r="A3007" s="5" t="s">
        <v>53</v>
      </c>
      <c r="B3007" s="5" t="s">
        <v>1445</v>
      </c>
      <c r="C3007" s="9">
        <v>43677</v>
      </c>
      <c r="D3007" s="5" t="s">
        <v>16</v>
      </c>
      <c r="E3007" s="5" t="s">
        <v>1444</v>
      </c>
      <c r="F3007" s="6">
        <v>9750</v>
      </c>
    </row>
    <row r="3008" spans="1:6" x14ac:dyDescent="0.15">
      <c r="A3008" s="5" t="s">
        <v>37</v>
      </c>
      <c r="B3008" s="5" t="s">
        <v>1446</v>
      </c>
      <c r="C3008" s="9">
        <v>43677</v>
      </c>
      <c r="D3008" s="5" t="s">
        <v>16</v>
      </c>
      <c r="E3008" s="5" t="s">
        <v>1444</v>
      </c>
      <c r="F3008" s="6">
        <v>7800</v>
      </c>
    </row>
    <row r="3009" spans="1:6" x14ac:dyDescent="0.15">
      <c r="A3009" s="5" t="s">
        <v>44</v>
      </c>
      <c r="B3009" s="5" t="s">
        <v>1447</v>
      </c>
      <c r="C3009" s="9">
        <v>43677</v>
      </c>
      <c r="D3009" s="5" t="s">
        <v>16</v>
      </c>
      <c r="E3009" s="5" t="s">
        <v>1444</v>
      </c>
      <c r="F3009" s="6">
        <v>7800</v>
      </c>
    </row>
    <row r="3010" spans="1:6" x14ac:dyDescent="0.15">
      <c r="A3010" s="5" t="s">
        <v>41</v>
      </c>
      <c r="B3010" s="5" t="s">
        <v>558</v>
      </c>
      <c r="C3010" s="9">
        <v>43654</v>
      </c>
      <c r="D3010" s="5" t="s">
        <v>16</v>
      </c>
      <c r="E3010" s="5" t="s">
        <v>557</v>
      </c>
      <c r="F3010" s="6">
        <v>3686</v>
      </c>
    </row>
    <row r="3011" spans="1:6" x14ac:dyDescent="0.15">
      <c r="A3011" s="5" t="s">
        <v>37</v>
      </c>
      <c r="B3011" s="5" t="s">
        <v>560</v>
      </c>
      <c r="C3011" s="9">
        <v>43654</v>
      </c>
      <c r="D3011" s="5" t="s">
        <v>16</v>
      </c>
      <c r="E3011" s="5" t="s">
        <v>559</v>
      </c>
      <c r="F3011" s="6">
        <v>9750</v>
      </c>
    </row>
    <row r="3012" spans="1:6" x14ac:dyDescent="0.15">
      <c r="A3012" s="5" t="s">
        <v>37</v>
      </c>
      <c r="B3012" s="5" t="s">
        <v>562</v>
      </c>
      <c r="C3012" s="9">
        <v>43654</v>
      </c>
      <c r="D3012" s="5" t="s">
        <v>16</v>
      </c>
      <c r="E3012" s="5" t="s">
        <v>561</v>
      </c>
      <c r="F3012" s="6">
        <v>3997.5</v>
      </c>
    </row>
    <row r="3013" spans="1:6" x14ac:dyDescent="0.15">
      <c r="A3013" s="5" t="s">
        <v>37</v>
      </c>
      <c r="B3013" s="5" t="s">
        <v>564</v>
      </c>
      <c r="C3013" s="9">
        <v>43654</v>
      </c>
      <c r="D3013" s="5" t="s">
        <v>16</v>
      </c>
      <c r="E3013" s="5" t="s">
        <v>563</v>
      </c>
      <c r="F3013" s="6">
        <v>3997.5</v>
      </c>
    </row>
    <row r="3014" spans="1:6" x14ac:dyDescent="0.15">
      <c r="A3014" s="5" t="s">
        <v>42</v>
      </c>
      <c r="B3014" s="5" t="s">
        <v>565</v>
      </c>
      <c r="C3014" s="9">
        <v>43654</v>
      </c>
      <c r="D3014" s="5" t="s">
        <v>16</v>
      </c>
      <c r="E3014" s="5" t="s">
        <v>563</v>
      </c>
      <c r="F3014" s="6">
        <v>2025</v>
      </c>
    </row>
    <row r="3015" spans="1:6" x14ac:dyDescent="0.15">
      <c r="A3015" s="5" t="s">
        <v>37</v>
      </c>
      <c r="B3015" s="5" t="s">
        <v>566</v>
      </c>
      <c r="C3015" s="9">
        <v>43654</v>
      </c>
      <c r="D3015" s="5" t="s">
        <v>16</v>
      </c>
      <c r="E3015" s="5" t="s">
        <v>74</v>
      </c>
      <c r="F3015" s="6">
        <v>390</v>
      </c>
    </row>
    <row r="3016" spans="1:6" x14ac:dyDescent="0.15">
      <c r="A3016" s="5" t="s">
        <v>37</v>
      </c>
      <c r="B3016" s="5" t="s">
        <v>567</v>
      </c>
      <c r="C3016" s="9">
        <v>43654</v>
      </c>
      <c r="D3016" s="5" t="s">
        <v>16</v>
      </c>
      <c r="E3016" s="5" t="s">
        <v>75</v>
      </c>
      <c r="F3016" s="6">
        <v>1950</v>
      </c>
    </row>
    <row r="3017" spans="1:6" x14ac:dyDescent="0.15">
      <c r="A3017" s="5" t="s">
        <v>43</v>
      </c>
      <c r="B3017" s="5" t="s">
        <v>568</v>
      </c>
      <c r="C3017" s="9">
        <v>43654</v>
      </c>
      <c r="D3017" s="5" t="s">
        <v>16</v>
      </c>
      <c r="E3017" s="5" t="s">
        <v>75</v>
      </c>
      <c r="F3017" s="6">
        <v>970</v>
      </c>
    </row>
    <row r="3018" spans="1:6" x14ac:dyDescent="0.15">
      <c r="A3018" s="5" t="s">
        <v>43</v>
      </c>
      <c r="B3018" s="5" t="s">
        <v>1370</v>
      </c>
      <c r="C3018" s="9">
        <v>43665</v>
      </c>
      <c r="D3018" s="5" t="s">
        <v>16</v>
      </c>
      <c r="E3018" s="5" t="s">
        <v>1369</v>
      </c>
      <c r="F3018" s="6">
        <v>5820</v>
      </c>
    </row>
    <row r="3019" spans="1:6" x14ac:dyDescent="0.15">
      <c r="A3019" s="5" t="s">
        <v>37</v>
      </c>
      <c r="B3019" s="5" t="s">
        <v>1371</v>
      </c>
      <c r="C3019" s="9">
        <v>43665</v>
      </c>
      <c r="D3019" s="5" t="s">
        <v>16</v>
      </c>
      <c r="E3019" s="5" t="s">
        <v>1369</v>
      </c>
      <c r="F3019" s="6">
        <v>19500</v>
      </c>
    </row>
    <row r="3020" spans="1:6" x14ac:dyDescent="0.15">
      <c r="A3020" s="5" t="s">
        <v>43</v>
      </c>
      <c r="B3020" s="5" t="s">
        <v>570</v>
      </c>
      <c r="C3020" s="9">
        <v>43655</v>
      </c>
      <c r="D3020" s="5" t="s">
        <v>16</v>
      </c>
      <c r="E3020" s="5" t="s">
        <v>569</v>
      </c>
      <c r="F3020" s="6">
        <v>485</v>
      </c>
    </row>
    <row r="3021" spans="1:6" x14ac:dyDescent="0.15">
      <c r="A3021" s="5" t="s">
        <v>37</v>
      </c>
      <c r="B3021" s="5" t="s">
        <v>571</v>
      </c>
      <c r="C3021" s="9">
        <v>43655</v>
      </c>
      <c r="D3021" s="5" t="s">
        <v>16</v>
      </c>
      <c r="E3021" s="5" t="s">
        <v>569</v>
      </c>
      <c r="F3021" s="6">
        <v>1950</v>
      </c>
    </row>
    <row r="3022" spans="1:6" x14ac:dyDescent="0.15">
      <c r="A3022" s="5" t="s">
        <v>44</v>
      </c>
      <c r="B3022" s="5" t="s">
        <v>1535</v>
      </c>
      <c r="C3022" s="9">
        <v>43655</v>
      </c>
      <c r="D3022" s="5" t="s">
        <v>16</v>
      </c>
      <c r="E3022" s="5" t="s">
        <v>1534</v>
      </c>
      <c r="F3022" s="6">
        <v>-5850</v>
      </c>
    </row>
    <row r="3023" spans="1:6" x14ac:dyDescent="0.15">
      <c r="A3023" s="5" t="s">
        <v>148</v>
      </c>
      <c r="B3023" s="5" t="s">
        <v>1536</v>
      </c>
      <c r="C3023" s="9">
        <v>43655</v>
      </c>
      <c r="D3023" s="5" t="s">
        <v>16</v>
      </c>
      <c r="E3023" s="5" t="s">
        <v>1534</v>
      </c>
      <c r="F3023" s="6">
        <v>-8730</v>
      </c>
    </row>
    <row r="3024" spans="1:6" x14ac:dyDescent="0.15">
      <c r="A3024" s="5" t="s">
        <v>37</v>
      </c>
      <c r="B3024" s="5" t="s">
        <v>572</v>
      </c>
      <c r="C3024" s="9">
        <v>43655</v>
      </c>
      <c r="D3024" s="5" t="s">
        <v>16</v>
      </c>
      <c r="E3024" s="5" t="s">
        <v>76</v>
      </c>
      <c r="F3024" s="6">
        <v>487.5</v>
      </c>
    </row>
    <row r="3025" spans="1:6" x14ac:dyDescent="0.15">
      <c r="A3025" s="5" t="s">
        <v>35</v>
      </c>
      <c r="B3025" s="5" t="s">
        <v>574</v>
      </c>
      <c r="C3025" s="9">
        <v>43656</v>
      </c>
      <c r="D3025" s="5" t="s">
        <v>16</v>
      </c>
      <c r="E3025" s="5" t="s">
        <v>573</v>
      </c>
      <c r="F3025" s="6">
        <v>3900</v>
      </c>
    </row>
    <row r="3026" spans="1:6" x14ac:dyDescent="0.15">
      <c r="A3026" s="5" t="s">
        <v>66</v>
      </c>
      <c r="B3026" s="5" t="s">
        <v>1373</v>
      </c>
      <c r="C3026" s="9">
        <v>43661</v>
      </c>
      <c r="D3026" s="5" t="s">
        <v>16</v>
      </c>
      <c r="E3026" s="5" t="s">
        <v>1372</v>
      </c>
      <c r="F3026" s="6">
        <v>5820</v>
      </c>
    </row>
    <row r="3027" spans="1:6" x14ac:dyDescent="0.15">
      <c r="A3027" s="5" t="s">
        <v>37</v>
      </c>
      <c r="B3027" s="5" t="s">
        <v>1374</v>
      </c>
      <c r="C3027" s="9">
        <v>43661</v>
      </c>
      <c r="D3027" s="5" t="s">
        <v>16</v>
      </c>
      <c r="E3027" s="5" t="s">
        <v>1372</v>
      </c>
      <c r="F3027" s="6">
        <v>13650</v>
      </c>
    </row>
    <row r="3028" spans="1:6" x14ac:dyDescent="0.15">
      <c r="A3028" s="5" t="s">
        <v>43</v>
      </c>
      <c r="B3028" s="5" t="s">
        <v>1375</v>
      </c>
      <c r="C3028" s="9">
        <v>43661</v>
      </c>
      <c r="D3028" s="5" t="s">
        <v>16</v>
      </c>
      <c r="E3028" s="5" t="s">
        <v>1372</v>
      </c>
      <c r="F3028" s="6">
        <v>5820</v>
      </c>
    </row>
    <row r="3029" spans="1:6" x14ac:dyDescent="0.15">
      <c r="A3029" s="5" t="s">
        <v>44</v>
      </c>
      <c r="B3029" s="5" t="s">
        <v>1267</v>
      </c>
      <c r="C3029" s="9">
        <v>43657</v>
      </c>
      <c r="D3029" s="5" t="s">
        <v>16</v>
      </c>
      <c r="E3029" s="5" t="s">
        <v>1266</v>
      </c>
      <c r="F3029" s="6">
        <v>5850</v>
      </c>
    </row>
    <row r="3030" spans="1:6" x14ac:dyDescent="0.15">
      <c r="A3030" s="5" t="s">
        <v>148</v>
      </c>
      <c r="B3030" s="5" t="s">
        <v>1268</v>
      </c>
      <c r="C3030" s="9">
        <v>43657</v>
      </c>
      <c r="D3030" s="5" t="s">
        <v>16</v>
      </c>
      <c r="E3030" s="5" t="s">
        <v>1266</v>
      </c>
      <c r="F3030" s="6">
        <v>8730</v>
      </c>
    </row>
    <row r="3031" spans="1:6" x14ac:dyDescent="0.15">
      <c r="A3031" s="5" t="s">
        <v>43</v>
      </c>
      <c r="B3031" s="5" t="s">
        <v>575</v>
      </c>
      <c r="C3031" s="9">
        <v>43656</v>
      </c>
      <c r="D3031" s="5" t="s">
        <v>16</v>
      </c>
      <c r="E3031" s="5" t="s">
        <v>77</v>
      </c>
      <c r="F3031" s="6">
        <v>436.5</v>
      </c>
    </row>
    <row r="3032" spans="1:6" x14ac:dyDescent="0.15">
      <c r="A3032" s="5" t="s">
        <v>35</v>
      </c>
      <c r="B3032" s="5" t="s">
        <v>576</v>
      </c>
      <c r="C3032" s="9">
        <v>43656</v>
      </c>
      <c r="D3032" s="5" t="s">
        <v>16</v>
      </c>
      <c r="E3032" s="5" t="s">
        <v>77</v>
      </c>
      <c r="F3032" s="6">
        <v>873</v>
      </c>
    </row>
    <row r="3033" spans="1:6" x14ac:dyDescent="0.15">
      <c r="A3033" s="5" t="s">
        <v>37</v>
      </c>
      <c r="B3033" s="5" t="s">
        <v>578</v>
      </c>
      <c r="C3033" s="9">
        <v>43657</v>
      </c>
      <c r="D3033" s="5" t="s">
        <v>16</v>
      </c>
      <c r="E3033" s="5" t="s">
        <v>577</v>
      </c>
      <c r="F3033" s="6">
        <v>5850</v>
      </c>
    </row>
    <row r="3034" spans="1:6" x14ac:dyDescent="0.15">
      <c r="A3034" s="5" t="s">
        <v>37</v>
      </c>
      <c r="B3034" s="5" t="s">
        <v>580</v>
      </c>
      <c r="C3034" s="9">
        <v>43658</v>
      </c>
      <c r="D3034" s="5" t="s">
        <v>16</v>
      </c>
      <c r="E3034" s="5" t="s">
        <v>579</v>
      </c>
      <c r="F3034" s="6">
        <v>1950</v>
      </c>
    </row>
    <row r="3035" spans="1:6" x14ac:dyDescent="0.15">
      <c r="A3035" s="5" t="s">
        <v>53</v>
      </c>
      <c r="B3035" s="5" t="s">
        <v>582</v>
      </c>
      <c r="C3035" s="9">
        <v>43658</v>
      </c>
      <c r="D3035" s="5" t="s">
        <v>16</v>
      </c>
      <c r="E3035" s="5" t="s">
        <v>581</v>
      </c>
      <c r="F3035" s="6">
        <v>5947.5</v>
      </c>
    </row>
    <row r="3036" spans="1:6" x14ac:dyDescent="0.15">
      <c r="A3036" s="5" t="s">
        <v>64</v>
      </c>
      <c r="B3036" s="5" t="s">
        <v>583</v>
      </c>
      <c r="C3036" s="9">
        <v>43658</v>
      </c>
      <c r="D3036" s="5" t="s">
        <v>16</v>
      </c>
      <c r="E3036" s="5" t="s">
        <v>581</v>
      </c>
      <c r="F3036" s="6">
        <v>9075</v>
      </c>
    </row>
    <row r="3037" spans="1:6" x14ac:dyDescent="0.15">
      <c r="A3037" s="5" t="s">
        <v>57</v>
      </c>
      <c r="B3037" s="5" t="s">
        <v>584</v>
      </c>
      <c r="C3037" s="9">
        <v>43658</v>
      </c>
      <c r="D3037" s="5" t="s">
        <v>16</v>
      </c>
      <c r="E3037" s="5" t="s">
        <v>581</v>
      </c>
      <c r="F3037" s="6">
        <v>1503.5</v>
      </c>
    </row>
    <row r="3038" spans="1:6" x14ac:dyDescent="0.15">
      <c r="A3038" s="5" t="s">
        <v>49</v>
      </c>
      <c r="B3038" s="5" t="s">
        <v>585</v>
      </c>
      <c r="C3038" s="9">
        <v>43658</v>
      </c>
      <c r="D3038" s="5" t="s">
        <v>16</v>
      </c>
      <c r="E3038" s="5" t="s">
        <v>581</v>
      </c>
      <c r="F3038" s="6">
        <v>1500</v>
      </c>
    </row>
    <row r="3039" spans="1:6" x14ac:dyDescent="0.15">
      <c r="A3039" s="5" t="s">
        <v>37</v>
      </c>
      <c r="B3039" s="5" t="s">
        <v>587</v>
      </c>
      <c r="C3039" s="9">
        <v>43658</v>
      </c>
      <c r="D3039" s="5" t="s">
        <v>16</v>
      </c>
      <c r="E3039" s="5" t="s">
        <v>586</v>
      </c>
      <c r="F3039" s="6">
        <v>5167.5</v>
      </c>
    </row>
    <row r="3040" spans="1:6" x14ac:dyDescent="0.15">
      <c r="A3040" s="5" t="s">
        <v>37</v>
      </c>
      <c r="B3040" s="5" t="s">
        <v>1377</v>
      </c>
      <c r="C3040" s="9">
        <v>43675</v>
      </c>
      <c r="D3040" s="5" t="s">
        <v>16</v>
      </c>
      <c r="E3040" s="5" t="s">
        <v>1376</v>
      </c>
      <c r="F3040" s="6">
        <v>19500</v>
      </c>
    </row>
    <row r="3041" spans="1:6" x14ac:dyDescent="0.15">
      <c r="A3041" s="5" t="s">
        <v>43</v>
      </c>
      <c r="B3041" s="5" t="s">
        <v>1378</v>
      </c>
      <c r="C3041" s="9">
        <v>43675</v>
      </c>
      <c r="D3041" s="5" t="s">
        <v>16</v>
      </c>
      <c r="E3041" s="5" t="s">
        <v>1376</v>
      </c>
      <c r="F3041" s="6">
        <v>5820</v>
      </c>
    </row>
    <row r="3042" spans="1:6" x14ac:dyDescent="0.15">
      <c r="A3042" s="5" t="s">
        <v>37</v>
      </c>
      <c r="B3042" s="5" t="s">
        <v>589</v>
      </c>
      <c r="C3042" s="9">
        <v>43658</v>
      </c>
      <c r="D3042" s="5" t="s">
        <v>16</v>
      </c>
      <c r="E3042" s="5" t="s">
        <v>588</v>
      </c>
      <c r="F3042" s="6">
        <v>5070</v>
      </c>
    </row>
    <row r="3043" spans="1:6" x14ac:dyDescent="0.15">
      <c r="A3043" s="5" t="s">
        <v>44</v>
      </c>
      <c r="B3043" s="5" t="s">
        <v>590</v>
      </c>
      <c r="C3043" s="9">
        <v>43661</v>
      </c>
      <c r="D3043" s="5" t="s">
        <v>16</v>
      </c>
      <c r="E3043" s="5" t="s">
        <v>78</v>
      </c>
      <c r="F3043" s="6">
        <v>487.5</v>
      </c>
    </row>
    <row r="3044" spans="1:6" x14ac:dyDescent="0.15">
      <c r="A3044" s="5" t="s">
        <v>44</v>
      </c>
      <c r="B3044" s="5" t="s">
        <v>592</v>
      </c>
      <c r="C3044" s="9">
        <v>43661</v>
      </c>
      <c r="D3044" s="5" t="s">
        <v>16</v>
      </c>
      <c r="E3044" s="5" t="s">
        <v>591</v>
      </c>
      <c r="F3044" s="6">
        <v>97.5</v>
      </c>
    </row>
    <row r="3045" spans="1:6" x14ac:dyDescent="0.15">
      <c r="A3045" s="5" t="s">
        <v>37</v>
      </c>
      <c r="B3045" s="5" t="s">
        <v>1504</v>
      </c>
      <c r="C3045" s="9">
        <v>43685</v>
      </c>
      <c r="D3045" s="5" t="s">
        <v>16</v>
      </c>
      <c r="E3045" s="5" t="s">
        <v>1503</v>
      </c>
      <c r="F3045" s="6">
        <v>13650</v>
      </c>
    </row>
    <row r="3046" spans="1:6" x14ac:dyDescent="0.15">
      <c r="A3046" s="5" t="s">
        <v>37</v>
      </c>
      <c r="B3046" s="5" t="s">
        <v>593</v>
      </c>
      <c r="C3046" s="9">
        <v>43662</v>
      </c>
      <c r="D3046" s="5" t="s">
        <v>16</v>
      </c>
      <c r="E3046" s="5" t="s">
        <v>79</v>
      </c>
      <c r="F3046" s="6">
        <v>25057.5</v>
      </c>
    </row>
    <row r="3047" spans="1:6" x14ac:dyDescent="0.15">
      <c r="A3047" s="5" t="s">
        <v>35</v>
      </c>
      <c r="B3047" s="5" t="s">
        <v>594</v>
      </c>
      <c r="C3047" s="9">
        <v>43662</v>
      </c>
      <c r="D3047" s="5" t="s">
        <v>16</v>
      </c>
      <c r="E3047" s="5" t="s">
        <v>80</v>
      </c>
      <c r="F3047" s="6">
        <v>975</v>
      </c>
    </row>
    <row r="3048" spans="1:6" x14ac:dyDescent="0.15">
      <c r="A3048" s="5" t="s">
        <v>41</v>
      </c>
      <c r="B3048" s="5" t="s">
        <v>596</v>
      </c>
      <c r="C3048" s="9">
        <v>43663</v>
      </c>
      <c r="D3048" s="5" t="s">
        <v>16</v>
      </c>
      <c r="E3048" s="5" t="s">
        <v>595</v>
      </c>
      <c r="F3048" s="6">
        <v>1697.5</v>
      </c>
    </row>
    <row r="3049" spans="1:6" x14ac:dyDescent="0.15">
      <c r="A3049" s="5" t="s">
        <v>40</v>
      </c>
      <c r="B3049" s="5" t="s">
        <v>597</v>
      </c>
      <c r="C3049" s="9">
        <v>43663</v>
      </c>
      <c r="D3049" s="5" t="s">
        <v>16</v>
      </c>
      <c r="E3049" s="5" t="s">
        <v>595</v>
      </c>
      <c r="F3049" s="6">
        <v>3975</v>
      </c>
    </row>
    <row r="3050" spans="1:6" x14ac:dyDescent="0.15">
      <c r="A3050" s="5" t="s">
        <v>35</v>
      </c>
      <c r="B3050" s="5" t="s">
        <v>598</v>
      </c>
      <c r="C3050" s="9">
        <v>43663</v>
      </c>
      <c r="D3050" s="5" t="s">
        <v>16</v>
      </c>
      <c r="E3050" s="5" t="s">
        <v>595</v>
      </c>
      <c r="F3050" s="6">
        <v>6922.5</v>
      </c>
    </row>
    <row r="3051" spans="1:6" x14ac:dyDescent="0.15">
      <c r="A3051" s="5" t="s">
        <v>40</v>
      </c>
      <c r="B3051" s="5" t="s">
        <v>599</v>
      </c>
      <c r="C3051" s="9">
        <v>43663</v>
      </c>
      <c r="D3051" s="5" t="s">
        <v>16</v>
      </c>
      <c r="E3051" s="5" t="s">
        <v>81</v>
      </c>
      <c r="F3051" s="6">
        <v>4050</v>
      </c>
    </row>
    <row r="3052" spans="1:6" x14ac:dyDescent="0.15">
      <c r="A3052" s="5" t="s">
        <v>43</v>
      </c>
      <c r="B3052" s="5" t="s">
        <v>601</v>
      </c>
      <c r="C3052" s="9">
        <v>43663</v>
      </c>
      <c r="D3052" s="5" t="s">
        <v>16</v>
      </c>
      <c r="E3052" s="5" t="s">
        <v>600</v>
      </c>
      <c r="F3052" s="6">
        <v>533.5</v>
      </c>
    </row>
    <row r="3053" spans="1:6" x14ac:dyDescent="0.15">
      <c r="A3053" s="5" t="s">
        <v>37</v>
      </c>
      <c r="B3053" s="5" t="s">
        <v>602</v>
      </c>
      <c r="C3053" s="9">
        <v>43663</v>
      </c>
      <c r="D3053" s="5" t="s">
        <v>16</v>
      </c>
      <c r="E3053" s="5" t="s">
        <v>600</v>
      </c>
      <c r="F3053" s="6">
        <v>5752.5</v>
      </c>
    </row>
    <row r="3054" spans="1:6" x14ac:dyDescent="0.15">
      <c r="A3054" s="5" t="s">
        <v>65</v>
      </c>
      <c r="B3054" s="5" t="s">
        <v>1449</v>
      </c>
      <c r="C3054" s="9">
        <v>43683</v>
      </c>
      <c r="D3054" s="5" t="s">
        <v>16</v>
      </c>
      <c r="E3054" s="5" t="s">
        <v>1448</v>
      </c>
      <c r="F3054" s="6">
        <v>1500</v>
      </c>
    </row>
    <row r="3055" spans="1:6" x14ac:dyDescent="0.15">
      <c r="A3055" s="5" t="s">
        <v>44</v>
      </c>
      <c r="B3055" s="5" t="s">
        <v>1450</v>
      </c>
      <c r="C3055" s="9">
        <v>43683</v>
      </c>
      <c r="D3055" s="5" t="s">
        <v>16</v>
      </c>
      <c r="E3055" s="5" t="s">
        <v>1448</v>
      </c>
      <c r="F3055" s="6">
        <v>7800</v>
      </c>
    </row>
    <row r="3056" spans="1:6" x14ac:dyDescent="0.15">
      <c r="A3056" s="5" t="s">
        <v>46</v>
      </c>
      <c r="B3056" s="5" t="s">
        <v>1270</v>
      </c>
      <c r="C3056" s="9">
        <v>43682</v>
      </c>
      <c r="D3056" s="5" t="s">
        <v>16</v>
      </c>
      <c r="E3056" s="5" t="s">
        <v>1269</v>
      </c>
      <c r="F3056" s="6">
        <v>3880</v>
      </c>
    </row>
    <row r="3057" spans="1:6" x14ac:dyDescent="0.15">
      <c r="A3057" s="5" t="s">
        <v>65</v>
      </c>
      <c r="B3057" s="5" t="s">
        <v>1271</v>
      </c>
      <c r="C3057" s="9">
        <v>43682</v>
      </c>
      <c r="D3057" s="5" t="s">
        <v>16</v>
      </c>
      <c r="E3057" s="5" t="s">
        <v>1269</v>
      </c>
      <c r="F3057" s="6">
        <v>6000</v>
      </c>
    </row>
    <row r="3058" spans="1:6" x14ac:dyDescent="0.15">
      <c r="A3058" s="5" t="s">
        <v>57</v>
      </c>
      <c r="B3058" s="5" t="s">
        <v>1272</v>
      </c>
      <c r="C3058" s="9">
        <v>43682</v>
      </c>
      <c r="D3058" s="5" t="s">
        <v>16</v>
      </c>
      <c r="E3058" s="5" t="s">
        <v>1269</v>
      </c>
      <c r="F3058" s="6">
        <v>5820</v>
      </c>
    </row>
    <row r="3059" spans="1:6" x14ac:dyDescent="0.15">
      <c r="A3059" s="5" t="s">
        <v>64</v>
      </c>
      <c r="B3059" s="5" t="s">
        <v>1273</v>
      </c>
      <c r="C3059" s="9">
        <v>43682</v>
      </c>
      <c r="D3059" s="5" t="s">
        <v>16</v>
      </c>
      <c r="E3059" s="5" t="s">
        <v>1269</v>
      </c>
      <c r="F3059" s="6">
        <v>3000</v>
      </c>
    </row>
    <row r="3060" spans="1:6" x14ac:dyDescent="0.15">
      <c r="A3060" s="5" t="s">
        <v>158</v>
      </c>
      <c r="B3060" s="5" t="s">
        <v>1274</v>
      </c>
      <c r="C3060" s="9">
        <v>43682</v>
      </c>
      <c r="D3060" s="5" t="s">
        <v>16</v>
      </c>
      <c r="E3060" s="5" t="s">
        <v>1269</v>
      </c>
      <c r="F3060" s="6">
        <v>2340</v>
      </c>
    </row>
    <row r="3061" spans="1:6" x14ac:dyDescent="0.15">
      <c r="A3061" s="5" t="s">
        <v>43</v>
      </c>
      <c r="B3061" s="5" t="s">
        <v>1188</v>
      </c>
      <c r="C3061" s="9">
        <v>43664</v>
      </c>
      <c r="D3061" s="5" t="s">
        <v>16</v>
      </c>
      <c r="E3061" s="5" t="s">
        <v>1187</v>
      </c>
      <c r="F3061" s="6">
        <v>388</v>
      </c>
    </row>
    <row r="3062" spans="1:6" x14ac:dyDescent="0.15">
      <c r="A3062" s="5" t="s">
        <v>148</v>
      </c>
      <c r="B3062" s="5" t="s">
        <v>1276</v>
      </c>
      <c r="C3062" s="9">
        <v>43682</v>
      </c>
      <c r="D3062" s="5" t="s">
        <v>16</v>
      </c>
      <c r="E3062" s="5" t="s">
        <v>1275</v>
      </c>
      <c r="F3062" s="6">
        <v>10767</v>
      </c>
    </row>
    <row r="3063" spans="1:6" x14ac:dyDescent="0.15">
      <c r="A3063" s="5" t="s">
        <v>43</v>
      </c>
      <c r="B3063" s="5" t="s">
        <v>1399</v>
      </c>
      <c r="C3063" s="9">
        <v>43724</v>
      </c>
      <c r="D3063" s="5" t="s">
        <v>16</v>
      </c>
      <c r="E3063" s="5" t="s">
        <v>1398</v>
      </c>
      <c r="F3063" s="6">
        <v>13580</v>
      </c>
    </row>
    <row r="3064" spans="1:6" x14ac:dyDescent="0.15">
      <c r="A3064" s="5" t="s">
        <v>37</v>
      </c>
      <c r="B3064" s="5" t="s">
        <v>1400</v>
      </c>
      <c r="C3064" s="9">
        <v>43724</v>
      </c>
      <c r="D3064" s="5" t="s">
        <v>16</v>
      </c>
      <c r="E3064" s="5" t="s">
        <v>1398</v>
      </c>
      <c r="F3064" s="6">
        <v>3900</v>
      </c>
    </row>
    <row r="3065" spans="1:6" x14ac:dyDescent="0.15">
      <c r="A3065" s="5" t="s">
        <v>41</v>
      </c>
      <c r="B3065" s="5" t="s">
        <v>1401</v>
      </c>
      <c r="C3065" s="9">
        <v>43724</v>
      </c>
      <c r="D3065" s="5" t="s">
        <v>16</v>
      </c>
      <c r="E3065" s="5" t="s">
        <v>1398</v>
      </c>
      <c r="F3065" s="6">
        <v>1940</v>
      </c>
    </row>
    <row r="3066" spans="1:6" x14ac:dyDescent="0.15">
      <c r="A3066" s="5" t="s">
        <v>35</v>
      </c>
      <c r="B3066" s="5" t="s">
        <v>1402</v>
      </c>
      <c r="C3066" s="9">
        <v>43724</v>
      </c>
      <c r="D3066" s="5" t="s">
        <v>16</v>
      </c>
      <c r="E3066" s="5" t="s">
        <v>1398</v>
      </c>
      <c r="F3066" s="6">
        <v>7800</v>
      </c>
    </row>
    <row r="3067" spans="1:6" x14ac:dyDescent="0.15">
      <c r="A3067" s="5" t="s">
        <v>44</v>
      </c>
      <c r="B3067" s="5" t="s">
        <v>1403</v>
      </c>
      <c r="C3067" s="9">
        <v>43724</v>
      </c>
      <c r="D3067" s="5" t="s">
        <v>16</v>
      </c>
      <c r="E3067" s="5" t="s">
        <v>1398</v>
      </c>
      <c r="F3067" s="6">
        <v>5850</v>
      </c>
    </row>
    <row r="3068" spans="1:6" x14ac:dyDescent="0.15">
      <c r="A3068" s="5" t="s">
        <v>35</v>
      </c>
      <c r="B3068" s="5" t="s">
        <v>604</v>
      </c>
      <c r="C3068" s="9">
        <v>43664</v>
      </c>
      <c r="D3068" s="5" t="s">
        <v>16</v>
      </c>
      <c r="E3068" s="5" t="s">
        <v>603</v>
      </c>
      <c r="F3068" s="6">
        <v>97.5</v>
      </c>
    </row>
    <row r="3069" spans="1:6" x14ac:dyDescent="0.15">
      <c r="A3069" s="5" t="s">
        <v>43</v>
      </c>
      <c r="B3069" s="5" t="s">
        <v>605</v>
      </c>
      <c r="C3069" s="9">
        <v>43664</v>
      </c>
      <c r="D3069" s="5" t="s">
        <v>16</v>
      </c>
      <c r="E3069" s="5" t="s">
        <v>82</v>
      </c>
      <c r="F3069" s="6">
        <v>48.5</v>
      </c>
    </row>
    <row r="3070" spans="1:6" x14ac:dyDescent="0.15">
      <c r="A3070" s="5" t="s">
        <v>49</v>
      </c>
      <c r="B3070" s="5" t="s">
        <v>607</v>
      </c>
      <c r="C3070" s="9">
        <v>43665</v>
      </c>
      <c r="D3070" s="5" t="s">
        <v>16</v>
      </c>
      <c r="E3070" s="5" t="s">
        <v>606</v>
      </c>
      <c r="F3070" s="6">
        <v>100</v>
      </c>
    </row>
    <row r="3071" spans="1:6" x14ac:dyDescent="0.15">
      <c r="A3071" s="5" t="s">
        <v>37</v>
      </c>
      <c r="B3071" s="5" t="s">
        <v>609</v>
      </c>
      <c r="C3071" s="9">
        <v>43664</v>
      </c>
      <c r="D3071" s="5" t="s">
        <v>16</v>
      </c>
      <c r="E3071" s="5" t="s">
        <v>608</v>
      </c>
      <c r="F3071" s="6">
        <v>195</v>
      </c>
    </row>
    <row r="3072" spans="1:6" x14ac:dyDescent="0.15">
      <c r="A3072" s="5" t="s">
        <v>43</v>
      </c>
      <c r="B3072" s="5" t="s">
        <v>611</v>
      </c>
      <c r="C3072" s="9">
        <v>43668</v>
      </c>
      <c r="D3072" s="5" t="s">
        <v>16</v>
      </c>
      <c r="E3072" s="5" t="s">
        <v>610</v>
      </c>
      <c r="F3072" s="6">
        <v>6062.5</v>
      </c>
    </row>
    <row r="3073" spans="1:6" x14ac:dyDescent="0.15">
      <c r="A3073" s="5" t="s">
        <v>42</v>
      </c>
      <c r="B3073" s="5" t="s">
        <v>612</v>
      </c>
      <c r="C3073" s="9">
        <v>43668</v>
      </c>
      <c r="D3073" s="5" t="s">
        <v>16</v>
      </c>
      <c r="E3073" s="5" t="s">
        <v>610</v>
      </c>
      <c r="F3073" s="6">
        <v>4650</v>
      </c>
    </row>
    <row r="3074" spans="1:6" x14ac:dyDescent="0.15">
      <c r="A3074" s="5" t="s">
        <v>37</v>
      </c>
      <c r="B3074" s="5" t="s">
        <v>613</v>
      </c>
      <c r="C3074" s="9">
        <v>43668</v>
      </c>
      <c r="D3074" s="5" t="s">
        <v>16</v>
      </c>
      <c r="E3074" s="5" t="s">
        <v>610</v>
      </c>
      <c r="F3074" s="6">
        <v>6045</v>
      </c>
    </row>
    <row r="3075" spans="1:6" x14ac:dyDescent="0.15">
      <c r="A3075" s="5" t="s">
        <v>43</v>
      </c>
      <c r="B3075" s="5" t="s">
        <v>615</v>
      </c>
      <c r="C3075" s="9">
        <v>43668</v>
      </c>
      <c r="D3075" s="5" t="s">
        <v>16</v>
      </c>
      <c r="E3075" s="5" t="s">
        <v>614</v>
      </c>
      <c r="F3075" s="6">
        <v>1843</v>
      </c>
    </row>
    <row r="3076" spans="1:6" x14ac:dyDescent="0.15">
      <c r="A3076" s="5" t="s">
        <v>44</v>
      </c>
      <c r="B3076" s="5" t="s">
        <v>616</v>
      </c>
      <c r="C3076" s="9">
        <v>43668</v>
      </c>
      <c r="D3076" s="5" t="s">
        <v>16</v>
      </c>
      <c r="E3076" s="5" t="s">
        <v>83</v>
      </c>
      <c r="F3076" s="6">
        <v>10042.5</v>
      </c>
    </row>
    <row r="3077" spans="1:6" x14ac:dyDescent="0.15">
      <c r="A3077" s="5" t="s">
        <v>37</v>
      </c>
      <c r="B3077" s="5" t="s">
        <v>618</v>
      </c>
      <c r="C3077" s="9">
        <v>43670</v>
      </c>
      <c r="D3077" s="5" t="s">
        <v>16</v>
      </c>
      <c r="E3077" s="5" t="s">
        <v>617</v>
      </c>
      <c r="F3077" s="6">
        <v>10042.5</v>
      </c>
    </row>
    <row r="3078" spans="1:6" x14ac:dyDescent="0.15">
      <c r="A3078" s="5" t="s">
        <v>40</v>
      </c>
      <c r="B3078" s="5" t="s">
        <v>619</v>
      </c>
      <c r="C3078" s="9">
        <v>43670</v>
      </c>
      <c r="D3078" s="5" t="s">
        <v>16</v>
      </c>
      <c r="E3078" s="5" t="s">
        <v>617</v>
      </c>
      <c r="F3078" s="6">
        <v>6000</v>
      </c>
    </row>
    <row r="3079" spans="1:6" x14ac:dyDescent="0.15">
      <c r="A3079" s="5" t="s">
        <v>35</v>
      </c>
      <c r="B3079" s="5" t="s">
        <v>620</v>
      </c>
      <c r="C3079" s="9">
        <v>43670</v>
      </c>
      <c r="D3079" s="5" t="s">
        <v>16</v>
      </c>
      <c r="E3079" s="5" t="s">
        <v>617</v>
      </c>
      <c r="F3079" s="6">
        <v>6045</v>
      </c>
    </row>
    <row r="3080" spans="1:6" x14ac:dyDescent="0.15">
      <c r="A3080" s="5" t="s">
        <v>37</v>
      </c>
      <c r="B3080" s="5" t="s">
        <v>621</v>
      </c>
      <c r="C3080" s="9">
        <v>43669</v>
      </c>
      <c r="D3080" s="5" t="s">
        <v>16</v>
      </c>
      <c r="E3080" s="5" t="s">
        <v>84</v>
      </c>
      <c r="F3080" s="6">
        <v>1365</v>
      </c>
    </row>
    <row r="3081" spans="1:6" x14ac:dyDescent="0.15">
      <c r="A3081" s="5" t="s">
        <v>37</v>
      </c>
      <c r="B3081" s="5" t="s">
        <v>622</v>
      </c>
      <c r="C3081" s="9">
        <v>43670</v>
      </c>
      <c r="D3081" s="5" t="s">
        <v>16</v>
      </c>
      <c r="E3081" s="5" t="s">
        <v>85</v>
      </c>
      <c r="F3081" s="6">
        <v>7995</v>
      </c>
    </row>
    <row r="3082" spans="1:6" x14ac:dyDescent="0.15">
      <c r="A3082" s="5" t="s">
        <v>35</v>
      </c>
      <c r="B3082" s="5" t="s">
        <v>624</v>
      </c>
      <c r="C3082" s="9">
        <v>43670</v>
      </c>
      <c r="D3082" s="5" t="s">
        <v>16</v>
      </c>
      <c r="E3082" s="5" t="s">
        <v>623</v>
      </c>
      <c r="F3082" s="6">
        <v>7800</v>
      </c>
    </row>
    <row r="3083" spans="1:6" x14ac:dyDescent="0.15">
      <c r="A3083" s="5" t="s">
        <v>37</v>
      </c>
      <c r="B3083" s="5" t="s">
        <v>625</v>
      </c>
      <c r="C3083" s="9">
        <v>43670</v>
      </c>
      <c r="D3083" s="5" t="s">
        <v>16</v>
      </c>
      <c r="E3083" s="5" t="s">
        <v>623</v>
      </c>
      <c r="F3083" s="6">
        <v>12285</v>
      </c>
    </row>
    <row r="3084" spans="1:6" x14ac:dyDescent="0.15">
      <c r="A3084" s="5" t="s">
        <v>41</v>
      </c>
      <c r="B3084" s="5" t="s">
        <v>626</v>
      </c>
      <c r="C3084" s="9">
        <v>43670</v>
      </c>
      <c r="D3084" s="5" t="s">
        <v>16</v>
      </c>
      <c r="E3084" s="5" t="s">
        <v>86</v>
      </c>
      <c r="F3084" s="6">
        <v>1649</v>
      </c>
    </row>
    <row r="3085" spans="1:6" x14ac:dyDescent="0.15">
      <c r="A3085" s="5" t="s">
        <v>40</v>
      </c>
      <c r="B3085" s="5" t="s">
        <v>627</v>
      </c>
      <c r="C3085" s="9">
        <v>43670</v>
      </c>
      <c r="D3085" s="5" t="s">
        <v>16</v>
      </c>
      <c r="E3085" s="5" t="s">
        <v>86</v>
      </c>
      <c r="F3085" s="6">
        <v>2700</v>
      </c>
    </row>
    <row r="3086" spans="1:6" x14ac:dyDescent="0.15">
      <c r="A3086" s="5" t="s">
        <v>40</v>
      </c>
      <c r="B3086" s="5" t="s">
        <v>627</v>
      </c>
      <c r="C3086" s="9">
        <v>43670</v>
      </c>
      <c r="D3086" s="5" t="s">
        <v>16</v>
      </c>
      <c r="E3086" s="5" t="s">
        <v>86</v>
      </c>
      <c r="F3086" s="6">
        <v>1275</v>
      </c>
    </row>
    <row r="3087" spans="1:6" x14ac:dyDescent="0.15">
      <c r="A3087" s="5" t="s">
        <v>35</v>
      </c>
      <c r="B3087" s="5" t="s">
        <v>628</v>
      </c>
      <c r="C3087" s="9">
        <v>43670</v>
      </c>
      <c r="D3087" s="5" t="s">
        <v>16</v>
      </c>
      <c r="E3087" s="5" t="s">
        <v>86</v>
      </c>
      <c r="F3087" s="6">
        <v>6922.5</v>
      </c>
    </row>
    <row r="3088" spans="1:6" x14ac:dyDescent="0.15">
      <c r="A3088" s="5" t="s">
        <v>64</v>
      </c>
      <c r="B3088" s="5" t="s">
        <v>629</v>
      </c>
      <c r="C3088" s="9">
        <v>43669</v>
      </c>
      <c r="D3088" s="5" t="s">
        <v>16</v>
      </c>
      <c r="E3088" s="5" t="s">
        <v>87</v>
      </c>
      <c r="F3088" s="6">
        <v>9300</v>
      </c>
    </row>
    <row r="3089" spans="1:6" x14ac:dyDescent="0.15">
      <c r="A3089" s="5" t="s">
        <v>43</v>
      </c>
      <c r="B3089" s="5" t="s">
        <v>1505</v>
      </c>
      <c r="C3089" s="9">
        <v>43685</v>
      </c>
      <c r="D3089" s="5" t="s">
        <v>16</v>
      </c>
      <c r="E3089" s="5" t="s">
        <v>1503</v>
      </c>
      <c r="F3089" s="6">
        <v>5335</v>
      </c>
    </row>
    <row r="3090" spans="1:6" x14ac:dyDescent="0.15">
      <c r="A3090" s="5" t="s">
        <v>35</v>
      </c>
      <c r="B3090" s="5" t="s">
        <v>1506</v>
      </c>
      <c r="C3090" s="9">
        <v>43685</v>
      </c>
      <c r="D3090" s="5" t="s">
        <v>16</v>
      </c>
      <c r="E3090" s="5" t="s">
        <v>1503</v>
      </c>
      <c r="F3090" s="6">
        <v>3900</v>
      </c>
    </row>
    <row r="3091" spans="1:6" x14ac:dyDescent="0.15">
      <c r="A3091" s="5" t="s">
        <v>35</v>
      </c>
      <c r="B3091" s="5" t="s">
        <v>1325</v>
      </c>
      <c r="C3091" s="9">
        <v>43686</v>
      </c>
      <c r="D3091" s="5" t="s">
        <v>16</v>
      </c>
      <c r="E3091" s="5" t="s">
        <v>1324</v>
      </c>
      <c r="F3091" s="6">
        <v>21450</v>
      </c>
    </row>
    <row r="3092" spans="1:6" x14ac:dyDescent="0.15">
      <c r="A3092" s="5" t="s">
        <v>41</v>
      </c>
      <c r="B3092" s="5" t="s">
        <v>1326</v>
      </c>
      <c r="C3092" s="9">
        <v>43686</v>
      </c>
      <c r="D3092" s="5" t="s">
        <v>16</v>
      </c>
      <c r="E3092" s="5" t="s">
        <v>1324</v>
      </c>
      <c r="F3092" s="6">
        <v>6402</v>
      </c>
    </row>
    <row r="3093" spans="1:6" x14ac:dyDescent="0.15">
      <c r="A3093" s="5" t="s">
        <v>35</v>
      </c>
      <c r="B3093" s="5" t="s">
        <v>1328</v>
      </c>
      <c r="C3093" s="9">
        <v>43697</v>
      </c>
      <c r="D3093" s="5" t="s">
        <v>16</v>
      </c>
      <c r="E3093" s="5" t="s">
        <v>1327</v>
      </c>
      <c r="F3093" s="6">
        <v>21450</v>
      </c>
    </row>
    <row r="3094" spans="1:6" x14ac:dyDescent="0.15">
      <c r="A3094" s="5" t="s">
        <v>41</v>
      </c>
      <c r="B3094" s="5" t="s">
        <v>1329</v>
      </c>
      <c r="C3094" s="9">
        <v>43697</v>
      </c>
      <c r="D3094" s="5" t="s">
        <v>16</v>
      </c>
      <c r="E3094" s="5" t="s">
        <v>1327</v>
      </c>
      <c r="F3094" s="6">
        <v>6402</v>
      </c>
    </row>
    <row r="3095" spans="1:6" x14ac:dyDescent="0.15">
      <c r="A3095" s="5" t="s">
        <v>43</v>
      </c>
      <c r="B3095" s="5" t="s">
        <v>630</v>
      </c>
      <c r="C3095" s="9">
        <v>43671</v>
      </c>
      <c r="D3095" s="5" t="s">
        <v>16</v>
      </c>
      <c r="E3095" s="5" t="s">
        <v>88</v>
      </c>
      <c r="F3095" s="6">
        <v>97</v>
      </c>
    </row>
    <row r="3096" spans="1:6" x14ac:dyDescent="0.15">
      <c r="A3096" s="5" t="s">
        <v>37</v>
      </c>
      <c r="B3096" s="5" t="s">
        <v>631</v>
      </c>
      <c r="C3096" s="9">
        <v>43671</v>
      </c>
      <c r="D3096" s="5" t="s">
        <v>16</v>
      </c>
      <c r="E3096" s="5" t="s">
        <v>89</v>
      </c>
      <c r="F3096" s="6">
        <v>1950</v>
      </c>
    </row>
    <row r="3097" spans="1:6" x14ac:dyDescent="0.15">
      <c r="A3097" s="5" t="s">
        <v>35</v>
      </c>
      <c r="B3097" s="5" t="s">
        <v>633</v>
      </c>
      <c r="C3097" s="9">
        <v>43671</v>
      </c>
      <c r="D3097" s="5" t="s">
        <v>16</v>
      </c>
      <c r="E3097" s="5" t="s">
        <v>632</v>
      </c>
      <c r="F3097" s="6">
        <v>4972.5</v>
      </c>
    </row>
    <row r="3098" spans="1:6" x14ac:dyDescent="0.15">
      <c r="A3098" s="5" t="s">
        <v>40</v>
      </c>
      <c r="B3098" s="5" t="s">
        <v>634</v>
      </c>
      <c r="C3098" s="9">
        <v>43671</v>
      </c>
      <c r="D3098" s="5" t="s">
        <v>16</v>
      </c>
      <c r="E3098" s="5" t="s">
        <v>90</v>
      </c>
      <c r="F3098" s="6">
        <v>-2700</v>
      </c>
    </row>
    <row r="3099" spans="1:6" x14ac:dyDescent="0.15">
      <c r="A3099" s="5" t="s">
        <v>35</v>
      </c>
      <c r="B3099" s="5" t="s">
        <v>636</v>
      </c>
      <c r="C3099" s="9">
        <v>43672</v>
      </c>
      <c r="D3099" s="5" t="s">
        <v>16</v>
      </c>
      <c r="E3099" s="5" t="s">
        <v>635</v>
      </c>
      <c r="F3099" s="6">
        <v>-7800</v>
      </c>
    </row>
    <row r="3100" spans="1:6" x14ac:dyDescent="0.15">
      <c r="A3100" s="5" t="s">
        <v>37</v>
      </c>
      <c r="B3100" s="5" t="s">
        <v>637</v>
      </c>
      <c r="C3100" s="9">
        <v>43672</v>
      </c>
      <c r="D3100" s="5" t="s">
        <v>16</v>
      </c>
      <c r="E3100" s="5" t="s">
        <v>635</v>
      </c>
      <c r="F3100" s="6">
        <v>-12285</v>
      </c>
    </row>
    <row r="3101" spans="1:6" x14ac:dyDescent="0.15">
      <c r="A3101" s="5" t="s">
        <v>37</v>
      </c>
      <c r="B3101" s="5" t="s">
        <v>639</v>
      </c>
      <c r="C3101" s="9">
        <v>43671</v>
      </c>
      <c r="D3101" s="5" t="s">
        <v>16</v>
      </c>
      <c r="E3101" s="5" t="s">
        <v>638</v>
      </c>
      <c r="F3101" s="6">
        <v>487.5</v>
      </c>
    </row>
    <row r="3102" spans="1:6" x14ac:dyDescent="0.15">
      <c r="A3102" s="5" t="s">
        <v>35</v>
      </c>
      <c r="B3102" s="5" t="s">
        <v>640</v>
      </c>
      <c r="C3102" s="9">
        <v>43671</v>
      </c>
      <c r="D3102" s="5" t="s">
        <v>16</v>
      </c>
      <c r="E3102" s="5" t="s">
        <v>638</v>
      </c>
      <c r="F3102" s="6">
        <v>1560</v>
      </c>
    </row>
    <row r="3103" spans="1:6" x14ac:dyDescent="0.15">
      <c r="A3103" s="5" t="s">
        <v>35</v>
      </c>
      <c r="B3103" s="5" t="s">
        <v>1278</v>
      </c>
      <c r="C3103" s="9">
        <v>43682</v>
      </c>
      <c r="D3103" s="5" t="s">
        <v>16</v>
      </c>
      <c r="E3103" s="5" t="s">
        <v>1277</v>
      </c>
      <c r="F3103" s="6">
        <v>9750</v>
      </c>
    </row>
    <row r="3104" spans="1:6" x14ac:dyDescent="0.15">
      <c r="A3104" s="5" t="s">
        <v>37</v>
      </c>
      <c r="B3104" s="5" t="s">
        <v>641</v>
      </c>
      <c r="C3104" s="9">
        <v>43672</v>
      </c>
      <c r="D3104" s="5" t="s">
        <v>16</v>
      </c>
      <c r="E3104" s="5" t="s">
        <v>91</v>
      </c>
      <c r="F3104" s="6">
        <v>4680</v>
      </c>
    </row>
    <row r="3105" spans="1:6" x14ac:dyDescent="0.15">
      <c r="A3105" s="5" t="s">
        <v>35</v>
      </c>
      <c r="B3105" s="5" t="s">
        <v>642</v>
      </c>
      <c r="C3105" s="9">
        <v>43672</v>
      </c>
      <c r="D3105" s="5" t="s">
        <v>16</v>
      </c>
      <c r="E3105" s="5" t="s">
        <v>91</v>
      </c>
      <c r="F3105" s="6">
        <v>2632.5</v>
      </c>
    </row>
    <row r="3106" spans="1:6" x14ac:dyDescent="0.15">
      <c r="A3106" s="5" t="s">
        <v>35</v>
      </c>
      <c r="B3106" s="5" t="s">
        <v>643</v>
      </c>
      <c r="C3106" s="9">
        <v>43675</v>
      </c>
      <c r="D3106" s="5" t="s">
        <v>16</v>
      </c>
      <c r="E3106" s="5" t="s">
        <v>92</v>
      </c>
      <c r="F3106" s="6">
        <v>3900</v>
      </c>
    </row>
    <row r="3107" spans="1:6" x14ac:dyDescent="0.15">
      <c r="A3107" s="5" t="s">
        <v>64</v>
      </c>
      <c r="B3107" s="5" t="s">
        <v>645</v>
      </c>
      <c r="C3107" s="9">
        <v>43672</v>
      </c>
      <c r="D3107" s="5" t="s">
        <v>16</v>
      </c>
      <c r="E3107" s="5" t="s">
        <v>644</v>
      </c>
      <c r="F3107" s="6">
        <v>12750</v>
      </c>
    </row>
    <row r="3108" spans="1:6" x14ac:dyDescent="0.15">
      <c r="A3108" s="5" t="s">
        <v>37</v>
      </c>
      <c r="B3108" s="5" t="s">
        <v>647</v>
      </c>
      <c r="C3108" s="9">
        <v>43672</v>
      </c>
      <c r="D3108" s="5" t="s">
        <v>16</v>
      </c>
      <c r="E3108" s="5" t="s">
        <v>646</v>
      </c>
      <c r="F3108" s="6">
        <v>1365</v>
      </c>
    </row>
    <row r="3109" spans="1:6" x14ac:dyDescent="0.15">
      <c r="A3109" s="5" t="s">
        <v>37</v>
      </c>
      <c r="B3109" s="5" t="s">
        <v>648</v>
      </c>
      <c r="C3109" s="9">
        <v>43675</v>
      </c>
      <c r="D3109" s="5" t="s">
        <v>16</v>
      </c>
      <c r="E3109" s="5" t="s">
        <v>93</v>
      </c>
      <c r="F3109" s="6">
        <v>6825</v>
      </c>
    </row>
    <row r="3110" spans="1:6" x14ac:dyDescent="0.15">
      <c r="A3110" s="5" t="s">
        <v>35</v>
      </c>
      <c r="B3110" s="5" t="s">
        <v>1479</v>
      </c>
      <c r="C3110" s="9">
        <v>43698</v>
      </c>
      <c r="D3110" s="5" t="s">
        <v>16</v>
      </c>
      <c r="E3110" s="5" t="s">
        <v>1478</v>
      </c>
      <c r="F3110" s="6">
        <v>4095</v>
      </c>
    </row>
    <row r="3111" spans="1:6" x14ac:dyDescent="0.15">
      <c r="A3111" s="5" t="s">
        <v>43</v>
      </c>
      <c r="B3111" s="5" t="s">
        <v>649</v>
      </c>
      <c r="C3111" s="9">
        <v>43678</v>
      </c>
      <c r="D3111" s="5" t="s">
        <v>16</v>
      </c>
      <c r="E3111" s="5" t="s">
        <v>94</v>
      </c>
      <c r="F3111" s="6">
        <v>776</v>
      </c>
    </row>
    <row r="3112" spans="1:6" x14ac:dyDescent="0.15">
      <c r="A3112" s="5" t="s">
        <v>37</v>
      </c>
      <c r="B3112" s="5" t="s">
        <v>650</v>
      </c>
      <c r="C3112" s="9">
        <v>43678</v>
      </c>
      <c r="D3112" s="5" t="s">
        <v>16</v>
      </c>
      <c r="E3112" s="5" t="s">
        <v>94</v>
      </c>
      <c r="F3112" s="6">
        <v>780</v>
      </c>
    </row>
    <row r="3113" spans="1:6" x14ac:dyDescent="0.15">
      <c r="A3113" s="5" t="s">
        <v>37</v>
      </c>
      <c r="B3113" s="5" t="s">
        <v>652</v>
      </c>
      <c r="C3113" s="9">
        <v>43678</v>
      </c>
      <c r="D3113" s="5" t="s">
        <v>16</v>
      </c>
      <c r="E3113" s="5" t="s">
        <v>651</v>
      </c>
      <c r="F3113" s="6">
        <v>1560</v>
      </c>
    </row>
    <row r="3114" spans="1:6" x14ac:dyDescent="0.15">
      <c r="A3114" s="5" t="s">
        <v>35</v>
      </c>
      <c r="B3114" s="5" t="s">
        <v>653</v>
      </c>
      <c r="C3114" s="9">
        <v>43678</v>
      </c>
      <c r="D3114" s="5" t="s">
        <v>16</v>
      </c>
      <c r="E3114" s="5" t="s">
        <v>95</v>
      </c>
      <c r="F3114" s="6">
        <v>2535</v>
      </c>
    </row>
    <row r="3115" spans="1:6" x14ac:dyDescent="0.15">
      <c r="A3115" s="5" t="s">
        <v>49</v>
      </c>
      <c r="B3115" s="5" t="s">
        <v>655</v>
      </c>
      <c r="C3115" s="9">
        <v>43678</v>
      </c>
      <c r="D3115" s="5" t="s">
        <v>16</v>
      </c>
      <c r="E3115" s="5" t="s">
        <v>654</v>
      </c>
      <c r="F3115" s="6">
        <v>40</v>
      </c>
    </row>
    <row r="3116" spans="1:6" x14ac:dyDescent="0.15">
      <c r="A3116" s="5" t="s">
        <v>35</v>
      </c>
      <c r="B3116" s="5" t="s">
        <v>657</v>
      </c>
      <c r="C3116" s="9">
        <v>43678</v>
      </c>
      <c r="D3116" s="5" t="s">
        <v>16</v>
      </c>
      <c r="E3116" s="5" t="s">
        <v>656</v>
      </c>
      <c r="F3116" s="6">
        <v>1170</v>
      </c>
    </row>
    <row r="3117" spans="1:6" x14ac:dyDescent="0.15">
      <c r="A3117" s="5" t="s">
        <v>35</v>
      </c>
      <c r="B3117" s="5" t="s">
        <v>659</v>
      </c>
      <c r="C3117" s="9">
        <v>43678</v>
      </c>
      <c r="D3117" s="5" t="s">
        <v>16</v>
      </c>
      <c r="E3117" s="5" t="s">
        <v>658</v>
      </c>
      <c r="F3117" s="6">
        <v>1462.5</v>
      </c>
    </row>
    <row r="3118" spans="1:6" x14ac:dyDescent="0.15">
      <c r="A3118" s="5" t="s">
        <v>40</v>
      </c>
      <c r="B3118" s="5" t="s">
        <v>660</v>
      </c>
      <c r="C3118" s="9">
        <v>43678</v>
      </c>
      <c r="D3118" s="5" t="s">
        <v>16</v>
      </c>
      <c r="E3118" s="5" t="s">
        <v>658</v>
      </c>
      <c r="F3118" s="6">
        <v>600</v>
      </c>
    </row>
    <row r="3119" spans="1:6" x14ac:dyDescent="0.15">
      <c r="A3119" s="5" t="s">
        <v>40</v>
      </c>
      <c r="B3119" s="5" t="s">
        <v>662</v>
      </c>
      <c r="C3119" s="9">
        <v>43678</v>
      </c>
      <c r="D3119" s="5" t="s">
        <v>16</v>
      </c>
      <c r="E3119" s="5" t="s">
        <v>661</v>
      </c>
      <c r="F3119" s="6">
        <v>2700</v>
      </c>
    </row>
    <row r="3120" spans="1:6" x14ac:dyDescent="0.15">
      <c r="A3120" s="5" t="s">
        <v>35</v>
      </c>
      <c r="B3120" s="5" t="s">
        <v>663</v>
      </c>
      <c r="C3120" s="9">
        <v>43678</v>
      </c>
      <c r="D3120" s="5" t="s">
        <v>16</v>
      </c>
      <c r="E3120" s="5" t="s">
        <v>661</v>
      </c>
      <c r="F3120" s="6">
        <v>10432.5</v>
      </c>
    </row>
    <row r="3121" spans="1:6" x14ac:dyDescent="0.15">
      <c r="A3121" s="5" t="s">
        <v>43</v>
      </c>
      <c r="B3121" s="5" t="s">
        <v>665</v>
      </c>
      <c r="C3121" s="9">
        <v>43678</v>
      </c>
      <c r="D3121" s="5" t="s">
        <v>16</v>
      </c>
      <c r="E3121" s="5" t="s">
        <v>664</v>
      </c>
      <c r="F3121" s="6">
        <v>1212.5</v>
      </c>
    </row>
    <row r="3122" spans="1:6" x14ac:dyDescent="0.15">
      <c r="A3122" s="5" t="s">
        <v>37</v>
      </c>
      <c r="B3122" s="5" t="s">
        <v>666</v>
      </c>
      <c r="C3122" s="9">
        <v>43678</v>
      </c>
      <c r="D3122" s="5" t="s">
        <v>16</v>
      </c>
      <c r="E3122" s="5" t="s">
        <v>664</v>
      </c>
      <c r="F3122" s="6">
        <v>7995</v>
      </c>
    </row>
    <row r="3123" spans="1:6" x14ac:dyDescent="0.15">
      <c r="A3123" s="5" t="s">
        <v>43</v>
      </c>
      <c r="B3123" s="5" t="s">
        <v>668</v>
      </c>
      <c r="C3123" s="9">
        <v>43678</v>
      </c>
      <c r="D3123" s="5" t="s">
        <v>16</v>
      </c>
      <c r="E3123" s="5" t="s">
        <v>667</v>
      </c>
      <c r="F3123" s="6">
        <v>2231</v>
      </c>
    </row>
    <row r="3124" spans="1:6" x14ac:dyDescent="0.15">
      <c r="A3124" s="5" t="s">
        <v>37</v>
      </c>
      <c r="B3124" s="5" t="s">
        <v>669</v>
      </c>
      <c r="C3124" s="9">
        <v>43678</v>
      </c>
      <c r="D3124" s="5" t="s">
        <v>16</v>
      </c>
      <c r="E3124" s="5" t="s">
        <v>667</v>
      </c>
      <c r="F3124" s="6">
        <v>5850</v>
      </c>
    </row>
    <row r="3125" spans="1:6" x14ac:dyDescent="0.15">
      <c r="A3125" s="5" t="s">
        <v>35</v>
      </c>
      <c r="B3125" s="5" t="s">
        <v>671</v>
      </c>
      <c r="C3125" s="9">
        <v>43678</v>
      </c>
      <c r="D3125" s="5" t="s">
        <v>16</v>
      </c>
      <c r="E3125" s="5" t="s">
        <v>670</v>
      </c>
      <c r="F3125" s="6">
        <v>15795</v>
      </c>
    </row>
    <row r="3126" spans="1:6" x14ac:dyDescent="0.15">
      <c r="A3126" s="5" t="s">
        <v>37</v>
      </c>
      <c r="B3126" s="5" t="s">
        <v>673</v>
      </c>
      <c r="C3126" s="9">
        <v>43678</v>
      </c>
      <c r="D3126" s="5" t="s">
        <v>16</v>
      </c>
      <c r="E3126" s="5" t="s">
        <v>672</v>
      </c>
      <c r="F3126" s="6">
        <v>1755</v>
      </c>
    </row>
    <row r="3127" spans="1:6" x14ac:dyDescent="0.15">
      <c r="A3127" s="5" t="s">
        <v>40</v>
      </c>
      <c r="B3127" s="5" t="s">
        <v>675</v>
      </c>
      <c r="C3127" s="9">
        <v>43678</v>
      </c>
      <c r="D3127" s="5" t="s">
        <v>16</v>
      </c>
      <c r="E3127" s="5" t="s">
        <v>674</v>
      </c>
      <c r="F3127" s="6">
        <v>3450</v>
      </c>
    </row>
    <row r="3128" spans="1:6" x14ac:dyDescent="0.15">
      <c r="A3128" s="5" t="s">
        <v>35</v>
      </c>
      <c r="B3128" s="5" t="s">
        <v>676</v>
      </c>
      <c r="C3128" s="9">
        <v>43678</v>
      </c>
      <c r="D3128" s="5" t="s">
        <v>16</v>
      </c>
      <c r="E3128" s="5" t="s">
        <v>674</v>
      </c>
      <c r="F3128" s="6">
        <v>3315</v>
      </c>
    </row>
    <row r="3129" spans="1:6" x14ac:dyDescent="0.15">
      <c r="A3129" s="5" t="s">
        <v>37</v>
      </c>
      <c r="B3129" s="5" t="s">
        <v>678</v>
      </c>
      <c r="C3129" s="9">
        <v>43679</v>
      </c>
      <c r="D3129" s="5" t="s">
        <v>16</v>
      </c>
      <c r="E3129" s="5" t="s">
        <v>677</v>
      </c>
      <c r="F3129" s="6">
        <v>4095</v>
      </c>
    </row>
    <row r="3130" spans="1:6" x14ac:dyDescent="0.15">
      <c r="A3130" s="5" t="s">
        <v>42</v>
      </c>
      <c r="B3130" s="5" t="s">
        <v>1190</v>
      </c>
      <c r="C3130" s="9">
        <v>43686</v>
      </c>
      <c r="D3130" s="5" t="s">
        <v>16</v>
      </c>
      <c r="E3130" s="5" t="s">
        <v>1189</v>
      </c>
      <c r="F3130" s="6">
        <v>7875</v>
      </c>
    </row>
    <row r="3131" spans="1:6" x14ac:dyDescent="0.15">
      <c r="A3131" s="5" t="s">
        <v>35</v>
      </c>
      <c r="B3131" s="5" t="s">
        <v>1280</v>
      </c>
      <c r="C3131" s="9">
        <v>43710</v>
      </c>
      <c r="D3131" s="5" t="s">
        <v>16</v>
      </c>
      <c r="E3131" s="5" t="s">
        <v>1279</v>
      </c>
      <c r="F3131" s="6">
        <v>25350</v>
      </c>
    </row>
    <row r="3132" spans="1:6" x14ac:dyDescent="0.15">
      <c r="A3132" s="5" t="s">
        <v>35</v>
      </c>
      <c r="B3132" s="5" t="s">
        <v>680</v>
      </c>
      <c r="C3132" s="9">
        <v>43682</v>
      </c>
      <c r="D3132" s="5" t="s">
        <v>16</v>
      </c>
      <c r="E3132" s="5" t="s">
        <v>679</v>
      </c>
      <c r="F3132" s="6">
        <v>-1170</v>
      </c>
    </row>
    <row r="3133" spans="1:6" x14ac:dyDescent="0.15">
      <c r="A3133" s="5" t="s">
        <v>35</v>
      </c>
      <c r="B3133" s="5" t="s">
        <v>681</v>
      </c>
      <c r="C3133" s="9">
        <v>43682</v>
      </c>
      <c r="D3133" s="5" t="s">
        <v>16</v>
      </c>
      <c r="E3133" s="5" t="s">
        <v>679</v>
      </c>
      <c r="F3133" s="6">
        <v>1170</v>
      </c>
    </row>
    <row r="3134" spans="1:6" x14ac:dyDescent="0.15">
      <c r="A3134" s="5" t="s">
        <v>37</v>
      </c>
      <c r="B3134" s="5" t="s">
        <v>683</v>
      </c>
      <c r="C3134" s="9">
        <v>43682</v>
      </c>
      <c r="D3134" s="5" t="s">
        <v>16</v>
      </c>
      <c r="E3134" s="5" t="s">
        <v>682</v>
      </c>
      <c r="F3134" s="6">
        <v>5850</v>
      </c>
    </row>
    <row r="3135" spans="1:6" x14ac:dyDescent="0.15">
      <c r="A3135" s="5" t="s">
        <v>37</v>
      </c>
      <c r="B3135" s="5" t="s">
        <v>684</v>
      </c>
      <c r="C3135" s="9">
        <v>43683</v>
      </c>
      <c r="D3135" s="5" t="s">
        <v>16</v>
      </c>
      <c r="E3135" s="5" t="s">
        <v>682</v>
      </c>
      <c r="F3135" s="6">
        <v>-5850</v>
      </c>
    </row>
    <row r="3136" spans="1:6" x14ac:dyDescent="0.15">
      <c r="A3136" s="5" t="s">
        <v>37</v>
      </c>
      <c r="B3136" s="5" t="s">
        <v>685</v>
      </c>
      <c r="C3136" s="9">
        <v>43682</v>
      </c>
      <c r="D3136" s="5" t="s">
        <v>16</v>
      </c>
      <c r="E3136" s="5" t="s">
        <v>96</v>
      </c>
      <c r="F3136" s="6">
        <v>5850</v>
      </c>
    </row>
    <row r="3137" spans="1:6" x14ac:dyDescent="0.15">
      <c r="A3137" s="5" t="s">
        <v>37</v>
      </c>
      <c r="B3137" s="5" t="s">
        <v>687</v>
      </c>
      <c r="C3137" s="9">
        <v>43683</v>
      </c>
      <c r="D3137" s="5" t="s">
        <v>16</v>
      </c>
      <c r="E3137" s="5" t="s">
        <v>686</v>
      </c>
      <c r="F3137" s="6">
        <v>5655</v>
      </c>
    </row>
    <row r="3138" spans="1:6" x14ac:dyDescent="0.15">
      <c r="A3138" s="5" t="s">
        <v>37</v>
      </c>
      <c r="B3138" s="5" t="s">
        <v>688</v>
      </c>
      <c r="C3138" s="9">
        <v>43684</v>
      </c>
      <c r="D3138" s="5" t="s">
        <v>16</v>
      </c>
      <c r="E3138" s="5" t="s">
        <v>97</v>
      </c>
      <c r="F3138" s="6">
        <v>292.5</v>
      </c>
    </row>
    <row r="3139" spans="1:6" x14ac:dyDescent="0.15">
      <c r="A3139" s="5" t="s">
        <v>35</v>
      </c>
      <c r="B3139" s="5" t="s">
        <v>689</v>
      </c>
      <c r="C3139" s="9">
        <v>43684</v>
      </c>
      <c r="D3139" s="5" t="s">
        <v>16</v>
      </c>
      <c r="E3139" s="5" t="s">
        <v>98</v>
      </c>
      <c r="F3139" s="6">
        <v>7800</v>
      </c>
    </row>
    <row r="3140" spans="1:6" x14ac:dyDescent="0.15">
      <c r="A3140" s="5" t="s">
        <v>37</v>
      </c>
      <c r="B3140" s="5" t="s">
        <v>690</v>
      </c>
      <c r="C3140" s="9">
        <v>43684</v>
      </c>
      <c r="D3140" s="5" t="s">
        <v>16</v>
      </c>
      <c r="E3140" s="5" t="s">
        <v>98</v>
      </c>
      <c r="F3140" s="6">
        <v>9750</v>
      </c>
    </row>
    <row r="3141" spans="1:6" x14ac:dyDescent="0.15">
      <c r="A3141" s="5" t="s">
        <v>37</v>
      </c>
      <c r="B3141" s="5" t="s">
        <v>692</v>
      </c>
      <c r="C3141" s="9">
        <v>43684</v>
      </c>
      <c r="D3141" s="5" t="s">
        <v>16</v>
      </c>
      <c r="E3141" s="5" t="s">
        <v>691</v>
      </c>
      <c r="F3141" s="6">
        <v>-5850</v>
      </c>
    </row>
    <row r="3142" spans="1:6" x14ac:dyDescent="0.15">
      <c r="A3142" s="5" t="s">
        <v>37</v>
      </c>
      <c r="B3142" s="5" t="s">
        <v>694</v>
      </c>
      <c r="C3142" s="9">
        <v>43684</v>
      </c>
      <c r="D3142" s="5" t="s">
        <v>16</v>
      </c>
      <c r="E3142" s="5" t="s">
        <v>693</v>
      </c>
      <c r="F3142" s="6">
        <v>8190</v>
      </c>
    </row>
    <row r="3143" spans="1:6" x14ac:dyDescent="0.15">
      <c r="A3143" s="5" t="s">
        <v>37</v>
      </c>
      <c r="B3143" s="5" t="s">
        <v>695</v>
      </c>
      <c r="C3143" s="9">
        <v>43684</v>
      </c>
      <c r="D3143" s="5" t="s">
        <v>16</v>
      </c>
      <c r="E3143" s="5" t="s">
        <v>693</v>
      </c>
      <c r="F3143" s="6">
        <v>6337.5</v>
      </c>
    </row>
    <row r="3144" spans="1:6" x14ac:dyDescent="0.15">
      <c r="A3144" s="5" t="s">
        <v>35</v>
      </c>
      <c r="B3144" s="5" t="s">
        <v>696</v>
      </c>
      <c r="C3144" s="9">
        <v>43684</v>
      </c>
      <c r="D3144" s="5" t="s">
        <v>16</v>
      </c>
      <c r="E3144" s="5" t="s">
        <v>693</v>
      </c>
      <c r="F3144" s="6">
        <v>780</v>
      </c>
    </row>
    <row r="3145" spans="1:6" x14ac:dyDescent="0.15">
      <c r="A3145" s="5" t="s">
        <v>44</v>
      </c>
      <c r="B3145" s="5" t="s">
        <v>697</v>
      </c>
      <c r="C3145" s="9">
        <v>43684</v>
      </c>
      <c r="D3145" s="5" t="s">
        <v>16</v>
      </c>
      <c r="E3145" s="5" t="s">
        <v>693</v>
      </c>
      <c r="F3145" s="6">
        <v>780</v>
      </c>
    </row>
    <row r="3146" spans="1:6" x14ac:dyDescent="0.15">
      <c r="A3146" s="5" t="s">
        <v>37</v>
      </c>
      <c r="B3146" s="5" t="s">
        <v>698</v>
      </c>
      <c r="C3146" s="9">
        <v>43684</v>
      </c>
      <c r="D3146" s="5" t="s">
        <v>16</v>
      </c>
      <c r="E3146" s="5" t="s">
        <v>99</v>
      </c>
      <c r="F3146" s="6">
        <v>4095</v>
      </c>
    </row>
    <row r="3147" spans="1:6" x14ac:dyDescent="0.15">
      <c r="A3147" s="5" t="s">
        <v>43</v>
      </c>
      <c r="B3147" s="5" t="s">
        <v>1380</v>
      </c>
      <c r="C3147" s="9">
        <v>43696</v>
      </c>
      <c r="D3147" s="5" t="s">
        <v>16</v>
      </c>
      <c r="E3147" s="5" t="s">
        <v>1379</v>
      </c>
      <c r="F3147" s="6">
        <v>3880</v>
      </c>
    </row>
    <row r="3148" spans="1:6" x14ac:dyDescent="0.15">
      <c r="A3148" s="5" t="s">
        <v>37</v>
      </c>
      <c r="B3148" s="5" t="s">
        <v>1381</v>
      </c>
      <c r="C3148" s="9">
        <v>43696</v>
      </c>
      <c r="D3148" s="5" t="s">
        <v>16</v>
      </c>
      <c r="E3148" s="5" t="s">
        <v>1379</v>
      </c>
      <c r="F3148" s="6">
        <v>21450</v>
      </c>
    </row>
    <row r="3149" spans="1:6" x14ac:dyDescent="0.15">
      <c r="A3149" s="5" t="s">
        <v>43</v>
      </c>
      <c r="B3149" s="5" t="s">
        <v>1383</v>
      </c>
      <c r="C3149" s="9">
        <v>43696</v>
      </c>
      <c r="D3149" s="5" t="s">
        <v>16</v>
      </c>
      <c r="E3149" s="5" t="s">
        <v>1382</v>
      </c>
      <c r="F3149" s="6">
        <v>23280</v>
      </c>
    </row>
    <row r="3150" spans="1:6" x14ac:dyDescent="0.15">
      <c r="A3150" s="5" t="s">
        <v>37</v>
      </c>
      <c r="B3150" s="5" t="s">
        <v>699</v>
      </c>
      <c r="C3150" s="9">
        <v>43685</v>
      </c>
      <c r="D3150" s="5" t="s">
        <v>16</v>
      </c>
      <c r="E3150" s="5" t="s">
        <v>100</v>
      </c>
      <c r="F3150" s="6">
        <v>3120</v>
      </c>
    </row>
    <row r="3151" spans="1:6" x14ac:dyDescent="0.15">
      <c r="A3151" s="5" t="s">
        <v>35</v>
      </c>
      <c r="B3151" s="5" t="s">
        <v>701</v>
      </c>
      <c r="C3151" s="9">
        <v>43685</v>
      </c>
      <c r="D3151" s="5" t="s">
        <v>16</v>
      </c>
      <c r="E3151" s="5" t="s">
        <v>700</v>
      </c>
      <c r="F3151" s="6">
        <v>27300</v>
      </c>
    </row>
    <row r="3152" spans="1:6" x14ac:dyDescent="0.15">
      <c r="A3152" s="5" t="s">
        <v>37</v>
      </c>
      <c r="B3152" s="5" t="s">
        <v>702</v>
      </c>
      <c r="C3152" s="9">
        <v>43685</v>
      </c>
      <c r="D3152" s="5" t="s">
        <v>16</v>
      </c>
      <c r="E3152" s="5" t="s">
        <v>101</v>
      </c>
      <c r="F3152" s="6">
        <v>3412.5</v>
      </c>
    </row>
    <row r="3153" spans="1:6" x14ac:dyDescent="0.15">
      <c r="A3153" s="5" t="s">
        <v>43</v>
      </c>
      <c r="B3153" s="5" t="s">
        <v>703</v>
      </c>
      <c r="C3153" s="9">
        <v>43686</v>
      </c>
      <c r="D3153" s="5" t="s">
        <v>16</v>
      </c>
      <c r="E3153" s="5" t="s">
        <v>102</v>
      </c>
      <c r="F3153" s="6">
        <v>145.5</v>
      </c>
    </row>
    <row r="3154" spans="1:6" x14ac:dyDescent="0.15">
      <c r="A3154" s="5" t="s">
        <v>37</v>
      </c>
      <c r="B3154" s="5" t="s">
        <v>704</v>
      </c>
      <c r="C3154" s="9">
        <v>43686</v>
      </c>
      <c r="D3154" s="5" t="s">
        <v>16</v>
      </c>
      <c r="E3154" s="5" t="s">
        <v>102</v>
      </c>
      <c r="F3154" s="6">
        <v>1072.5</v>
      </c>
    </row>
    <row r="3155" spans="1:6" x14ac:dyDescent="0.15">
      <c r="A3155" s="5" t="s">
        <v>37</v>
      </c>
      <c r="B3155" s="5" t="s">
        <v>705</v>
      </c>
      <c r="C3155" s="9">
        <v>43686</v>
      </c>
      <c r="D3155" s="5" t="s">
        <v>16</v>
      </c>
      <c r="E3155" s="5" t="s">
        <v>103</v>
      </c>
      <c r="F3155" s="6">
        <v>3510</v>
      </c>
    </row>
    <row r="3156" spans="1:6" x14ac:dyDescent="0.15">
      <c r="A3156" s="5" t="s">
        <v>35</v>
      </c>
      <c r="B3156" s="5" t="s">
        <v>706</v>
      </c>
      <c r="C3156" s="9">
        <v>43686</v>
      </c>
      <c r="D3156" s="5" t="s">
        <v>16</v>
      </c>
      <c r="E3156" s="5" t="s">
        <v>104</v>
      </c>
      <c r="F3156" s="6">
        <v>97.5</v>
      </c>
    </row>
    <row r="3157" spans="1:6" x14ac:dyDescent="0.15">
      <c r="A3157" s="5" t="s">
        <v>43</v>
      </c>
      <c r="B3157" s="5" t="s">
        <v>708</v>
      </c>
      <c r="C3157" s="9">
        <v>43689</v>
      </c>
      <c r="D3157" s="5" t="s">
        <v>16</v>
      </c>
      <c r="E3157" s="5" t="s">
        <v>707</v>
      </c>
      <c r="F3157" s="6">
        <v>3492</v>
      </c>
    </row>
    <row r="3158" spans="1:6" x14ac:dyDescent="0.15">
      <c r="A3158" s="5" t="s">
        <v>37</v>
      </c>
      <c r="B3158" s="5" t="s">
        <v>709</v>
      </c>
      <c r="C3158" s="9">
        <v>43689</v>
      </c>
      <c r="D3158" s="5" t="s">
        <v>16</v>
      </c>
      <c r="E3158" s="5" t="s">
        <v>707</v>
      </c>
      <c r="F3158" s="6">
        <v>6630</v>
      </c>
    </row>
    <row r="3159" spans="1:6" x14ac:dyDescent="0.15">
      <c r="A3159" s="5" t="s">
        <v>41</v>
      </c>
      <c r="B3159" s="5" t="s">
        <v>1508</v>
      </c>
      <c r="C3159" s="9">
        <v>43717</v>
      </c>
      <c r="D3159" s="5" t="s">
        <v>16</v>
      </c>
      <c r="E3159" s="5" t="s">
        <v>1507</v>
      </c>
      <c r="F3159" s="6">
        <v>533.5</v>
      </c>
    </row>
    <row r="3160" spans="1:6" x14ac:dyDescent="0.15">
      <c r="A3160" s="5" t="s">
        <v>40</v>
      </c>
      <c r="B3160" s="5" t="s">
        <v>1509</v>
      </c>
      <c r="C3160" s="9">
        <v>43717</v>
      </c>
      <c r="D3160" s="5" t="s">
        <v>16</v>
      </c>
      <c r="E3160" s="5" t="s">
        <v>1507</v>
      </c>
      <c r="F3160" s="6">
        <v>9000</v>
      </c>
    </row>
    <row r="3161" spans="1:6" x14ac:dyDescent="0.15">
      <c r="A3161" s="5" t="s">
        <v>43</v>
      </c>
      <c r="B3161" s="5" t="s">
        <v>1510</v>
      </c>
      <c r="C3161" s="9">
        <v>43717</v>
      </c>
      <c r="D3161" s="5" t="s">
        <v>16</v>
      </c>
      <c r="E3161" s="5" t="s">
        <v>1507</v>
      </c>
      <c r="F3161" s="6">
        <v>533.5</v>
      </c>
    </row>
    <row r="3162" spans="1:6" x14ac:dyDescent="0.15">
      <c r="A3162" s="5" t="s">
        <v>37</v>
      </c>
      <c r="B3162" s="5" t="s">
        <v>1511</v>
      </c>
      <c r="C3162" s="9">
        <v>43717</v>
      </c>
      <c r="D3162" s="5" t="s">
        <v>16</v>
      </c>
      <c r="E3162" s="5" t="s">
        <v>1507</v>
      </c>
      <c r="F3162" s="6">
        <v>11700</v>
      </c>
    </row>
    <row r="3163" spans="1:6" x14ac:dyDescent="0.15">
      <c r="A3163" s="5" t="s">
        <v>37</v>
      </c>
      <c r="B3163" s="5" t="s">
        <v>711</v>
      </c>
      <c r="C3163" s="9">
        <v>43689</v>
      </c>
      <c r="D3163" s="5" t="s">
        <v>16</v>
      </c>
      <c r="E3163" s="5" t="s">
        <v>710</v>
      </c>
      <c r="F3163" s="6">
        <v>-1950</v>
      </c>
    </row>
    <row r="3164" spans="1:6" x14ac:dyDescent="0.15">
      <c r="A3164" s="5" t="s">
        <v>37</v>
      </c>
      <c r="B3164" s="5" t="s">
        <v>711</v>
      </c>
      <c r="C3164" s="9">
        <v>43689</v>
      </c>
      <c r="D3164" s="5" t="s">
        <v>16</v>
      </c>
      <c r="E3164" s="5" t="s">
        <v>710</v>
      </c>
      <c r="F3164" s="6">
        <v>-1950</v>
      </c>
    </row>
    <row r="3165" spans="1:6" x14ac:dyDescent="0.15">
      <c r="A3165" s="5" t="s">
        <v>37</v>
      </c>
      <c r="B3165" s="5" t="s">
        <v>712</v>
      </c>
      <c r="C3165" s="9">
        <v>43689</v>
      </c>
      <c r="D3165" s="5" t="s">
        <v>16</v>
      </c>
      <c r="E3165" s="5" t="s">
        <v>710</v>
      </c>
      <c r="F3165" s="6">
        <v>1950</v>
      </c>
    </row>
    <row r="3166" spans="1:6" x14ac:dyDescent="0.15">
      <c r="A3166" s="5" t="s">
        <v>37</v>
      </c>
      <c r="B3166" s="5" t="s">
        <v>713</v>
      </c>
      <c r="C3166" s="9">
        <v>43689</v>
      </c>
      <c r="D3166" s="5" t="s">
        <v>16</v>
      </c>
      <c r="E3166" s="5" t="s">
        <v>105</v>
      </c>
      <c r="F3166" s="6">
        <v>3900</v>
      </c>
    </row>
    <row r="3167" spans="1:6" x14ac:dyDescent="0.15">
      <c r="A3167" s="5" t="s">
        <v>37</v>
      </c>
      <c r="B3167" s="5" t="s">
        <v>714</v>
      </c>
      <c r="C3167" s="9">
        <v>43689</v>
      </c>
      <c r="D3167" s="5" t="s">
        <v>16</v>
      </c>
      <c r="E3167" s="5" t="s">
        <v>105</v>
      </c>
      <c r="F3167" s="6">
        <v>-1950</v>
      </c>
    </row>
    <row r="3168" spans="1:6" x14ac:dyDescent="0.15">
      <c r="A3168" s="5" t="s">
        <v>37</v>
      </c>
      <c r="B3168" s="5" t="s">
        <v>1452</v>
      </c>
      <c r="C3168" s="9">
        <v>43705</v>
      </c>
      <c r="D3168" s="5" t="s">
        <v>16</v>
      </c>
      <c r="E3168" s="5" t="s">
        <v>1451</v>
      </c>
      <c r="F3168" s="6">
        <v>23400</v>
      </c>
    </row>
    <row r="3169" spans="1:6" x14ac:dyDescent="0.15">
      <c r="A3169" s="5" t="s">
        <v>44</v>
      </c>
      <c r="B3169" s="5" t="s">
        <v>1453</v>
      </c>
      <c r="C3169" s="9">
        <v>43705</v>
      </c>
      <c r="D3169" s="5" t="s">
        <v>16</v>
      </c>
      <c r="E3169" s="5" t="s">
        <v>1451</v>
      </c>
      <c r="F3169" s="6">
        <v>1950</v>
      </c>
    </row>
    <row r="3170" spans="1:6" x14ac:dyDescent="0.15">
      <c r="A3170" s="5" t="s">
        <v>65</v>
      </c>
      <c r="B3170" s="5" t="s">
        <v>1455</v>
      </c>
      <c r="C3170" s="9">
        <v>43711</v>
      </c>
      <c r="D3170" s="5" t="s">
        <v>16</v>
      </c>
      <c r="E3170" s="5" t="s">
        <v>1454</v>
      </c>
      <c r="F3170" s="6">
        <v>19500</v>
      </c>
    </row>
    <row r="3171" spans="1:6" x14ac:dyDescent="0.15">
      <c r="A3171" s="5" t="s">
        <v>37</v>
      </c>
      <c r="B3171" s="5" t="s">
        <v>715</v>
      </c>
      <c r="C3171" s="9">
        <v>43691</v>
      </c>
      <c r="D3171" s="5" t="s">
        <v>16</v>
      </c>
      <c r="E3171" s="5" t="s">
        <v>106</v>
      </c>
      <c r="F3171" s="6">
        <v>5850</v>
      </c>
    </row>
    <row r="3172" spans="1:6" x14ac:dyDescent="0.15">
      <c r="A3172" s="5" t="s">
        <v>49</v>
      </c>
      <c r="B3172" s="5" t="s">
        <v>717</v>
      </c>
      <c r="C3172" s="9">
        <v>43691</v>
      </c>
      <c r="D3172" s="5" t="s">
        <v>16</v>
      </c>
      <c r="E3172" s="5" t="s">
        <v>716</v>
      </c>
      <c r="F3172" s="6">
        <v>800</v>
      </c>
    </row>
    <row r="3173" spans="1:6" x14ac:dyDescent="0.15">
      <c r="A3173" s="5" t="s">
        <v>49</v>
      </c>
      <c r="B3173" s="5" t="s">
        <v>718</v>
      </c>
      <c r="C3173" s="9">
        <v>43691</v>
      </c>
      <c r="D3173" s="5" t="s">
        <v>16</v>
      </c>
      <c r="E3173" s="5" t="s">
        <v>716</v>
      </c>
      <c r="F3173" s="6">
        <v>2000</v>
      </c>
    </row>
    <row r="3174" spans="1:6" x14ac:dyDescent="0.15">
      <c r="A3174" s="5" t="s">
        <v>41</v>
      </c>
      <c r="B3174" s="5" t="s">
        <v>719</v>
      </c>
      <c r="C3174" s="9">
        <v>43691</v>
      </c>
      <c r="D3174" s="5" t="s">
        <v>16</v>
      </c>
      <c r="E3174" s="5" t="s">
        <v>716</v>
      </c>
      <c r="F3174" s="6">
        <v>679</v>
      </c>
    </row>
    <row r="3175" spans="1:6" x14ac:dyDescent="0.15">
      <c r="A3175" s="5" t="s">
        <v>35</v>
      </c>
      <c r="B3175" s="5" t="s">
        <v>720</v>
      </c>
      <c r="C3175" s="9">
        <v>43691</v>
      </c>
      <c r="D3175" s="5" t="s">
        <v>16</v>
      </c>
      <c r="E3175" s="5" t="s">
        <v>716</v>
      </c>
      <c r="F3175" s="6">
        <v>2340</v>
      </c>
    </row>
    <row r="3176" spans="1:6" x14ac:dyDescent="0.15">
      <c r="A3176" s="5" t="s">
        <v>37</v>
      </c>
      <c r="B3176" s="5" t="s">
        <v>722</v>
      </c>
      <c r="C3176" s="9">
        <v>43691</v>
      </c>
      <c r="D3176" s="5" t="s">
        <v>16</v>
      </c>
      <c r="E3176" s="5" t="s">
        <v>721</v>
      </c>
      <c r="F3176" s="6">
        <v>3510</v>
      </c>
    </row>
    <row r="3177" spans="1:6" x14ac:dyDescent="0.15">
      <c r="A3177" s="5" t="s">
        <v>35</v>
      </c>
      <c r="B3177" s="5" t="s">
        <v>724</v>
      </c>
      <c r="C3177" s="9">
        <v>43691</v>
      </c>
      <c r="D3177" s="5" t="s">
        <v>16</v>
      </c>
      <c r="E3177" s="5" t="s">
        <v>723</v>
      </c>
      <c r="F3177" s="6">
        <v>1657.5</v>
      </c>
    </row>
    <row r="3178" spans="1:6" x14ac:dyDescent="0.15">
      <c r="A3178" s="5" t="s">
        <v>42</v>
      </c>
      <c r="B3178" s="5" t="s">
        <v>726</v>
      </c>
      <c r="C3178" s="9">
        <v>43693</v>
      </c>
      <c r="D3178" s="5" t="s">
        <v>16</v>
      </c>
      <c r="E3178" s="5" t="s">
        <v>725</v>
      </c>
      <c r="F3178" s="6">
        <v>2850</v>
      </c>
    </row>
    <row r="3179" spans="1:6" x14ac:dyDescent="0.15">
      <c r="A3179" s="5" t="s">
        <v>37</v>
      </c>
      <c r="B3179" s="5" t="s">
        <v>727</v>
      </c>
      <c r="C3179" s="9">
        <v>43693</v>
      </c>
      <c r="D3179" s="5" t="s">
        <v>16</v>
      </c>
      <c r="E3179" s="5" t="s">
        <v>725</v>
      </c>
      <c r="F3179" s="6">
        <v>10140</v>
      </c>
    </row>
    <row r="3180" spans="1:6" x14ac:dyDescent="0.15">
      <c r="A3180" s="5" t="s">
        <v>35</v>
      </c>
      <c r="B3180" s="5" t="s">
        <v>729</v>
      </c>
      <c r="C3180" s="9">
        <v>43691</v>
      </c>
      <c r="D3180" s="5" t="s">
        <v>16</v>
      </c>
      <c r="E3180" s="5" t="s">
        <v>728</v>
      </c>
      <c r="F3180" s="6">
        <v>97.5</v>
      </c>
    </row>
    <row r="3181" spans="1:6" x14ac:dyDescent="0.15">
      <c r="A3181" s="5" t="s">
        <v>37</v>
      </c>
      <c r="B3181" s="5" t="s">
        <v>731</v>
      </c>
      <c r="C3181" s="9">
        <v>43691</v>
      </c>
      <c r="D3181" s="5" t="s">
        <v>16</v>
      </c>
      <c r="E3181" s="5" t="s">
        <v>730</v>
      </c>
      <c r="F3181" s="6">
        <v>975</v>
      </c>
    </row>
    <row r="3182" spans="1:6" x14ac:dyDescent="0.15">
      <c r="A3182" s="5" t="s">
        <v>49</v>
      </c>
      <c r="B3182" s="5" t="s">
        <v>732</v>
      </c>
      <c r="C3182" s="9">
        <v>43690</v>
      </c>
      <c r="D3182" s="5" t="s">
        <v>16</v>
      </c>
      <c r="E3182" s="5" t="s">
        <v>107</v>
      </c>
      <c r="F3182" s="6">
        <v>30</v>
      </c>
    </row>
    <row r="3183" spans="1:6" x14ac:dyDescent="0.15">
      <c r="A3183" s="5" t="s">
        <v>43</v>
      </c>
      <c r="B3183" s="5" t="s">
        <v>733</v>
      </c>
      <c r="C3183" s="9">
        <v>43693</v>
      </c>
      <c r="D3183" s="5" t="s">
        <v>16</v>
      </c>
      <c r="E3183" s="5" t="s">
        <v>108</v>
      </c>
      <c r="F3183" s="6">
        <v>582</v>
      </c>
    </row>
    <row r="3184" spans="1:6" x14ac:dyDescent="0.15">
      <c r="A3184" s="5" t="s">
        <v>37</v>
      </c>
      <c r="B3184" s="5" t="s">
        <v>735</v>
      </c>
      <c r="C3184" s="9">
        <v>43691</v>
      </c>
      <c r="D3184" s="5" t="s">
        <v>16</v>
      </c>
      <c r="E3184" s="5" t="s">
        <v>734</v>
      </c>
      <c r="F3184" s="6">
        <v>195</v>
      </c>
    </row>
    <row r="3185" spans="1:6" x14ac:dyDescent="0.15">
      <c r="A3185" s="5" t="s">
        <v>40</v>
      </c>
      <c r="B3185" s="5" t="s">
        <v>736</v>
      </c>
      <c r="C3185" s="9">
        <v>43689</v>
      </c>
      <c r="D3185" s="5" t="s">
        <v>16</v>
      </c>
      <c r="E3185" s="5" t="s">
        <v>109</v>
      </c>
      <c r="F3185" s="6">
        <v>300</v>
      </c>
    </row>
    <row r="3186" spans="1:6" x14ac:dyDescent="0.15">
      <c r="A3186" s="5" t="s">
        <v>35</v>
      </c>
      <c r="B3186" s="5" t="s">
        <v>737</v>
      </c>
      <c r="C3186" s="9">
        <v>43689</v>
      </c>
      <c r="D3186" s="5" t="s">
        <v>16</v>
      </c>
      <c r="E3186" s="5" t="s">
        <v>109</v>
      </c>
      <c r="F3186" s="6">
        <v>1170</v>
      </c>
    </row>
    <row r="3187" spans="1:6" x14ac:dyDescent="0.15">
      <c r="A3187" s="5" t="s">
        <v>35</v>
      </c>
      <c r="B3187" s="5" t="s">
        <v>738</v>
      </c>
      <c r="C3187" s="9">
        <v>43690</v>
      </c>
      <c r="D3187" s="5" t="s">
        <v>16</v>
      </c>
      <c r="E3187" s="5" t="s">
        <v>110</v>
      </c>
      <c r="F3187" s="6">
        <v>3022.5</v>
      </c>
    </row>
    <row r="3188" spans="1:6" x14ac:dyDescent="0.15">
      <c r="A3188" s="5" t="s">
        <v>55</v>
      </c>
      <c r="B3188" s="5" t="s">
        <v>740</v>
      </c>
      <c r="C3188" s="9">
        <v>43700</v>
      </c>
      <c r="D3188" s="5" t="s">
        <v>16</v>
      </c>
      <c r="E3188" s="5" t="s">
        <v>739</v>
      </c>
      <c r="F3188" s="6">
        <v>100</v>
      </c>
    </row>
    <row r="3189" spans="1:6" x14ac:dyDescent="0.15">
      <c r="A3189" s="5" t="s">
        <v>43</v>
      </c>
      <c r="B3189" s="5" t="s">
        <v>1457</v>
      </c>
      <c r="C3189" s="9">
        <v>43710</v>
      </c>
      <c r="D3189" s="5" t="s">
        <v>16</v>
      </c>
      <c r="E3189" s="5" t="s">
        <v>1456</v>
      </c>
      <c r="F3189" s="6">
        <v>3880</v>
      </c>
    </row>
    <row r="3190" spans="1:6" x14ac:dyDescent="0.15">
      <c r="A3190" s="5" t="s">
        <v>42</v>
      </c>
      <c r="B3190" s="5" t="s">
        <v>1458</v>
      </c>
      <c r="C3190" s="9">
        <v>43710</v>
      </c>
      <c r="D3190" s="5" t="s">
        <v>16</v>
      </c>
      <c r="E3190" s="5" t="s">
        <v>1456</v>
      </c>
      <c r="F3190" s="6">
        <v>3000</v>
      </c>
    </row>
    <row r="3191" spans="1:6" x14ac:dyDescent="0.15">
      <c r="A3191" s="5" t="s">
        <v>37</v>
      </c>
      <c r="B3191" s="5" t="s">
        <v>1459</v>
      </c>
      <c r="C3191" s="9">
        <v>43710</v>
      </c>
      <c r="D3191" s="5" t="s">
        <v>16</v>
      </c>
      <c r="E3191" s="5" t="s">
        <v>1456</v>
      </c>
      <c r="F3191" s="6">
        <v>7800</v>
      </c>
    </row>
    <row r="3192" spans="1:6" x14ac:dyDescent="0.15">
      <c r="A3192" s="5" t="s">
        <v>35</v>
      </c>
      <c r="B3192" s="5" t="s">
        <v>743</v>
      </c>
      <c r="C3192" s="9">
        <v>43697</v>
      </c>
      <c r="D3192" s="5" t="s">
        <v>16</v>
      </c>
      <c r="E3192" s="5" t="s">
        <v>742</v>
      </c>
      <c r="F3192" s="6">
        <v>5362.5</v>
      </c>
    </row>
    <row r="3193" spans="1:6" x14ac:dyDescent="0.15">
      <c r="A3193" s="5" t="s">
        <v>43</v>
      </c>
      <c r="B3193" s="5" t="s">
        <v>744</v>
      </c>
      <c r="C3193" s="9">
        <v>43697</v>
      </c>
      <c r="D3193" s="5" t="s">
        <v>16</v>
      </c>
      <c r="E3193" s="5" t="s">
        <v>111</v>
      </c>
      <c r="F3193" s="6">
        <v>873</v>
      </c>
    </row>
    <row r="3194" spans="1:6" x14ac:dyDescent="0.15">
      <c r="A3194" s="5" t="s">
        <v>37</v>
      </c>
      <c r="B3194" s="5" t="s">
        <v>746</v>
      </c>
      <c r="C3194" s="9">
        <v>43697</v>
      </c>
      <c r="D3194" s="5" t="s">
        <v>16</v>
      </c>
      <c r="E3194" s="5" t="s">
        <v>745</v>
      </c>
      <c r="F3194" s="6">
        <v>7410</v>
      </c>
    </row>
    <row r="3195" spans="1:6" x14ac:dyDescent="0.15">
      <c r="A3195" s="5" t="s">
        <v>35</v>
      </c>
      <c r="B3195" s="5" t="s">
        <v>747</v>
      </c>
      <c r="C3195" s="9">
        <v>43698</v>
      </c>
      <c r="D3195" s="5" t="s">
        <v>16</v>
      </c>
      <c r="E3195" s="5" t="s">
        <v>112</v>
      </c>
      <c r="F3195" s="6">
        <v>6922.5</v>
      </c>
    </row>
    <row r="3196" spans="1:6" x14ac:dyDescent="0.15">
      <c r="A3196" s="5" t="s">
        <v>41</v>
      </c>
      <c r="B3196" s="5" t="s">
        <v>749</v>
      </c>
      <c r="C3196" s="9">
        <v>43698</v>
      </c>
      <c r="D3196" s="5" t="s">
        <v>16</v>
      </c>
      <c r="E3196" s="5" t="s">
        <v>748</v>
      </c>
      <c r="F3196" s="6">
        <v>339.5</v>
      </c>
    </row>
    <row r="3197" spans="1:6" x14ac:dyDescent="0.15">
      <c r="A3197" s="5" t="s">
        <v>37</v>
      </c>
      <c r="B3197" s="5" t="s">
        <v>750</v>
      </c>
      <c r="C3197" s="9">
        <v>43698</v>
      </c>
      <c r="D3197" s="5" t="s">
        <v>16</v>
      </c>
      <c r="E3197" s="5" t="s">
        <v>748</v>
      </c>
      <c r="F3197" s="6">
        <v>3120</v>
      </c>
    </row>
    <row r="3198" spans="1:6" x14ac:dyDescent="0.15">
      <c r="A3198" s="5" t="s">
        <v>43</v>
      </c>
      <c r="B3198" s="5" t="s">
        <v>751</v>
      </c>
      <c r="C3198" s="9">
        <v>43698</v>
      </c>
      <c r="D3198" s="5" t="s">
        <v>16</v>
      </c>
      <c r="E3198" s="5" t="s">
        <v>748</v>
      </c>
      <c r="F3198" s="6">
        <v>1552</v>
      </c>
    </row>
    <row r="3199" spans="1:6" x14ac:dyDescent="0.15">
      <c r="A3199" s="5" t="s">
        <v>43</v>
      </c>
      <c r="B3199" s="5" t="s">
        <v>753</v>
      </c>
      <c r="C3199" s="9">
        <v>43698</v>
      </c>
      <c r="D3199" s="5" t="s">
        <v>16</v>
      </c>
      <c r="E3199" s="5" t="s">
        <v>752</v>
      </c>
      <c r="F3199" s="6">
        <v>679</v>
      </c>
    </row>
    <row r="3200" spans="1:6" x14ac:dyDescent="0.15">
      <c r="A3200" s="5" t="s">
        <v>37</v>
      </c>
      <c r="B3200" s="5" t="s">
        <v>754</v>
      </c>
      <c r="C3200" s="9">
        <v>43698</v>
      </c>
      <c r="D3200" s="5" t="s">
        <v>16</v>
      </c>
      <c r="E3200" s="5" t="s">
        <v>752</v>
      </c>
      <c r="F3200" s="6">
        <v>2730</v>
      </c>
    </row>
    <row r="3201" spans="1:6" x14ac:dyDescent="0.15">
      <c r="A3201" s="5" t="s">
        <v>37</v>
      </c>
      <c r="B3201" s="5" t="s">
        <v>756</v>
      </c>
      <c r="C3201" s="9">
        <v>43698</v>
      </c>
      <c r="D3201" s="5" t="s">
        <v>16</v>
      </c>
      <c r="E3201" s="5" t="s">
        <v>755</v>
      </c>
      <c r="F3201" s="6">
        <v>390</v>
      </c>
    </row>
    <row r="3202" spans="1:6" x14ac:dyDescent="0.15">
      <c r="A3202" s="5" t="s">
        <v>37</v>
      </c>
      <c r="B3202" s="5" t="s">
        <v>758</v>
      </c>
      <c r="C3202" s="9">
        <v>43698</v>
      </c>
      <c r="D3202" s="5" t="s">
        <v>16</v>
      </c>
      <c r="E3202" s="5" t="s">
        <v>757</v>
      </c>
      <c r="F3202" s="6">
        <v>487.5</v>
      </c>
    </row>
    <row r="3203" spans="1:6" x14ac:dyDescent="0.15">
      <c r="A3203" s="5" t="s">
        <v>41</v>
      </c>
      <c r="B3203" s="5" t="s">
        <v>1513</v>
      </c>
      <c r="C3203" s="9">
        <v>43717</v>
      </c>
      <c r="D3203" s="5" t="s">
        <v>16</v>
      </c>
      <c r="E3203" s="5" t="s">
        <v>1512</v>
      </c>
      <c r="F3203" s="6">
        <v>4268</v>
      </c>
    </row>
    <row r="3204" spans="1:6" x14ac:dyDescent="0.15">
      <c r="A3204" s="5" t="s">
        <v>35</v>
      </c>
      <c r="B3204" s="5" t="s">
        <v>1514</v>
      </c>
      <c r="C3204" s="9">
        <v>43717</v>
      </c>
      <c r="D3204" s="5" t="s">
        <v>16</v>
      </c>
      <c r="E3204" s="5" t="s">
        <v>1512</v>
      </c>
      <c r="F3204" s="6">
        <v>9750</v>
      </c>
    </row>
    <row r="3205" spans="1:6" x14ac:dyDescent="0.15">
      <c r="A3205" s="5" t="s">
        <v>43</v>
      </c>
      <c r="B3205" s="5" t="s">
        <v>1515</v>
      </c>
      <c r="C3205" s="9">
        <v>43717</v>
      </c>
      <c r="D3205" s="5" t="s">
        <v>16</v>
      </c>
      <c r="E3205" s="5" t="s">
        <v>1512</v>
      </c>
      <c r="F3205" s="6">
        <v>6402</v>
      </c>
    </row>
    <row r="3206" spans="1:6" x14ac:dyDescent="0.15">
      <c r="A3206" s="5" t="s">
        <v>37</v>
      </c>
      <c r="B3206" s="5" t="s">
        <v>760</v>
      </c>
      <c r="C3206" s="9">
        <v>43699</v>
      </c>
      <c r="D3206" s="5" t="s">
        <v>16</v>
      </c>
      <c r="E3206" s="5" t="s">
        <v>759</v>
      </c>
      <c r="F3206" s="6">
        <v>2242.5</v>
      </c>
    </row>
    <row r="3207" spans="1:6" x14ac:dyDescent="0.15">
      <c r="A3207" s="5" t="s">
        <v>37</v>
      </c>
      <c r="B3207" s="5" t="s">
        <v>761</v>
      </c>
      <c r="C3207" s="9">
        <v>43699</v>
      </c>
      <c r="D3207" s="5" t="s">
        <v>16</v>
      </c>
      <c r="E3207" s="5" t="s">
        <v>113</v>
      </c>
      <c r="F3207" s="6">
        <v>10530</v>
      </c>
    </row>
    <row r="3208" spans="1:6" x14ac:dyDescent="0.15">
      <c r="A3208" s="5" t="s">
        <v>37</v>
      </c>
      <c r="B3208" s="5" t="s">
        <v>763</v>
      </c>
      <c r="C3208" s="9">
        <v>43699</v>
      </c>
      <c r="D3208" s="5" t="s">
        <v>16</v>
      </c>
      <c r="E3208" s="5" t="s">
        <v>762</v>
      </c>
      <c r="F3208" s="6">
        <v>6337.5</v>
      </c>
    </row>
    <row r="3209" spans="1:6" x14ac:dyDescent="0.15">
      <c r="A3209" s="5" t="s">
        <v>53</v>
      </c>
      <c r="B3209" s="5" t="s">
        <v>764</v>
      </c>
      <c r="C3209" s="9">
        <v>43699</v>
      </c>
      <c r="D3209" s="5" t="s">
        <v>16</v>
      </c>
      <c r="E3209" s="5" t="s">
        <v>114</v>
      </c>
      <c r="F3209" s="6">
        <v>292.5</v>
      </c>
    </row>
    <row r="3210" spans="1:6" x14ac:dyDescent="0.15">
      <c r="A3210" s="5" t="s">
        <v>53</v>
      </c>
      <c r="B3210" s="5" t="s">
        <v>765</v>
      </c>
      <c r="C3210" s="9">
        <v>43700</v>
      </c>
      <c r="D3210" s="5" t="s">
        <v>16</v>
      </c>
      <c r="E3210" s="5" t="s">
        <v>114</v>
      </c>
      <c r="F3210" s="6">
        <v>-292.5</v>
      </c>
    </row>
    <row r="3211" spans="1:6" x14ac:dyDescent="0.15">
      <c r="A3211" s="5" t="s">
        <v>37</v>
      </c>
      <c r="B3211" s="5" t="s">
        <v>766</v>
      </c>
      <c r="C3211" s="9">
        <v>43699</v>
      </c>
      <c r="D3211" s="5" t="s">
        <v>16</v>
      </c>
      <c r="E3211" s="5" t="s">
        <v>115</v>
      </c>
      <c r="F3211" s="6">
        <v>19110</v>
      </c>
    </row>
    <row r="3212" spans="1:6" x14ac:dyDescent="0.15">
      <c r="A3212" s="5" t="s">
        <v>35</v>
      </c>
      <c r="B3212" s="5" t="s">
        <v>767</v>
      </c>
      <c r="C3212" s="9">
        <v>43699</v>
      </c>
      <c r="D3212" s="5" t="s">
        <v>16</v>
      </c>
      <c r="E3212" s="5" t="s">
        <v>116</v>
      </c>
      <c r="F3212" s="6">
        <v>1462.5</v>
      </c>
    </row>
    <row r="3213" spans="1:6" x14ac:dyDescent="0.15">
      <c r="A3213" s="5" t="s">
        <v>35</v>
      </c>
      <c r="B3213" s="5" t="s">
        <v>769</v>
      </c>
      <c r="C3213" s="9">
        <v>43700</v>
      </c>
      <c r="D3213" s="5" t="s">
        <v>16</v>
      </c>
      <c r="E3213" s="5" t="s">
        <v>768</v>
      </c>
      <c r="F3213" s="6">
        <v>4095</v>
      </c>
    </row>
    <row r="3214" spans="1:6" x14ac:dyDescent="0.15">
      <c r="A3214" s="5" t="s">
        <v>55</v>
      </c>
      <c r="B3214" s="5" t="s">
        <v>741</v>
      </c>
      <c r="C3214" s="9">
        <v>43700</v>
      </c>
      <c r="D3214" s="5" t="s">
        <v>16</v>
      </c>
      <c r="E3214" s="5" t="s">
        <v>739</v>
      </c>
      <c r="F3214" s="6">
        <v>100</v>
      </c>
    </row>
    <row r="3215" spans="1:6" x14ac:dyDescent="0.15">
      <c r="A3215" s="5" t="s">
        <v>35</v>
      </c>
      <c r="B3215" s="5" t="s">
        <v>771</v>
      </c>
      <c r="C3215" s="9">
        <v>43703</v>
      </c>
      <c r="D3215" s="5" t="s">
        <v>16</v>
      </c>
      <c r="E3215" s="5" t="s">
        <v>770</v>
      </c>
      <c r="F3215" s="6">
        <v>4485</v>
      </c>
    </row>
    <row r="3216" spans="1:6" x14ac:dyDescent="0.15">
      <c r="A3216" s="5" t="s">
        <v>55</v>
      </c>
      <c r="B3216" s="5" t="s">
        <v>772</v>
      </c>
      <c r="C3216" s="9">
        <v>43703</v>
      </c>
      <c r="D3216" s="5" t="s">
        <v>16</v>
      </c>
      <c r="E3216" s="5" t="s">
        <v>770</v>
      </c>
      <c r="F3216" s="6">
        <v>500</v>
      </c>
    </row>
    <row r="3217" spans="1:6" x14ac:dyDescent="0.15">
      <c r="A3217" s="5" t="s">
        <v>40</v>
      </c>
      <c r="B3217" s="5" t="s">
        <v>774</v>
      </c>
      <c r="C3217" s="9">
        <v>43703</v>
      </c>
      <c r="D3217" s="5" t="s">
        <v>16</v>
      </c>
      <c r="E3217" s="5" t="s">
        <v>773</v>
      </c>
      <c r="F3217" s="6">
        <v>300</v>
      </c>
    </row>
    <row r="3218" spans="1:6" x14ac:dyDescent="0.15">
      <c r="A3218" s="5" t="s">
        <v>35</v>
      </c>
      <c r="B3218" s="5" t="s">
        <v>775</v>
      </c>
      <c r="C3218" s="9">
        <v>43703</v>
      </c>
      <c r="D3218" s="5" t="s">
        <v>16</v>
      </c>
      <c r="E3218" s="5" t="s">
        <v>773</v>
      </c>
      <c r="F3218" s="6">
        <v>1072.5</v>
      </c>
    </row>
    <row r="3219" spans="1:6" x14ac:dyDescent="0.15">
      <c r="A3219" s="5" t="s">
        <v>43</v>
      </c>
      <c r="B3219" s="5" t="s">
        <v>776</v>
      </c>
      <c r="C3219" s="9">
        <v>43703</v>
      </c>
      <c r="D3219" s="5" t="s">
        <v>16</v>
      </c>
      <c r="E3219" s="5" t="s">
        <v>117</v>
      </c>
      <c r="F3219" s="6">
        <v>97</v>
      </c>
    </row>
    <row r="3220" spans="1:6" x14ac:dyDescent="0.15">
      <c r="A3220" s="5" t="s">
        <v>42</v>
      </c>
      <c r="B3220" s="5" t="s">
        <v>777</v>
      </c>
      <c r="C3220" s="9">
        <v>43703</v>
      </c>
      <c r="D3220" s="5" t="s">
        <v>16</v>
      </c>
      <c r="E3220" s="5" t="s">
        <v>117</v>
      </c>
      <c r="F3220" s="6">
        <v>450</v>
      </c>
    </row>
    <row r="3221" spans="1:6" x14ac:dyDescent="0.15">
      <c r="A3221" s="5" t="s">
        <v>37</v>
      </c>
      <c r="B3221" s="5" t="s">
        <v>778</v>
      </c>
      <c r="C3221" s="9">
        <v>43703</v>
      </c>
      <c r="D3221" s="5" t="s">
        <v>16</v>
      </c>
      <c r="E3221" s="5" t="s">
        <v>117</v>
      </c>
      <c r="F3221" s="6">
        <v>1170</v>
      </c>
    </row>
    <row r="3222" spans="1:6" x14ac:dyDescent="0.15">
      <c r="A3222" s="5" t="s">
        <v>37</v>
      </c>
      <c r="B3222" s="5" t="s">
        <v>779</v>
      </c>
      <c r="C3222" s="9">
        <v>43704</v>
      </c>
      <c r="D3222" s="5" t="s">
        <v>16</v>
      </c>
      <c r="E3222" s="5" t="s">
        <v>118</v>
      </c>
      <c r="F3222" s="6">
        <v>16672.5</v>
      </c>
    </row>
    <row r="3223" spans="1:6" x14ac:dyDescent="0.15">
      <c r="A3223" s="5" t="s">
        <v>37</v>
      </c>
      <c r="B3223" s="5" t="s">
        <v>780</v>
      </c>
      <c r="C3223" s="9">
        <v>43703</v>
      </c>
      <c r="D3223" s="5" t="s">
        <v>16</v>
      </c>
      <c r="E3223" s="5" t="s">
        <v>119</v>
      </c>
      <c r="F3223" s="6">
        <v>4485</v>
      </c>
    </row>
    <row r="3224" spans="1:6" x14ac:dyDescent="0.15">
      <c r="A3224" s="5" t="s">
        <v>43</v>
      </c>
      <c r="B3224" s="5" t="s">
        <v>782</v>
      </c>
      <c r="C3224" s="9">
        <v>43693</v>
      </c>
      <c r="D3224" s="5" t="s">
        <v>16</v>
      </c>
      <c r="E3224" s="5" t="s">
        <v>781</v>
      </c>
      <c r="F3224" s="6">
        <v>582</v>
      </c>
    </row>
    <row r="3225" spans="1:6" x14ac:dyDescent="0.15">
      <c r="A3225" s="5" t="s">
        <v>37</v>
      </c>
      <c r="B3225" s="5" t="s">
        <v>783</v>
      </c>
      <c r="C3225" s="9">
        <v>43693</v>
      </c>
      <c r="D3225" s="5" t="s">
        <v>16</v>
      </c>
      <c r="E3225" s="5" t="s">
        <v>781</v>
      </c>
      <c r="F3225" s="6">
        <v>1170</v>
      </c>
    </row>
    <row r="3226" spans="1:6" x14ac:dyDescent="0.15">
      <c r="A3226" s="5" t="s">
        <v>35</v>
      </c>
      <c r="B3226" s="5" t="s">
        <v>784</v>
      </c>
      <c r="C3226" s="9">
        <v>43699</v>
      </c>
      <c r="D3226" s="5" t="s">
        <v>16</v>
      </c>
      <c r="E3226" s="5" t="s">
        <v>120</v>
      </c>
      <c r="F3226" s="6">
        <v>1170</v>
      </c>
    </row>
    <row r="3227" spans="1:6" x14ac:dyDescent="0.15">
      <c r="A3227" s="5" t="s">
        <v>37</v>
      </c>
      <c r="B3227" s="5" t="s">
        <v>785</v>
      </c>
      <c r="C3227" s="9">
        <v>43691</v>
      </c>
      <c r="D3227" s="5" t="s">
        <v>16</v>
      </c>
      <c r="E3227" s="5" t="s">
        <v>121</v>
      </c>
      <c r="F3227" s="6">
        <v>2340</v>
      </c>
    </row>
    <row r="3228" spans="1:6" x14ac:dyDescent="0.15">
      <c r="A3228" s="5" t="s">
        <v>35</v>
      </c>
      <c r="B3228" s="5" t="s">
        <v>787</v>
      </c>
      <c r="C3228" s="9">
        <v>43703</v>
      </c>
      <c r="D3228" s="5" t="s">
        <v>16</v>
      </c>
      <c r="E3228" s="5" t="s">
        <v>786</v>
      </c>
      <c r="F3228" s="6">
        <v>15015</v>
      </c>
    </row>
    <row r="3229" spans="1:6" x14ac:dyDescent="0.15">
      <c r="A3229" s="5" t="s">
        <v>37</v>
      </c>
      <c r="B3229" s="5" t="s">
        <v>789</v>
      </c>
      <c r="C3229" s="9">
        <v>43704</v>
      </c>
      <c r="D3229" s="5" t="s">
        <v>16</v>
      </c>
      <c r="E3229" s="5" t="s">
        <v>788</v>
      </c>
      <c r="F3229" s="6">
        <v>18135</v>
      </c>
    </row>
    <row r="3230" spans="1:6" x14ac:dyDescent="0.15">
      <c r="A3230" s="5" t="s">
        <v>35</v>
      </c>
      <c r="B3230" s="5" t="s">
        <v>791</v>
      </c>
      <c r="C3230" s="9">
        <v>43704</v>
      </c>
      <c r="D3230" s="5" t="s">
        <v>16</v>
      </c>
      <c r="E3230" s="5" t="s">
        <v>790</v>
      </c>
      <c r="F3230" s="6">
        <v>292.5</v>
      </c>
    </row>
    <row r="3231" spans="1:6" x14ac:dyDescent="0.15">
      <c r="A3231" s="5" t="s">
        <v>37</v>
      </c>
      <c r="B3231" s="5" t="s">
        <v>792</v>
      </c>
      <c r="C3231" s="9">
        <v>43705</v>
      </c>
      <c r="D3231" s="5" t="s">
        <v>16</v>
      </c>
      <c r="E3231" s="5" t="s">
        <v>122</v>
      </c>
      <c r="F3231" s="6">
        <v>4095</v>
      </c>
    </row>
    <row r="3232" spans="1:6" x14ac:dyDescent="0.15">
      <c r="A3232" s="5" t="s">
        <v>35</v>
      </c>
      <c r="B3232" s="5" t="s">
        <v>793</v>
      </c>
      <c r="C3232" s="9">
        <v>43705</v>
      </c>
      <c r="D3232" s="5" t="s">
        <v>16</v>
      </c>
      <c r="E3232" s="5" t="s">
        <v>123</v>
      </c>
      <c r="F3232" s="6">
        <v>1950</v>
      </c>
    </row>
    <row r="3233" spans="1:6" x14ac:dyDescent="0.15">
      <c r="A3233" s="5" t="s">
        <v>35</v>
      </c>
      <c r="B3233" s="5" t="s">
        <v>794</v>
      </c>
      <c r="C3233" s="9">
        <v>43710</v>
      </c>
      <c r="D3233" s="5" t="s">
        <v>16</v>
      </c>
      <c r="E3233" s="5" t="s">
        <v>124</v>
      </c>
      <c r="F3233" s="6">
        <v>3900</v>
      </c>
    </row>
    <row r="3234" spans="1:6" x14ac:dyDescent="0.15">
      <c r="A3234" s="5" t="s">
        <v>35</v>
      </c>
      <c r="B3234" s="5" t="s">
        <v>795</v>
      </c>
      <c r="C3234" s="9">
        <v>43710</v>
      </c>
      <c r="D3234" s="5" t="s">
        <v>16</v>
      </c>
      <c r="E3234" s="5" t="s">
        <v>125</v>
      </c>
      <c r="F3234" s="6">
        <v>25350</v>
      </c>
    </row>
    <row r="3235" spans="1:6" x14ac:dyDescent="0.15">
      <c r="A3235" s="5" t="s">
        <v>35</v>
      </c>
      <c r="B3235" s="5" t="s">
        <v>797</v>
      </c>
      <c r="C3235" s="9">
        <v>43710</v>
      </c>
      <c r="D3235" s="5" t="s">
        <v>16</v>
      </c>
      <c r="E3235" s="5" t="s">
        <v>796</v>
      </c>
      <c r="F3235" s="6">
        <v>4387.5</v>
      </c>
    </row>
    <row r="3236" spans="1:6" x14ac:dyDescent="0.15">
      <c r="A3236" s="5" t="s">
        <v>37</v>
      </c>
      <c r="B3236" s="5" t="s">
        <v>798</v>
      </c>
      <c r="C3236" s="9">
        <v>43710</v>
      </c>
      <c r="D3236" s="5" t="s">
        <v>16</v>
      </c>
      <c r="E3236" s="5" t="s">
        <v>796</v>
      </c>
      <c r="F3236" s="6">
        <v>487.5</v>
      </c>
    </row>
    <row r="3237" spans="1:6" x14ac:dyDescent="0.15">
      <c r="A3237" s="5" t="s">
        <v>49</v>
      </c>
      <c r="B3237" s="5" t="s">
        <v>799</v>
      </c>
      <c r="C3237" s="9">
        <v>43710</v>
      </c>
      <c r="D3237" s="5" t="s">
        <v>16</v>
      </c>
      <c r="E3237" s="5" t="s">
        <v>126</v>
      </c>
      <c r="F3237" s="6">
        <v>1300</v>
      </c>
    </row>
    <row r="3238" spans="1:6" x14ac:dyDescent="0.15">
      <c r="A3238" s="5" t="s">
        <v>37</v>
      </c>
      <c r="B3238" s="5" t="s">
        <v>800</v>
      </c>
      <c r="C3238" s="9">
        <v>43710</v>
      </c>
      <c r="D3238" s="5" t="s">
        <v>16</v>
      </c>
      <c r="E3238" s="5" t="s">
        <v>127</v>
      </c>
      <c r="F3238" s="6">
        <v>975</v>
      </c>
    </row>
    <row r="3239" spans="1:6" x14ac:dyDescent="0.15">
      <c r="A3239" s="5" t="s">
        <v>37</v>
      </c>
      <c r="B3239" s="5" t="s">
        <v>802</v>
      </c>
      <c r="C3239" s="9">
        <v>43711</v>
      </c>
      <c r="D3239" s="5" t="s">
        <v>16</v>
      </c>
      <c r="E3239" s="5" t="s">
        <v>801</v>
      </c>
      <c r="F3239" s="6">
        <v>3022.5</v>
      </c>
    </row>
    <row r="3240" spans="1:6" x14ac:dyDescent="0.15">
      <c r="A3240" s="5" t="s">
        <v>37</v>
      </c>
      <c r="B3240" s="5" t="s">
        <v>804</v>
      </c>
      <c r="C3240" s="9">
        <v>43711</v>
      </c>
      <c r="D3240" s="5" t="s">
        <v>16</v>
      </c>
      <c r="E3240" s="5" t="s">
        <v>803</v>
      </c>
      <c r="F3240" s="6">
        <v>2145</v>
      </c>
    </row>
    <row r="3241" spans="1:6" x14ac:dyDescent="0.15">
      <c r="A3241" s="5" t="s">
        <v>37</v>
      </c>
      <c r="B3241" s="5" t="s">
        <v>806</v>
      </c>
      <c r="C3241" s="9">
        <v>43710</v>
      </c>
      <c r="D3241" s="5" t="s">
        <v>16</v>
      </c>
      <c r="E3241" s="5" t="s">
        <v>805</v>
      </c>
      <c r="F3241" s="6">
        <v>4192.5</v>
      </c>
    </row>
    <row r="3242" spans="1:6" x14ac:dyDescent="0.15">
      <c r="A3242" s="5" t="s">
        <v>35</v>
      </c>
      <c r="B3242" s="5" t="s">
        <v>808</v>
      </c>
      <c r="C3242" s="9">
        <v>43707</v>
      </c>
      <c r="D3242" s="5" t="s">
        <v>16</v>
      </c>
      <c r="E3242" s="5" t="s">
        <v>807</v>
      </c>
      <c r="F3242" s="6">
        <v>-97.5</v>
      </c>
    </row>
    <row r="3243" spans="1:6" x14ac:dyDescent="0.15">
      <c r="A3243" s="5" t="s">
        <v>35</v>
      </c>
      <c r="B3243" s="5" t="s">
        <v>809</v>
      </c>
      <c r="C3243" s="9">
        <v>43707</v>
      </c>
      <c r="D3243" s="5" t="s">
        <v>16</v>
      </c>
      <c r="E3243" s="5" t="s">
        <v>807</v>
      </c>
      <c r="F3243" s="6">
        <v>97.5</v>
      </c>
    </row>
    <row r="3244" spans="1:6" x14ac:dyDescent="0.15">
      <c r="A3244" s="5" t="s">
        <v>53</v>
      </c>
      <c r="B3244" s="5" t="s">
        <v>1331</v>
      </c>
      <c r="C3244" s="9">
        <v>43724</v>
      </c>
      <c r="D3244" s="5" t="s">
        <v>16</v>
      </c>
      <c r="E3244" s="5" t="s">
        <v>1330</v>
      </c>
      <c r="F3244" s="6">
        <v>27885</v>
      </c>
    </row>
    <row r="3245" spans="1:6" x14ac:dyDescent="0.15">
      <c r="A3245" s="5" t="s">
        <v>37</v>
      </c>
      <c r="B3245" s="5" t="s">
        <v>811</v>
      </c>
      <c r="C3245" s="9">
        <v>43714</v>
      </c>
      <c r="D3245" s="5" t="s">
        <v>16</v>
      </c>
      <c r="E3245" s="5" t="s">
        <v>810</v>
      </c>
      <c r="F3245" s="6">
        <v>10042.5</v>
      </c>
    </row>
    <row r="3246" spans="1:6" x14ac:dyDescent="0.15">
      <c r="A3246" s="5" t="s">
        <v>37</v>
      </c>
      <c r="B3246" s="5" t="s">
        <v>813</v>
      </c>
      <c r="C3246" s="9">
        <v>43710</v>
      </c>
      <c r="D3246" s="5" t="s">
        <v>16</v>
      </c>
      <c r="E3246" s="5" t="s">
        <v>812</v>
      </c>
      <c r="F3246" s="6">
        <v>292.5</v>
      </c>
    </row>
    <row r="3247" spans="1:6" x14ac:dyDescent="0.15">
      <c r="A3247" s="5" t="s">
        <v>35</v>
      </c>
      <c r="B3247" s="5" t="s">
        <v>815</v>
      </c>
      <c r="C3247" s="9">
        <v>43713</v>
      </c>
      <c r="D3247" s="5" t="s">
        <v>16</v>
      </c>
      <c r="E3247" s="5" t="s">
        <v>814</v>
      </c>
      <c r="F3247" s="6">
        <v>16575</v>
      </c>
    </row>
    <row r="3248" spans="1:6" x14ac:dyDescent="0.15">
      <c r="A3248" s="5" t="s">
        <v>35</v>
      </c>
      <c r="B3248" s="5" t="s">
        <v>817</v>
      </c>
      <c r="C3248" s="9">
        <v>43717</v>
      </c>
      <c r="D3248" s="5" t="s">
        <v>16</v>
      </c>
      <c r="E3248" s="5" t="s">
        <v>816</v>
      </c>
      <c r="F3248" s="6">
        <v>4777.5</v>
      </c>
    </row>
    <row r="3249" spans="1:6" x14ac:dyDescent="0.15">
      <c r="A3249" s="5" t="s">
        <v>35</v>
      </c>
      <c r="B3249" s="5" t="s">
        <v>819</v>
      </c>
      <c r="C3249" s="9">
        <v>43717</v>
      </c>
      <c r="D3249" s="5" t="s">
        <v>16</v>
      </c>
      <c r="E3249" s="5" t="s">
        <v>818</v>
      </c>
      <c r="F3249" s="6">
        <v>1560</v>
      </c>
    </row>
    <row r="3250" spans="1:6" x14ac:dyDescent="0.15">
      <c r="A3250" s="5" t="s">
        <v>35</v>
      </c>
      <c r="B3250" s="5" t="s">
        <v>821</v>
      </c>
      <c r="C3250" s="9">
        <v>43717</v>
      </c>
      <c r="D3250" s="5" t="s">
        <v>16</v>
      </c>
      <c r="E3250" s="5" t="s">
        <v>820</v>
      </c>
      <c r="F3250" s="6">
        <v>2827.5</v>
      </c>
    </row>
    <row r="3251" spans="1:6" x14ac:dyDescent="0.15">
      <c r="A3251" s="5" t="s">
        <v>37</v>
      </c>
      <c r="B3251" s="5" t="s">
        <v>823</v>
      </c>
      <c r="C3251" s="9">
        <v>43718</v>
      </c>
      <c r="D3251" s="5" t="s">
        <v>16</v>
      </c>
      <c r="E3251" s="5" t="s">
        <v>822</v>
      </c>
      <c r="F3251" s="6">
        <v>390</v>
      </c>
    </row>
    <row r="3252" spans="1:6" x14ac:dyDescent="0.15">
      <c r="A3252" s="5" t="s">
        <v>35</v>
      </c>
      <c r="B3252" s="5" t="s">
        <v>825</v>
      </c>
      <c r="C3252" s="9">
        <v>43717</v>
      </c>
      <c r="D3252" s="5" t="s">
        <v>16</v>
      </c>
      <c r="E3252" s="5" t="s">
        <v>824</v>
      </c>
      <c r="F3252" s="6">
        <v>1267.5</v>
      </c>
    </row>
    <row r="3253" spans="1:6" x14ac:dyDescent="0.15">
      <c r="A3253" s="5" t="s">
        <v>37</v>
      </c>
      <c r="B3253" s="5" t="s">
        <v>827</v>
      </c>
      <c r="C3253" s="9">
        <v>43718</v>
      </c>
      <c r="D3253" s="5" t="s">
        <v>16</v>
      </c>
      <c r="E3253" s="5" t="s">
        <v>826</v>
      </c>
      <c r="F3253" s="6">
        <v>5850</v>
      </c>
    </row>
    <row r="3254" spans="1:6" x14ac:dyDescent="0.15">
      <c r="A3254" s="5" t="s">
        <v>43</v>
      </c>
      <c r="B3254" s="5" t="s">
        <v>829</v>
      </c>
      <c r="C3254" s="9">
        <v>43718</v>
      </c>
      <c r="D3254" s="5" t="s">
        <v>16</v>
      </c>
      <c r="E3254" s="5" t="s">
        <v>828</v>
      </c>
      <c r="F3254" s="6">
        <v>1406.5</v>
      </c>
    </row>
    <row r="3255" spans="1:6" x14ac:dyDescent="0.15">
      <c r="A3255" s="5" t="s">
        <v>37</v>
      </c>
      <c r="B3255" s="5" t="s">
        <v>830</v>
      </c>
      <c r="C3255" s="9">
        <v>43718</v>
      </c>
      <c r="D3255" s="5" t="s">
        <v>16</v>
      </c>
      <c r="E3255" s="5" t="s">
        <v>828</v>
      </c>
      <c r="F3255" s="6">
        <v>780</v>
      </c>
    </row>
    <row r="3256" spans="1:6" x14ac:dyDescent="0.15">
      <c r="A3256" s="5" t="s">
        <v>37</v>
      </c>
      <c r="B3256" s="5" t="s">
        <v>832</v>
      </c>
      <c r="C3256" s="9">
        <v>43718</v>
      </c>
      <c r="D3256" s="5" t="s">
        <v>16</v>
      </c>
      <c r="E3256" s="5" t="s">
        <v>831</v>
      </c>
      <c r="F3256" s="6">
        <v>7215</v>
      </c>
    </row>
    <row r="3257" spans="1:6" x14ac:dyDescent="0.15">
      <c r="A3257" s="5" t="s">
        <v>43</v>
      </c>
      <c r="B3257" s="5" t="s">
        <v>833</v>
      </c>
      <c r="C3257" s="9">
        <v>43718</v>
      </c>
      <c r="D3257" s="5" t="s">
        <v>16</v>
      </c>
      <c r="E3257" s="5" t="s">
        <v>831</v>
      </c>
      <c r="F3257" s="6">
        <v>1794.5</v>
      </c>
    </row>
    <row r="3258" spans="1:6" x14ac:dyDescent="0.15">
      <c r="A3258" s="5" t="s">
        <v>49</v>
      </c>
      <c r="B3258" s="5" t="s">
        <v>835</v>
      </c>
      <c r="C3258" s="9">
        <v>43718</v>
      </c>
      <c r="D3258" s="5" t="s">
        <v>16</v>
      </c>
      <c r="E3258" s="5" t="s">
        <v>834</v>
      </c>
      <c r="F3258" s="6">
        <v>194</v>
      </c>
    </row>
    <row r="3259" spans="1:6" x14ac:dyDescent="0.15">
      <c r="A3259" s="5" t="s">
        <v>37</v>
      </c>
      <c r="B3259" s="5" t="s">
        <v>836</v>
      </c>
      <c r="C3259" s="9">
        <v>43719</v>
      </c>
      <c r="D3259" s="5" t="s">
        <v>16</v>
      </c>
      <c r="E3259" s="5" t="s">
        <v>128</v>
      </c>
      <c r="F3259" s="6">
        <v>12967.5</v>
      </c>
    </row>
    <row r="3260" spans="1:6" x14ac:dyDescent="0.15">
      <c r="A3260" s="5" t="s">
        <v>40</v>
      </c>
      <c r="B3260" s="5" t="s">
        <v>837</v>
      </c>
      <c r="C3260" s="9">
        <v>43719</v>
      </c>
      <c r="D3260" s="5" t="s">
        <v>16</v>
      </c>
      <c r="E3260" s="5" t="s">
        <v>128</v>
      </c>
      <c r="F3260" s="6">
        <v>5025</v>
      </c>
    </row>
    <row r="3261" spans="1:6" x14ac:dyDescent="0.15">
      <c r="A3261" s="5" t="s">
        <v>37</v>
      </c>
      <c r="B3261" s="5" t="s">
        <v>839</v>
      </c>
      <c r="C3261" s="9">
        <v>43719</v>
      </c>
      <c r="D3261" s="5" t="s">
        <v>16</v>
      </c>
      <c r="E3261" s="5" t="s">
        <v>838</v>
      </c>
      <c r="F3261" s="6">
        <v>1950</v>
      </c>
    </row>
    <row r="3262" spans="1:6" x14ac:dyDescent="0.15">
      <c r="A3262" s="5" t="s">
        <v>37</v>
      </c>
      <c r="B3262" s="5" t="s">
        <v>841</v>
      </c>
      <c r="C3262" s="9">
        <v>43719</v>
      </c>
      <c r="D3262" s="5" t="s">
        <v>16</v>
      </c>
      <c r="E3262" s="5" t="s">
        <v>840</v>
      </c>
      <c r="F3262" s="6">
        <v>1267.5</v>
      </c>
    </row>
    <row r="3263" spans="1:6" x14ac:dyDescent="0.15">
      <c r="A3263" s="5" t="s">
        <v>43</v>
      </c>
      <c r="B3263" s="5" t="s">
        <v>842</v>
      </c>
      <c r="C3263" s="9">
        <v>43719</v>
      </c>
      <c r="D3263" s="5" t="s">
        <v>16</v>
      </c>
      <c r="E3263" s="5" t="s">
        <v>129</v>
      </c>
      <c r="F3263" s="6">
        <v>485</v>
      </c>
    </row>
    <row r="3264" spans="1:6" x14ac:dyDescent="0.15">
      <c r="A3264" s="5" t="s">
        <v>41</v>
      </c>
      <c r="B3264" s="5" t="s">
        <v>843</v>
      </c>
      <c r="C3264" s="9">
        <v>43719</v>
      </c>
      <c r="D3264" s="5" t="s">
        <v>16</v>
      </c>
      <c r="E3264" s="5" t="s">
        <v>129</v>
      </c>
      <c r="F3264" s="6">
        <v>48.5</v>
      </c>
    </row>
    <row r="3265" spans="1:6" x14ac:dyDescent="0.15">
      <c r="A3265" s="5" t="s">
        <v>35</v>
      </c>
      <c r="B3265" s="5" t="s">
        <v>844</v>
      </c>
      <c r="C3265" s="9">
        <v>43719</v>
      </c>
      <c r="D3265" s="5" t="s">
        <v>16</v>
      </c>
      <c r="E3265" s="5" t="s">
        <v>130</v>
      </c>
      <c r="F3265" s="6">
        <v>7507.5</v>
      </c>
    </row>
    <row r="3266" spans="1:6" x14ac:dyDescent="0.15">
      <c r="A3266" s="5" t="s">
        <v>37</v>
      </c>
      <c r="B3266" s="5" t="s">
        <v>845</v>
      </c>
      <c r="C3266" s="9">
        <v>43719</v>
      </c>
      <c r="D3266" s="5" t="s">
        <v>16</v>
      </c>
      <c r="E3266" s="5" t="s">
        <v>131</v>
      </c>
      <c r="F3266" s="6">
        <v>5850</v>
      </c>
    </row>
    <row r="3267" spans="1:6" x14ac:dyDescent="0.15">
      <c r="A3267" s="5" t="s">
        <v>43</v>
      </c>
      <c r="B3267" s="5" t="s">
        <v>846</v>
      </c>
      <c r="C3267" s="9">
        <v>43719</v>
      </c>
      <c r="D3267" s="5" t="s">
        <v>16</v>
      </c>
      <c r="E3267" s="5" t="s">
        <v>132</v>
      </c>
      <c r="F3267" s="6">
        <v>4656</v>
      </c>
    </row>
    <row r="3268" spans="1:6" x14ac:dyDescent="0.15">
      <c r="A3268" s="5" t="s">
        <v>42</v>
      </c>
      <c r="B3268" s="5" t="s">
        <v>847</v>
      </c>
      <c r="C3268" s="9">
        <v>43719</v>
      </c>
      <c r="D3268" s="5" t="s">
        <v>16</v>
      </c>
      <c r="E3268" s="5" t="s">
        <v>132</v>
      </c>
      <c r="F3268" s="6">
        <v>14550</v>
      </c>
    </row>
    <row r="3269" spans="1:6" x14ac:dyDescent="0.15">
      <c r="A3269" s="5" t="s">
        <v>42</v>
      </c>
      <c r="B3269" s="5" t="s">
        <v>848</v>
      </c>
      <c r="C3269" s="9">
        <v>43720</v>
      </c>
      <c r="D3269" s="5" t="s">
        <v>16</v>
      </c>
      <c r="E3269" s="5" t="s">
        <v>133</v>
      </c>
      <c r="F3269" s="6">
        <v>3000</v>
      </c>
    </row>
    <row r="3270" spans="1:6" x14ac:dyDescent="0.15">
      <c r="A3270" s="5" t="s">
        <v>37</v>
      </c>
      <c r="B3270" s="5" t="s">
        <v>849</v>
      </c>
      <c r="C3270" s="9">
        <v>43720</v>
      </c>
      <c r="D3270" s="5" t="s">
        <v>16</v>
      </c>
      <c r="E3270" s="5" t="s">
        <v>133</v>
      </c>
      <c r="F3270" s="6">
        <v>3900</v>
      </c>
    </row>
    <row r="3271" spans="1:6" x14ac:dyDescent="0.15">
      <c r="A3271" s="5" t="s">
        <v>41</v>
      </c>
      <c r="B3271" s="5" t="s">
        <v>850</v>
      </c>
      <c r="C3271" s="9">
        <v>43721</v>
      </c>
      <c r="D3271" s="5" t="s">
        <v>16</v>
      </c>
      <c r="E3271" s="5" t="s">
        <v>134</v>
      </c>
      <c r="F3271" s="6">
        <v>2570.5</v>
      </c>
    </row>
    <row r="3272" spans="1:6" x14ac:dyDescent="0.15">
      <c r="A3272" s="5" t="s">
        <v>35</v>
      </c>
      <c r="B3272" s="5" t="s">
        <v>851</v>
      </c>
      <c r="C3272" s="9">
        <v>43721</v>
      </c>
      <c r="D3272" s="5" t="s">
        <v>16</v>
      </c>
      <c r="E3272" s="5" t="s">
        <v>134</v>
      </c>
      <c r="F3272" s="6">
        <v>5167.5</v>
      </c>
    </row>
    <row r="3273" spans="1:6" x14ac:dyDescent="0.15">
      <c r="A3273" s="5" t="s">
        <v>42</v>
      </c>
      <c r="B3273" s="5" t="s">
        <v>852</v>
      </c>
      <c r="C3273" s="9">
        <v>43721</v>
      </c>
      <c r="D3273" s="5" t="s">
        <v>16</v>
      </c>
      <c r="E3273" s="5" t="s">
        <v>135</v>
      </c>
      <c r="F3273" s="6">
        <v>4350</v>
      </c>
    </row>
    <row r="3274" spans="1:6" x14ac:dyDescent="0.15">
      <c r="A3274" s="5" t="s">
        <v>35</v>
      </c>
      <c r="B3274" s="5" t="s">
        <v>854</v>
      </c>
      <c r="C3274" s="9">
        <v>43724</v>
      </c>
      <c r="D3274" s="5" t="s">
        <v>16</v>
      </c>
      <c r="E3274" s="5" t="s">
        <v>853</v>
      </c>
      <c r="F3274" s="6">
        <v>4777.5</v>
      </c>
    </row>
    <row r="3275" spans="1:6" x14ac:dyDescent="0.15">
      <c r="A3275" s="5" t="s">
        <v>37</v>
      </c>
      <c r="B3275" s="5" t="s">
        <v>855</v>
      </c>
      <c r="C3275" s="9">
        <v>43724</v>
      </c>
      <c r="D3275" s="5" t="s">
        <v>16</v>
      </c>
      <c r="E3275" s="5" t="s">
        <v>853</v>
      </c>
      <c r="F3275" s="6">
        <v>390</v>
      </c>
    </row>
    <row r="3276" spans="1:6" x14ac:dyDescent="0.15">
      <c r="A3276" s="5" t="s">
        <v>43</v>
      </c>
      <c r="B3276" s="5" t="s">
        <v>856</v>
      </c>
      <c r="C3276" s="9">
        <v>43724</v>
      </c>
      <c r="D3276" s="5" t="s">
        <v>16</v>
      </c>
      <c r="E3276" s="5" t="s">
        <v>136</v>
      </c>
      <c r="F3276" s="6">
        <v>145.5</v>
      </c>
    </row>
    <row r="3277" spans="1:6" x14ac:dyDescent="0.15">
      <c r="A3277" s="5" t="s">
        <v>37</v>
      </c>
      <c r="B3277" s="5" t="s">
        <v>857</v>
      </c>
      <c r="C3277" s="9">
        <v>43724</v>
      </c>
      <c r="D3277" s="5" t="s">
        <v>16</v>
      </c>
      <c r="E3277" s="5" t="s">
        <v>137</v>
      </c>
      <c r="F3277" s="6">
        <v>4192.5</v>
      </c>
    </row>
    <row r="3278" spans="1:6" x14ac:dyDescent="0.15">
      <c r="A3278" s="5" t="s">
        <v>35</v>
      </c>
      <c r="B3278" s="5" t="s">
        <v>859</v>
      </c>
      <c r="C3278" s="9">
        <v>43724</v>
      </c>
      <c r="D3278" s="5" t="s">
        <v>16</v>
      </c>
      <c r="E3278" s="5" t="s">
        <v>858</v>
      </c>
      <c r="F3278" s="6">
        <v>7800</v>
      </c>
    </row>
    <row r="3279" spans="1:6" x14ac:dyDescent="0.15">
      <c r="A3279" s="5" t="s">
        <v>43</v>
      </c>
      <c r="B3279" s="5" t="s">
        <v>1385</v>
      </c>
      <c r="C3279" s="9">
        <v>43731</v>
      </c>
      <c r="D3279" s="5" t="s">
        <v>16</v>
      </c>
      <c r="E3279" s="5" t="s">
        <v>1384</v>
      </c>
      <c r="F3279" s="6">
        <v>23280</v>
      </c>
    </row>
    <row r="3280" spans="1:6" x14ac:dyDescent="0.15">
      <c r="A3280" s="5" t="s">
        <v>37</v>
      </c>
      <c r="B3280" s="5" t="s">
        <v>1461</v>
      </c>
      <c r="C3280" s="9">
        <v>43732</v>
      </c>
      <c r="D3280" s="5" t="s">
        <v>16</v>
      </c>
      <c r="E3280" s="5" t="s">
        <v>1460</v>
      </c>
      <c r="F3280" s="6">
        <v>9750</v>
      </c>
    </row>
    <row r="3281" spans="1:6" x14ac:dyDescent="0.15">
      <c r="A3281" s="5" t="s">
        <v>42</v>
      </c>
      <c r="B3281" s="5" t="s">
        <v>1462</v>
      </c>
      <c r="C3281" s="9">
        <v>43732</v>
      </c>
      <c r="D3281" s="5" t="s">
        <v>16</v>
      </c>
      <c r="E3281" s="5" t="s">
        <v>1460</v>
      </c>
      <c r="F3281" s="6">
        <v>1500</v>
      </c>
    </row>
    <row r="3282" spans="1:6" x14ac:dyDescent="0.15">
      <c r="A3282" s="5" t="s">
        <v>35</v>
      </c>
      <c r="B3282" s="5" t="s">
        <v>861</v>
      </c>
      <c r="C3282" s="9">
        <v>43725</v>
      </c>
      <c r="D3282" s="5" t="s">
        <v>16</v>
      </c>
      <c r="E3282" s="5" t="s">
        <v>860</v>
      </c>
      <c r="F3282" s="6">
        <v>11407.5</v>
      </c>
    </row>
    <row r="3283" spans="1:6" x14ac:dyDescent="0.15">
      <c r="A3283" s="5" t="s">
        <v>51</v>
      </c>
      <c r="B3283" s="5" t="s">
        <v>863</v>
      </c>
      <c r="C3283" s="9">
        <v>43725</v>
      </c>
      <c r="D3283" s="5" t="s">
        <v>16</v>
      </c>
      <c r="E3283" s="5" t="s">
        <v>862</v>
      </c>
      <c r="F3283" s="6">
        <v>4095</v>
      </c>
    </row>
    <row r="3284" spans="1:6" x14ac:dyDescent="0.15">
      <c r="A3284" s="5" t="s">
        <v>35</v>
      </c>
      <c r="B3284" s="5" t="s">
        <v>864</v>
      </c>
      <c r="C3284" s="9">
        <v>43725</v>
      </c>
      <c r="D3284" s="5" t="s">
        <v>16</v>
      </c>
      <c r="E3284" s="5" t="s">
        <v>138</v>
      </c>
      <c r="F3284" s="6">
        <v>5655</v>
      </c>
    </row>
    <row r="3285" spans="1:6" x14ac:dyDescent="0.15">
      <c r="A3285" s="5" t="s">
        <v>35</v>
      </c>
      <c r="B3285" s="5" t="s">
        <v>865</v>
      </c>
      <c r="C3285" s="9">
        <v>43725</v>
      </c>
      <c r="D3285" s="5" t="s">
        <v>16</v>
      </c>
      <c r="E3285" s="5" t="s">
        <v>139</v>
      </c>
      <c r="F3285" s="6">
        <v>7800</v>
      </c>
    </row>
    <row r="3286" spans="1:6" x14ac:dyDescent="0.15">
      <c r="A3286" s="5" t="s">
        <v>37</v>
      </c>
      <c r="B3286" s="5" t="s">
        <v>866</v>
      </c>
      <c r="C3286" s="9">
        <v>43725</v>
      </c>
      <c r="D3286" s="5" t="s">
        <v>16</v>
      </c>
      <c r="E3286" s="5" t="s">
        <v>139</v>
      </c>
      <c r="F3286" s="6">
        <v>2047.5</v>
      </c>
    </row>
    <row r="3287" spans="1:6" x14ac:dyDescent="0.15">
      <c r="A3287" s="5" t="s">
        <v>43</v>
      </c>
      <c r="B3287" s="5" t="s">
        <v>1387</v>
      </c>
      <c r="C3287" s="9">
        <v>43739</v>
      </c>
      <c r="D3287" s="5" t="s">
        <v>16</v>
      </c>
      <c r="E3287" s="5" t="s">
        <v>1386</v>
      </c>
      <c r="F3287" s="6">
        <v>5820</v>
      </c>
    </row>
    <row r="3288" spans="1:6" x14ac:dyDescent="0.15">
      <c r="A3288" s="5" t="s">
        <v>41</v>
      </c>
      <c r="B3288" s="5" t="s">
        <v>1388</v>
      </c>
      <c r="C3288" s="9">
        <v>43739</v>
      </c>
      <c r="D3288" s="5" t="s">
        <v>16</v>
      </c>
      <c r="E3288" s="5" t="s">
        <v>1386</v>
      </c>
      <c r="F3288" s="6">
        <v>3880</v>
      </c>
    </row>
    <row r="3289" spans="1:6" x14ac:dyDescent="0.15">
      <c r="A3289" s="5" t="s">
        <v>35</v>
      </c>
      <c r="B3289" s="5" t="s">
        <v>1389</v>
      </c>
      <c r="C3289" s="9">
        <v>43739</v>
      </c>
      <c r="D3289" s="5" t="s">
        <v>16</v>
      </c>
      <c r="E3289" s="5" t="s">
        <v>1386</v>
      </c>
      <c r="F3289" s="6">
        <v>3900</v>
      </c>
    </row>
    <row r="3290" spans="1:6" x14ac:dyDescent="0.15">
      <c r="A3290" s="5" t="s">
        <v>35</v>
      </c>
      <c r="B3290" s="5" t="s">
        <v>867</v>
      </c>
      <c r="C3290" s="9">
        <v>43725</v>
      </c>
      <c r="D3290" s="5" t="s">
        <v>16</v>
      </c>
      <c r="E3290" s="5" t="s">
        <v>139</v>
      </c>
      <c r="F3290" s="6">
        <v>195</v>
      </c>
    </row>
    <row r="3291" spans="1:6" x14ac:dyDescent="0.15">
      <c r="A3291" s="5" t="s">
        <v>37</v>
      </c>
      <c r="B3291" s="5" t="s">
        <v>869</v>
      </c>
      <c r="C3291" s="9">
        <v>43726</v>
      </c>
      <c r="D3291" s="5" t="s">
        <v>16</v>
      </c>
      <c r="E3291" s="5" t="s">
        <v>868</v>
      </c>
      <c r="F3291" s="6">
        <v>1170</v>
      </c>
    </row>
    <row r="3292" spans="1:6" x14ac:dyDescent="0.15">
      <c r="A3292" s="5" t="s">
        <v>37</v>
      </c>
      <c r="B3292" s="5" t="s">
        <v>871</v>
      </c>
      <c r="C3292" s="9">
        <v>43726</v>
      </c>
      <c r="D3292" s="5" t="s">
        <v>16</v>
      </c>
      <c r="E3292" s="5" t="s">
        <v>870</v>
      </c>
      <c r="F3292" s="6">
        <v>4095</v>
      </c>
    </row>
    <row r="3293" spans="1:6" x14ac:dyDescent="0.15">
      <c r="A3293" s="5" t="s">
        <v>37</v>
      </c>
      <c r="B3293" s="5" t="s">
        <v>873</v>
      </c>
      <c r="C3293" s="9">
        <v>43726</v>
      </c>
      <c r="D3293" s="5" t="s">
        <v>16</v>
      </c>
      <c r="E3293" s="5" t="s">
        <v>872</v>
      </c>
      <c r="F3293" s="6">
        <v>11505</v>
      </c>
    </row>
    <row r="3294" spans="1:6" x14ac:dyDescent="0.15">
      <c r="A3294" s="5" t="s">
        <v>40</v>
      </c>
      <c r="B3294" s="5" t="s">
        <v>1282</v>
      </c>
      <c r="C3294" s="9">
        <v>43745</v>
      </c>
      <c r="D3294" s="5" t="s">
        <v>16</v>
      </c>
      <c r="E3294" s="5" t="s">
        <v>1281</v>
      </c>
      <c r="F3294" s="6">
        <v>7500</v>
      </c>
    </row>
    <row r="3295" spans="1:6" x14ac:dyDescent="0.15">
      <c r="A3295" s="5" t="s">
        <v>174</v>
      </c>
      <c r="B3295" s="5" t="s">
        <v>1283</v>
      </c>
      <c r="C3295" s="9">
        <v>43745</v>
      </c>
      <c r="D3295" s="5" t="s">
        <v>16</v>
      </c>
      <c r="E3295" s="5" t="s">
        <v>1281</v>
      </c>
      <c r="F3295" s="6">
        <v>4500</v>
      </c>
    </row>
    <row r="3296" spans="1:6" x14ac:dyDescent="0.15">
      <c r="A3296" s="5" t="s">
        <v>35</v>
      </c>
      <c r="B3296" s="5" t="s">
        <v>1284</v>
      </c>
      <c r="C3296" s="9">
        <v>43745</v>
      </c>
      <c r="D3296" s="5" t="s">
        <v>16</v>
      </c>
      <c r="E3296" s="5" t="s">
        <v>1281</v>
      </c>
      <c r="F3296" s="6">
        <v>9750</v>
      </c>
    </row>
    <row r="3297" spans="1:6" x14ac:dyDescent="0.15">
      <c r="A3297" s="5" t="s">
        <v>51</v>
      </c>
      <c r="B3297" s="5" t="s">
        <v>1286</v>
      </c>
      <c r="C3297" s="9">
        <v>43745</v>
      </c>
      <c r="D3297" s="5" t="s">
        <v>16</v>
      </c>
      <c r="E3297" s="5" t="s">
        <v>1285</v>
      </c>
      <c r="F3297" s="6">
        <v>9750</v>
      </c>
    </row>
    <row r="3298" spans="1:6" x14ac:dyDescent="0.15">
      <c r="A3298" s="5" t="s">
        <v>37</v>
      </c>
      <c r="B3298" s="5" t="s">
        <v>1287</v>
      </c>
      <c r="C3298" s="9">
        <v>43745</v>
      </c>
      <c r="D3298" s="5" t="s">
        <v>16</v>
      </c>
      <c r="E3298" s="5" t="s">
        <v>1285</v>
      </c>
      <c r="F3298" s="6">
        <v>5850</v>
      </c>
    </row>
    <row r="3299" spans="1:6" x14ac:dyDescent="0.15">
      <c r="A3299" s="5" t="s">
        <v>158</v>
      </c>
      <c r="B3299" s="5" t="s">
        <v>1288</v>
      </c>
      <c r="C3299" s="9">
        <v>43745</v>
      </c>
      <c r="D3299" s="5" t="s">
        <v>16</v>
      </c>
      <c r="E3299" s="5" t="s">
        <v>1285</v>
      </c>
      <c r="F3299" s="6">
        <v>5850</v>
      </c>
    </row>
    <row r="3300" spans="1:6" x14ac:dyDescent="0.15">
      <c r="A3300" s="5" t="s">
        <v>51</v>
      </c>
      <c r="B3300" s="5" t="s">
        <v>875</v>
      </c>
      <c r="C3300" s="9">
        <v>43728</v>
      </c>
      <c r="D3300" s="5" t="s">
        <v>16</v>
      </c>
      <c r="E3300" s="5" t="s">
        <v>874</v>
      </c>
      <c r="F3300" s="6">
        <v>13650</v>
      </c>
    </row>
    <row r="3301" spans="1:6" x14ac:dyDescent="0.15">
      <c r="A3301" s="5" t="s">
        <v>37</v>
      </c>
      <c r="B3301" s="5" t="s">
        <v>876</v>
      </c>
      <c r="C3301" s="9">
        <v>43727</v>
      </c>
      <c r="D3301" s="5" t="s">
        <v>16</v>
      </c>
      <c r="E3301" s="5" t="s">
        <v>140</v>
      </c>
      <c r="F3301" s="6">
        <v>17550</v>
      </c>
    </row>
    <row r="3302" spans="1:6" x14ac:dyDescent="0.15">
      <c r="A3302" s="5" t="s">
        <v>35</v>
      </c>
      <c r="B3302" s="5" t="s">
        <v>877</v>
      </c>
      <c r="C3302" s="9">
        <v>43727</v>
      </c>
      <c r="D3302" s="5" t="s">
        <v>16</v>
      </c>
      <c r="E3302" s="5" t="s">
        <v>140</v>
      </c>
      <c r="F3302" s="6">
        <v>7800</v>
      </c>
    </row>
    <row r="3303" spans="1:6" x14ac:dyDescent="0.15">
      <c r="A3303" s="5" t="s">
        <v>43</v>
      </c>
      <c r="B3303" s="5" t="s">
        <v>878</v>
      </c>
      <c r="C3303" s="9">
        <v>43727</v>
      </c>
      <c r="D3303" s="5" t="s">
        <v>16</v>
      </c>
      <c r="E3303" s="5" t="s">
        <v>141</v>
      </c>
      <c r="F3303" s="6">
        <v>5917</v>
      </c>
    </row>
    <row r="3304" spans="1:6" x14ac:dyDescent="0.15">
      <c r="A3304" s="5" t="s">
        <v>42</v>
      </c>
      <c r="B3304" s="5" t="s">
        <v>879</v>
      </c>
      <c r="C3304" s="9">
        <v>43727</v>
      </c>
      <c r="D3304" s="5" t="s">
        <v>16</v>
      </c>
      <c r="E3304" s="5" t="s">
        <v>141</v>
      </c>
      <c r="F3304" s="6">
        <v>2025</v>
      </c>
    </row>
    <row r="3305" spans="1:6" x14ac:dyDescent="0.15">
      <c r="A3305" s="5" t="s">
        <v>37</v>
      </c>
      <c r="B3305" s="5" t="s">
        <v>881</v>
      </c>
      <c r="C3305" s="9">
        <v>43727</v>
      </c>
      <c r="D3305" s="5" t="s">
        <v>16</v>
      </c>
      <c r="E3305" s="5" t="s">
        <v>880</v>
      </c>
      <c r="F3305" s="6">
        <v>1950</v>
      </c>
    </row>
    <row r="3306" spans="1:6" x14ac:dyDescent="0.15">
      <c r="A3306" s="5" t="s">
        <v>37</v>
      </c>
      <c r="B3306" s="5" t="s">
        <v>883</v>
      </c>
      <c r="C3306" s="9">
        <v>43727</v>
      </c>
      <c r="D3306" s="5" t="s">
        <v>16</v>
      </c>
      <c r="E3306" s="5" t="s">
        <v>882</v>
      </c>
      <c r="F3306" s="6">
        <v>7507.5</v>
      </c>
    </row>
    <row r="3307" spans="1:6" x14ac:dyDescent="0.15">
      <c r="A3307" s="5" t="s">
        <v>35</v>
      </c>
      <c r="B3307" s="5" t="s">
        <v>884</v>
      </c>
      <c r="C3307" s="9">
        <v>43728</v>
      </c>
      <c r="D3307" s="5" t="s">
        <v>16</v>
      </c>
      <c r="E3307" s="5" t="s">
        <v>142</v>
      </c>
      <c r="F3307" s="6">
        <v>3120</v>
      </c>
    </row>
    <row r="3308" spans="1:6" x14ac:dyDescent="0.15">
      <c r="A3308" s="5" t="s">
        <v>41</v>
      </c>
      <c r="B3308" s="5" t="s">
        <v>885</v>
      </c>
      <c r="C3308" s="9">
        <v>43731</v>
      </c>
      <c r="D3308" s="5" t="s">
        <v>16</v>
      </c>
      <c r="E3308" s="5" t="s">
        <v>143</v>
      </c>
      <c r="F3308" s="6">
        <v>5383.5</v>
      </c>
    </row>
    <row r="3309" spans="1:6" x14ac:dyDescent="0.15">
      <c r="A3309" s="5" t="s">
        <v>35</v>
      </c>
      <c r="B3309" s="5" t="s">
        <v>886</v>
      </c>
      <c r="C3309" s="9">
        <v>43731</v>
      </c>
      <c r="D3309" s="5" t="s">
        <v>16</v>
      </c>
      <c r="E3309" s="5" t="s">
        <v>143</v>
      </c>
      <c r="F3309" s="6">
        <v>10822.5</v>
      </c>
    </row>
    <row r="3310" spans="1:6" x14ac:dyDescent="0.15">
      <c r="A3310" s="5" t="s">
        <v>51</v>
      </c>
      <c r="B3310" s="5" t="s">
        <v>1290</v>
      </c>
      <c r="C3310" s="9">
        <v>43745</v>
      </c>
      <c r="D3310" s="5" t="s">
        <v>16</v>
      </c>
      <c r="E3310" s="5" t="s">
        <v>1289</v>
      </c>
      <c r="F3310" s="6">
        <v>1950</v>
      </c>
    </row>
    <row r="3311" spans="1:6" x14ac:dyDescent="0.15">
      <c r="A3311" s="5" t="s">
        <v>63</v>
      </c>
      <c r="B3311" s="5" t="s">
        <v>1291</v>
      </c>
      <c r="C3311" s="9">
        <v>43745</v>
      </c>
      <c r="D3311" s="5" t="s">
        <v>16</v>
      </c>
      <c r="E3311" s="5" t="s">
        <v>1289</v>
      </c>
      <c r="F3311" s="6">
        <v>1940</v>
      </c>
    </row>
    <row r="3312" spans="1:6" x14ac:dyDescent="0.15">
      <c r="A3312" s="5" t="s">
        <v>174</v>
      </c>
      <c r="B3312" s="5" t="s">
        <v>1292</v>
      </c>
      <c r="C3312" s="9">
        <v>43745</v>
      </c>
      <c r="D3312" s="5" t="s">
        <v>16</v>
      </c>
      <c r="E3312" s="5" t="s">
        <v>1289</v>
      </c>
      <c r="F3312" s="6">
        <v>1500</v>
      </c>
    </row>
    <row r="3313" spans="1:6" x14ac:dyDescent="0.15">
      <c r="A3313" s="5" t="s">
        <v>58</v>
      </c>
      <c r="B3313" s="5" t="s">
        <v>1293</v>
      </c>
      <c r="C3313" s="9">
        <v>43745</v>
      </c>
      <c r="D3313" s="5" t="s">
        <v>16</v>
      </c>
      <c r="E3313" s="5" t="s">
        <v>1289</v>
      </c>
      <c r="F3313" s="6">
        <v>5625</v>
      </c>
    </row>
    <row r="3314" spans="1:6" x14ac:dyDescent="0.15">
      <c r="A3314" s="5" t="s">
        <v>64</v>
      </c>
      <c r="B3314" s="5" t="s">
        <v>1294</v>
      </c>
      <c r="C3314" s="9">
        <v>43745</v>
      </c>
      <c r="D3314" s="5" t="s">
        <v>16</v>
      </c>
      <c r="E3314" s="5" t="s">
        <v>1289</v>
      </c>
      <c r="F3314" s="6">
        <v>4500</v>
      </c>
    </row>
    <row r="3315" spans="1:6" x14ac:dyDescent="0.15">
      <c r="A3315" s="5" t="s">
        <v>57</v>
      </c>
      <c r="B3315" s="5" t="s">
        <v>1295</v>
      </c>
      <c r="C3315" s="9">
        <v>43745</v>
      </c>
      <c r="D3315" s="5" t="s">
        <v>16</v>
      </c>
      <c r="E3315" s="5" t="s">
        <v>1289</v>
      </c>
      <c r="F3315" s="6">
        <v>3880</v>
      </c>
    </row>
    <row r="3316" spans="1:6" x14ac:dyDescent="0.15">
      <c r="A3316" s="5" t="s">
        <v>43</v>
      </c>
      <c r="B3316" s="5" t="s">
        <v>888</v>
      </c>
      <c r="C3316" s="9">
        <v>43732</v>
      </c>
      <c r="D3316" s="5" t="s">
        <v>16</v>
      </c>
      <c r="E3316" s="5" t="s">
        <v>887</v>
      </c>
      <c r="F3316" s="6">
        <v>7808.5</v>
      </c>
    </row>
    <row r="3317" spans="1:6" x14ac:dyDescent="0.15">
      <c r="A3317" s="5" t="s">
        <v>37</v>
      </c>
      <c r="B3317" s="5" t="s">
        <v>889</v>
      </c>
      <c r="C3317" s="9">
        <v>43732</v>
      </c>
      <c r="D3317" s="5" t="s">
        <v>16</v>
      </c>
      <c r="E3317" s="5" t="s">
        <v>887</v>
      </c>
      <c r="F3317" s="6">
        <v>13747.5</v>
      </c>
    </row>
    <row r="3318" spans="1:6" x14ac:dyDescent="0.15">
      <c r="A3318" s="5" t="s">
        <v>37</v>
      </c>
      <c r="B3318" s="5" t="s">
        <v>890</v>
      </c>
      <c r="C3318" s="9">
        <v>43732</v>
      </c>
      <c r="D3318" s="5" t="s">
        <v>16</v>
      </c>
      <c r="E3318" s="5" t="s">
        <v>144</v>
      </c>
      <c r="F3318" s="6">
        <v>3315</v>
      </c>
    </row>
    <row r="3319" spans="1:6" x14ac:dyDescent="0.15">
      <c r="A3319" s="5" t="s">
        <v>37</v>
      </c>
      <c r="B3319" s="5" t="s">
        <v>891</v>
      </c>
      <c r="C3319" s="9">
        <v>43732</v>
      </c>
      <c r="D3319" s="5" t="s">
        <v>16</v>
      </c>
      <c r="E3319" s="5" t="s">
        <v>145</v>
      </c>
      <c r="F3319" s="6">
        <v>5557.5</v>
      </c>
    </row>
    <row r="3320" spans="1:6" x14ac:dyDescent="0.15">
      <c r="A3320" s="5" t="s">
        <v>37</v>
      </c>
      <c r="B3320" s="5" t="s">
        <v>893</v>
      </c>
      <c r="C3320" s="9">
        <v>43733</v>
      </c>
      <c r="D3320" s="5" t="s">
        <v>16</v>
      </c>
      <c r="E3320" s="5" t="s">
        <v>892</v>
      </c>
      <c r="F3320" s="6">
        <v>1560</v>
      </c>
    </row>
    <row r="3321" spans="1:6" x14ac:dyDescent="0.15">
      <c r="A3321" s="5" t="s">
        <v>35</v>
      </c>
      <c r="B3321" s="5" t="s">
        <v>894</v>
      </c>
      <c r="C3321" s="9">
        <v>43733</v>
      </c>
      <c r="D3321" s="5" t="s">
        <v>16</v>
      </c>
      <c r="E3321" s="5" t="s">
        <v>892</v>
      </c>
      <c r="F3321" s="6">
        <v>1560</v>
      </c>
    </row>
    <row r="3322" spans="1:6" x14ac:dyDescent="0.15">
      <c r="A3322" s="5" t="s">
        <v>35</v>
      </c>
      <c r="B3322" s="5" t="s">
        <v>895</v>
      </c>
      <c r="C3322" s="9">
        <v>43733</v>
      </c>
      <c r="D3322" s="5" t="s">
        <v>16</v>
      </c>
      <c r="E3322" s="5" t="s">
        <v>146</v>
      </c>
      <c r="F3322" s="6">
        <v>4290</v>
      </c>
    </row>
    <row r="3323" spans="1:6" x14ac:dyDescent="0.15">
      <c r="A3323" s="5" t="s">
        <v>35</v>
      </c>
      <c r="B3323" s="5" t="s">
        <v>897</v>
      </c>
      <c r="C3323" s="9">
        <v>43733</v>
      </c>
      <c r="D3323" s="5" t="s">
        <v>16</v>
      </c>
      <c r="E3323" s="5" t="s">
        <v>896</v>
      </c>
      <c r="F3323" s="6">
        <v>6045</v>
      </c>
    </row>
    <row r="3324" spans="1:6" x14ac:dyDescent="0.15">
      <c r="A3324" s="5" t="s">
        <v>35</v>
      </c>
      <c r="B3324" s="5" t="s">
        <v>899</v>
      </c>
      <c r="C3324" s="9">
        <v>43733</v>
      </c>
      <c r="D3324" s="5" t="s">
        <v>16</v>
      </c>
      <c r="E3324" s="5" t="s">
        <v>898</v>
      </c>
      <c r="F3324" s="6">
        <v>877.5</v>
      </c>
    </row>
    <row r="3325" spans="1:6" x14ac:dyDescent="0.15">
      <c r="A3325" s="5" t="s">
        <v>40</v>
      </c>
      <c r="B3325" s="5" t="s">
        <v>900</v>
      </c>
      <c r="C3325" s="9">
        <v>43733</v>
      </c>
      <c r="D3325" s="5" t="s">
        <v>16</v>
      </c>
      <c r="E3325" s="5" t="s">
        <v>898</v>
      </c>
      <c r="F3325" s="6">
        <v>375</v>
      </c>
    </row>
    <row r="3326" spans="1:6" x14ac:dyDescent="0.15">
      <c r="A3326" s="5" t="s">
        <v>43</v>
      </c>
      <c r="B3326" s="5" t="s">
        <v>901</v>
      </c>
      <c r="C3326" s="9">
        <v>43733</v>
      </c>
      <c r="D3326" s="5" t="s">
        <v>16</v>
      </c>
      <c r="E3326" s="5" t="s">
        <v>147</v>
      </c>
      <c r="F3326" s="6">
        <v>242.5</v>
      </c>
    </row>
    <row r="3327" spans="1:6" x14ac:dyDescent="0.15">
      <c r="A3327" s="5" t="s">
        <v>49</v>
      </c>
      <c r="B3327" s="5" t="s">
        <v>903</v>
      </c>
      <c r="C3327" s="9">
        <v>43732</v>
      </c>
      <c r="D3327" s="5" t="s">
        <v>16</v>
      </c>
      <c r="E3327" s="5" t="s">
        <v>902</v>
      </c>
      <c r="F3327" s="6">
        <v>1000</v>
      </c>
    </row>
    <row r="3328" spans="1:6" x14ac:dyDescent="0.15">
      <c r="A3328" s="5" t="s">
        <v>49</v>
      </c>
      <c r="B3328" s="5" t="s">
        <v>904</v>
      </c>
      <c r="C3328" s="9">
        <v>43732</v>
      </c>
      <c r="D3328" s="5" t="s">
        <v>16</v>
      </c>
      <c r="E3328" s="5" t="s">
        <v>902</v>
      </c>
      <c r="F3328" s="6">
        <v>1000</v>
      </c>
    </row>
    <row r="3329" spans="1:6" x14ac:dyDescent="0.15">
      <c r="A3329" s="5" t="s">
        <v>37</v>
      </c>
      <c r="B3329" s="5" t="s">
        <v>905</v>
      </c>
      <c r="C3329" s="9">
        <v>43733</v>
      </c>
      <c r="D3329" s="5" t="s">
        <v>16</v>
      </c>
      <c r="E3329" s="5" t="s">
        <v>149</v>
      </c>
      <c r="F3329" s="6">
        <v>975</v>
      </c>
    </row>
    <row r="3330" spans="1:6" x14ac:dyDescent="0.15">
      <c r="A3330" s="5" t="s">
        <v>37</v>
      </c>
      <c r="B3330" s="5" t="s">
        <v>907</v>
      </c>
      <c r="C3330" s="9">
        <v>43733</v>
      </c>
      <c r="D3330" s="5" t="s">
        <v>16</v>
      </c>
      <c r="E3330" s="5" t="s">
        <v>906</v>
      </c>
      <c r="F3330" s="6">
        <v>3120</v>
      </c>
    </row>
    <row r="3331" spans="1:6" x14ac:dyDescent="0.15">
      <c r="A3331" s="5" t="s">
        <v>37</v>
      </c>
      <c r="B3331" s="5" t="s">
        <v>909</v>
      </c>
      <c r="C3331" s="9">
        <v>43734</v>
      </c>
      <c r="D3331" s="5" t="s">
        <v>16</v>
      </c>
      <c r="E3331" s="5" t="s">
        <v>908</v>
      </c>
      <c r="F3331" s="6">
        <v>1950</v>
      </c>
    </row>
    <row r="3332" spans="1:6" x14ac:dyDescent="0.15">
      <c r="A3332" s="5" t="s">
        <v>37</v>
      </c>
      <c r="B3332" s="5" t="s">
        <v>911</v>
      </c>
      <c r="C3332" s="9">
        <v>43734</v>
      </c>
      <c r="D3332" s="5" t="s">
        <v>16</v>
      </c>
      <c r="E3332" s="5" t="s">
        <v>910</v>
      </c>
      <c r="F3332" s="6">
        <v>7800</v>
      </c>
    </row>
    <row r="3333" spans="1:6" x14ac:dyDescent="0.15">
      <c r="A3333" s="5" t="s">
        <v>37</v>
      </c>
      <c r="B3333" s="5" t="s">
        <v>913</v>
      </c>
      <c r="C3333" s="9">
        <v>43735</v>
      </c>
      <c r="D3333" s="5" t="s">
        <v>16</v>
      </c>
      <c r="E3333" s="5" t="s">
        <v>912</v>
      </c>
      <c r="F3333" s="6">
        <v>-17550</v>
      </c>
    </row>
    <row r="3334" spans="1:6" x14ac:dyDescent="0.15">
      <c r="A3334" s="5" t="s">
        <v>37</v>
      </c>
      <c r="B3334" s="5" t="s">
        <v>914</v>
      </c>
      <c r="C3334" s="9">
        <v>43735</v>
      </c>
      <c r="D3334" s="5" t="s">
        <v>16</v>
      </c>
      <c r="E3334" s="5" t="s">
        <v>912</v>
      </c>
      <c r="F3334" s="6">
        <v>17550</v>
      </c>
    </row>
    <row r="3335" spans="1:6" x14ac:dyDescent="0.15">
      <c r="A3335" s="5" t="s">
        <v>35</v>
      </c>
      <c r="B3335" s="5" t="s">
        <v>915</v>
      </c>
      <c r="C3335" s="9">
        <v>43735</v>
      </c>
      <c r="D3335" s="5" t="s">
        <v>16</v>
      </c>
      <c r="E3335" s="5" t="s">
        <v>912</v>
      </c>
      <c r="F3335" s="6">
        <v>-3900</v>
      </c>
    </row>
    <row r="3336" spans="1:6" x14ac:dyDescent="0.15">
      <c r="A3336" s="5" t="s">
        <v>35</v>
      </c>
      <c r="B3336" s="5" t="s">
        <v>915</v>
      </c>
      <c r="C3336" s="9">
        <v>43735</v>
      </c>
      <c r="D3336" s="5" t="s">
        <v>16</v>
      </c>
      <c r="E3336" s="5" t="s">
        <v>912</v>
      </c>
      <c r="F3336" s="6">
        <v>-3900</v>
      </c>
    </row>
    <row r="3337" spans="1:6" x14ac:dyDescent="0.15">
      <c r="A3337" s="5" t="s">
        <v>35</v>
      </c>
      <c r="B3337" s="5" t="s">
        <v>916</v>
      </c>
      <c r="C3337" s="9">
        <v>43735</v>
      </c>
      <c r="D3337" s="5" t="s">
        <v>16</v>
      </c>
      <c r="E3337" s="5" t="s">
        <v>912</v>
      </c>
      <c r="F3337" s="6">
        <v>3900</v>
      </c>
    </row>
    <row r="3338" spans="1:6" x14ac:dyDescent="0.15">
      <c r="A3338" s="5" t="s">
        <v>40</v>
      </c>
      <c r="B3338" s="5" t="s">
        <v>917</v>
      </c>
      <c r="C3338" s="9">
        <v>43740</v>
      </c>
      <c r="D3338" s="5" t="s">
        <v>16</v>
      </c>
      <c r="E3338" s="5" t="s">
        <v>150</v>
      </c>
      <c r="F3338" s="6">
        <v>4575</v>
      </c>
    </row>
    <row r="3339" spans="1:6" x14ac:dyDescent="0.15">
      <c r="A3339" s="5" t="s">
        <v>35</v>
      </c>
      <c r="B3339" s="5" t="s">
        <v>918</v>
      </c>
      <c r="C3339" s="9">
        <v>43740</v>
      </c>
      <c r="D3339" s="5" t="s">
        <v>16</v>
      </c>
      <c r="E3339" s="5" t="s">
        <v>150</v>
      </c>
      <c r="F3339" s="6">
        <v>1950</v>
      </c>
    </row>
    <row r="3340" spans="1:6" x14ac:dyDescent="0.15">
      <c r="A3340" s="5" t="s">
        <v>37</v>
      </c>
      <c r="B3340" s="5" t="s">
        <v>919</v>
      </c>
      <c r="C3340" s="9">
        <v>43739</v>
      </c>
      <c r="D3340" s="5" t="s">
        <v>16</v>
      </c>
      <c r="E3340" s="5" t="s">
        <v>151</v>
      </c>
      <c r="F3340" s="6">
        <v>10627.5</v>
      </c>
    </row>
    <row r="3341" spans="1:6" x14ac:dyDescent="0.15">
      <c r="A3341" s="5" t="s">
        <v>37</v>
      </c>
      <c r="B3341" s="5" t="s">
        <v>920</v>
      </c>
      <c r="C3341" s="9">
        <v>43739</v>
      </c>
      <c r="D3341" s="5" t="s">
        <v>16</v>
      </c>
      <c r="E3341" s="5" t="s">
        <v>152</v>
      </c>
      <c r="F3341" s="6">
        <v>11505</v>
      </c>
    </row>
    <row r="3342" spans="1:6" x14ac:dyDescent="0.15">
      <c r="A3342" s="5" t="s">
        <v>37</v>
      </c>
      <c r="B3342" s="5" t="s">
        <v>921</v>
      </c>
      <c r="C3342" s="9">
        <v>43739</v>
      </c>
      <c r="D3342" s="5" t="s">
        <v>16</v>
      </c>
      <c r="E3342" s="5" t="s">
        <v>153</v>
      </c>
      <c r="F3342" s="6">
        <v>2437.5</v>
      </c>
    </row>
    <row r="3343" spans="1:6" x14ac:dyDescent="0.15">
      <c r="A3343" s="5" t="s">
        <v>42</v>
      </c>
      <c r="B3343" s="5" t="s">
        <v>922</v>
      </c>
      <c r="C3343" s="9">
        <v>43739</v>
      </c>
      <c r="D3343" s="5" t="s">
        <v>16</v>
      </c>
      <c r="E3343" s="5" t="s">
        <v>153</v>
      </c>
      <c r="F3343" s="6">
        <v>450</v>
      </c>
    </row>
    <row r="3344" spans="1:6" x14ac:dyDescent="0.15">
      <c r="A3344" s="5" t="s">
        <v>57</v>
      </c>
      <c r="B3344" s="5" t="s">
        <v>923</v>
      </c>
      <c r="C3344" s="9">
        <v>43739</v>
      </c>
      <c r="D3344" s="5" t="s">
        <v>16</v>
      </c>
      <c r="E3344" s="5" t="s">
        <v>153</v>
      </c>
      <c r="F3344" s="6">
        <v>582</v>
      </c>
    </row>
    <row r="3345" spans="1:6" x14ac:dyDescent="0.15">
      <c r="A3345" s="5" t="s">
        <v>35</v>
      </c>
      <c r="B3345" s="5" t="s">
        <v>924</v>
      </c>
      <c r="C3345" s="9">
        <v>43739</v>
      </c>
      <c r="D3345" s="5" t="s">
        <v>16</v>
      </c>
      <c r="E3345" s="5" t="s">
        <v>154</v>
      </c>
      <c r="F3345" s="6">
        <v>17355</v>
      </c>
    </row>
    <row r="3346" spans="1:6" x14ac:dyDescent="0.15">
      <c r="A3346" s="5" t="s">
        <v>37</v>
      </c>
      <c r="B3346" s="5" t="s">
        <v>925</v>
      </c>
      <c r="C3346" s="9">
        <v>43739</v>
      </c>
      <c r="D3346" s="5" t="s">
        <v>16</v>
      </c>
      <c r="E3346" s="5" t="s">
        <v>154</v>
      </c>
      <c r="F3346" s="6">
        <v>1365</v>
      </c>
    </row>
    <row r="3347" spans="1:6" x14ac:dyDescent="0.15">
      <c r="A3347" s="5" t="s">
        <v>37</v>
      </c>
      <c r="B3347" s="5" t="s">
        <v>926</v>
      </c>
      <c r="C3347" s="9">
        <v>43739</v>
      </c>
      <c r="D3347" s="5" t="s">
        <v>16</v>
      </c>
      <c r="E3347" s="5" t="s">
        <v>155</v>
      </c>
      <c r="F3347" s="6">
        <v>10237.5</v>
      </c>
    </row>
    <row r="3348" spans="1:6" x14ac:dyDescent="0.15">
      <c r="A3348" s="5" t="s">
        <v>35</v>
      </c>
      <c r="B3348" s="5" t="s">
        <v>927</v>
      </c>
      <c r="C3348" s="9">
        <v>43739</v>
      </c>
      <c r="D3348" s="5" t="s">
        <v>16</v>
      </c>
      <c r="E3348" s="5" t="s">
        <v>156</v>
      </c>
      <c r="F3348" s="6">
        <v>4192.5</v>
      </c>
    </row>
    <row r="3349" spans="1:6" x14ac:dyDescent="0.15">
      <c r="A3349" s="5" t="s">
        <v>35</v>
      </c>
      <c r="B3349" s="5" t="s">
        <v>929</v>
      </c>
      <c r="C3349" s="9">
        <v>43739</v>
      </c>
      <c r="D3349" s="5" t="s">
        <v>16</v>
      </c>
      <c r="E3349" s="5" t="s">
        <v>928</v>
      </c>
      <c r="F3349" s="6">
        <v>9457.5</v>
      </c>
    </row>
    <row r="3350" spans="1:6" x14ac:dyDescent="0.15">
      <c r="A3350" s="5" t="s">
        <v>37</v>
      </c>
      <c r="B3350" s="5" t="s">
        <v>930</v>
      </c>
      <c r="C3350" s="9">
        <v>43739</v>
      </c>
      <c r="D3350" s="5" t="s">
        <v>16</v>
      </c>
      <c r="E3350" s="5" t="s">
        <v>157</v>
      </c>
      <c r="F3350" s="6">
        <v>2145</v>
      </c>
    </row>
    <row r="3351" spans="1:6" x14ac:dyDescent="0.15">
      <c r="A3351" s="5" t="s">
        <v>35</v>
      </c>
      <c r="B3351" s="5" t="s">
        <v>931</v>
      </c>
      <c r="C3351" s="9">
        <v>43739</v>
      </c>
      <c r="D3351" s="5" t="s">
        <v>16</v>
      </c>
      <c r="E3351" s="5" t="s">
        <v>160</v>
      </c>
      <c r="F3351" s="6">
        <v>1950</v>
      </c>
    </row>
    <row r="3352" spans="1:6" x14ac:dyDescent="0.15">
      <c r="A3352" s="5" t="s">
        <v>40</v>
      </c>
      <c r="B3352" s="5" t="s">
        <v>932</v>
      </c>
      <c r="C3352" s="9">
        <v>43739</v>
      </c>
      <c r="D3352" s="5" t="s">
        <v>16</v>
      </c>
      <c r="E3352" s="5" t="s">
        <v>160</v>
      </c>
      <c r="F3352" s="6">
        <v>1500</v>
      </c>
    </row>
    <row r="3353" spans="1:6" x14ac:dyDescent="0.15">
      <c r="A3353" s="5" t="s">
        <v>35</v>
      </c>
      <c r="B3353" s="5" t="s">
        <v>933</v>
      </c>
      <c r="C3353" s="9">
        <v>43739</v>
      </c>
      <c r="D3353" s="5" t="s">
        <v>16</v>
      </c>
      <c r="E3353" s="5" t="s">
        <v>161</v>
      </c>
      <c r="F3353" s="6">
        <v>4387.5</v>
      </c>
    </row>
    <row r="3354" spans="1:6" x14ac:dyDescent="0.15">
      <c r="A3354" s="5" t="s">
        <v>37</v>
      </c>
      <c r="B3354" s="5" t="s">
        <v>934</v>
      </c>
      <c r="C3354" s="9">
        <v>43739</v>
      </c>
      <c r="D3354" s="5" t="s">
        <v>16</v>
      </c>
      <c r="E3354" s="5" t="s">
        <v>162</v>
      </c>
      <c r="F3354" s="6">
        <v>2925</v>
      </c>
    </row>
    <row r="3355" spans="1:6" x14ac:dyDescent="0.15">
      <c r="A3355" s="5" t="s">
        <v>37</v>
      </c>
      <c r="B3355" s="5" t="s">
        <v>935</v>
      </c>
      <c r="C3355" s="9">
        <v>43740</v>
      </c>
      <c r="D3355" s="5" t="s">
        <v>16</v>
      </c>
      <c r="E3355" s="5" t="s">
        <v>163</v>
      </c>
      <c r="F3355" s="6">
        <v>2145</v>
      </c>
    </row>
    <row r="3356" spans="1:6" x14ac:dyDescent="0.15">
      <c r="A3356" s="5" t="s">
        <v>35</v>
      </c>
      <c r="B3356" s="5" t="s">
        <v>936</v>
      </c>
      <c r="C3356" s="9">
        <v>43740</v>
      </c>
      <c r="D3356" s="5" t="s">
        <v>16</v>
      </c>
      <c r="E3356" s="5" t="s">
        <v>164</v>
      </c>
      <c r="F3356" s="6">
        <v>4485</v>
      </c>
    </row>
    <row r="3357" spans="1:6" x14ac:dyDescent="0.15">
      <c r="A3357" s="5" t="s">
        <v>37</v>
      </c>
      <c r="B3357" s="5" t="s">
        <v>938</v>
      </c>
      <c r="C3357" s="9">
        <v>43740</v>
      </c>
      <c r="D3357" s="5" t="s">
        <v>16</v>
      </c>
      <c r="E3357" s="5" t="s">
        <v>937</v>
      </c>
      <c r="F3357" s="6">
        <v>195</v>
      </c>
    </row>
    <row r="3358" spans="1:6" x14ac:dyDescent="0.15">
      <c r="A3358" s="5" t="s">
        <v>43</v>
      </c>
      <c r="B3358" s="5" t="s">
        <v>939</v>
      </c>
      <c r="C3358" s="9">
        <v>43740</v>
      </c>
      <c r="D3358" s="5" t="s">
        <v>16</v>
      </c>
      <c r="E3358" s="5" t="s">
        <v>937</v>
      </c>
      <c r="F3358" s="6">
        <v>97</v>
      </c>
    </row>
    <row r="3359" spans="1:6" x14ac:dyDescent="0.15">
      <c r="A3359" s="5" t="s">
        <v>37</v>
      </c>
      <c r="B3359" s="5" t="s">
        <v>940</v>
      </c>
      <c r="C3359" s="9">
        <v>43741</v>
      </c>
      <c r="D3359" s="5" t="s">
        <v>16</v>
      </c>
      <c r="E3359" s="5" t="s">
        <v>165</v>
      </c>
      <c r="F3359" s="6">
        <v>5070</v>
      </c>
    </row>
    <row r="3360" spans="1:6" x14ac:dyDescent="0.15">
      <c r="A3360" s="5" t="s">
        <v>35</v>
      </c>
      <c r="B3360" s="5" t="s">
        <v>942</v>
      </c>
      <c r="C3360" s="9">
        <v>43741</v>
      </c>
      <c r="D3360" s="5" t="s">
        <v>16</v>
      </c>
      <c r="E3360" s="5" t="s">
        <v>941</v>
      </c>
      <c r="F3360" s="6">
        <v>3705</v>
      </c>
    </row>
    <row r="3361" spans="1:6" x14ac:dyDescent="0.15">
      <c r="A3361" s="5" t="s">
        <v>37</v>
      </c>
      <c r="B3361" s="5" t="s">
        <v>944</v>
      </c>
      <c r="C3361" s="9">
        <v>43741</v>
      </c>
      <c r="D3361" s="5" t="s">
        <v>16</v>
      </c>
      <c r="E3361" s="5" t="s">
        <v>943</v>
      </c>
      <c r="F3361" s="6">
        <v>2535</v>
      </c>
    </row>
    <row r="3362" spans="1:6" x14ac:dyDescent="0.15">
      <c r="A3362" s="5" t="s">
        <v>41</v>
      </c>
      <c r="B3362" s="5" t="s">
        <v>1464</v>
      </c>
      <c r="C3362" s="9">
        <v>43749</v>
      </c>
      <c r="D3362" s="5" t="s">
        <v>16</v>
      </c>
      <c r="E3362" s="5" t="s">
        <v>1463</v>
      </c>
      <c r="F3362" s="6">
        <v>1940</v>
      </c>
    </row>
    <row r="3363" spans="1:6" x14ac:dyDescent="0.15">
      <c r="A3363" s="5" t="s">
        <v>40</v>
      </c>
      <c r="B3363" s="5" t="s">
        <v>1465</v>
      </c>
      <c r="C3363" s="9">
        <v>43749</v>
      </c>
      <c r="D3363" s="5" t="s">
        <v>16</v>
      </c>
      <c r="E3363" s="5" t="s">
        <v>1463</v>
      </c>
      <c r="F3363" s="6">
        <v>1500</v>
      </c>
    </row>
    <row r="3364" spans="1:6" x14ac:dyDescent="0.15">
      <c r="A3364" s="5" t="s">
        <v>35</v>
      </c>
      <c r="B3364" s="5" t="s">
        <v>1466</v>
      </c>
      <c r="C3364" s="9">
        <v>43749</v>
      </c>
      <c r="D3364" s="5" t="s">
        <v>16</v>
      </c>
      <c r="E3364" s="5" t="s">
        <v>1463</v>
      </c>
      <c r="F3364" s="6">
        <v>5850</v>
      </c>
    </row>
    <row r="3365" spans="1:6" x14ac:dyDescent="0.15">
      <c r="A3365" s="5" t="s">
        <v>46</v>
      </c>
      <c r="B3365" s="5" t="s">
        <v>1467</v>
      </c>
      <c r="C3365" s="9">
        <v>43749</v>
      </c>
      <c r="D3365" s="5" t="s">
        <v>16</v>
      </c>
      <c r="E3365" s="5" t="s">
        <v>1463</v>
      </c>
      <c r="F3365" s="6">
        <v>1940</v>
      </c>
    </row>
    <row r="3366" spans="1:6" x14ac:dyDescent="0.15">
      <c r="A3366" s="5" t="s">
        <v>37</v>
      </c>
      <c r="B3366" s="5" t="s">
        <v>945</v>
      </c>
      <c r="C3366" s="9">
        <v>43742</v>
      </c>
      <c r="D3366" s="5" t="s">
        <v>16</v>
      </c>
      <c r="E3366" s="5" t="s">
        <v>166</v>
      </c>
      <c r="F3366" s="6">
        <v>-2437.5</v>
      </c>
    </row>
    <row r="3367" spans="1:6" x14ac:dyDescent="0.15">
      <c r="A3367" s="5" t="s">
        <v>37</v>
      </c>
      <c r="B3367" s="5" t="s">
        <v>945</v>
      </c>
      <c r="C3367" s="9">
        <v>43742</v>
      </c>
      <c r="D3367" s="5" t="s">
        <v>16</v>
      </c>
      <c r="E3367" s="5" t="s">
        <v>166</v>
      </c>
      <c r="F3367" s="6">
        <v>-97.5</v>
      </c>
    </row>
    <row r="3368" spans="1:6" x14ac:dyDescent="0.15">
      <c r="A3368" s="5" t="s">
        <v>37</v>
      </c>
      <c r="B3368" s="5" t="s">
        <v>946</v>
      </c>
      <c r="C3368" s="9">
        <v>43742</v>
      </c>
      <c r="D3368" s="5" t="s">
        <v>16</v>
      </c>
      <c r="E3368" s="5" t="s">
        <v>166</v>
      </c>
      <c r="F3368" s="6">
        <v>2437.5</v>
      </c>
    </row>
    <row r="3369" spans="1:6" x14ac:dyDescent="0.15">
      <c r="A3369" s="5" t="s">
        <v>49</v>
      </c>
      <c r="B3369" s="5" t="s">
        <v>947</v>
      </c>
      <c r="C3369" s="9">
        <v>43742</v>
      </c>
      <c r="D3369" s="5" t="s">
        <v>16</v>
      </c>
      <c r="E3369" s="5" t="s">
        <v>167</v>
      </c>
      <c r="F3369" s="6">
        <v>1500</v>
      </c>
    </row>
    <row r="3370" spans="1:6" x14ac:dyDescent="0.15">
      <c r="A3370" s="5" t="s">
        <v>37</v>
      </c>
      <c r="B3370" s="5" t="s">
        <v>1469</v>
      </c>
      <c r="C3370" s="9">
        <v>43746</v>
      </c>
      <c r="D3370" s="5" t="s">
        <v>16</v>
      </c>
      <c r="E3370" s="5" t="s">
        <v>1468</v>
      </c>
      <c r="F3370" s="6">
        <v>23400</v>
      </c>
    </row>
    <row r="3371" spans="1:6" x14ac:dyDescent="0.15">
      <c r="A3371" s="5" t="s">
        <v>42</v>
      </c>
      <c r="B3371" s="5" t="s">
        <v>1470</v>
      </c>
      <c r="C3371" s="9">
        <v>43746</v>
      </c>
      <c r="D3371" s="5" t="s">
        <v>16</v>
      </c>
      <c r="E3371" s="5" t="s">
        <v>1468</v>
      </c>
      <c r="F3371" s="6">
        <v>1500</v>
      </c>
    </row>
    <row r="3372" spans="1:6" x14ac:dyDescent="0.15">
      <c r="A3372" s="5" t="s">
        <v>37</v>
      </c>
      <c r="B3372" s="5" t="s">
        <v>948</v>
      </c>
      <c r="C3372" s="9">
        <v>43745</v>
      </c>
      <c r="D3372" s="5" t="s">
        <v>16</v>
      </c>
      <c r="E3372" s="5" t="s">
        <v>168</v>
      </c>
      <c r="F3372" s="6">
        <v>4875</v>
      </c>
    </row>
    <row r="3373" spans="1:6" x14ac:dyDescent="0.15">
      <c r="A3373" s="5" t="s">
        <v>35</v>
      </c>
      <c r="B3373" s="5" t="s">
        <v>949</v>
      </c>
      <c r="C3373" s="9">
        <v>43745</v>
      </c>
      <c r="D3373" s="5" t="s">
        <v>16</v>
      </c>
      <c r="E3373" s="5" t="s">
        <v>169</v>
      </c>
      <c r="F3373" s="6">
        <v>390</v>
      </c>
    </row>
    <row r="3374" spans="1:6" x14ac:dyDescent="0.15">
      <c r="A3374" s="5" t="s">
        <v>35</v>
      </c>
      <c r="B3374" s="5" t="s">
        <v>950</v>
      </c>
      <c r="C3374" s="9">
        <v>43742</v>
      </c>
      <c r="D3374" s="5" t="s">
        <v>16</v>
      </c>
      <c r="E3374" s="5" t="s">
        <v>170</v>
      </c>
      <c r="F3374" s="6">
        <v>975</v>
      </c>
    </row>
    <row r="3375" spans="1:6" x14ac:dyDescent="0.15">
      <c r="A3375" s="5" t="s">
        <v>42</v>
      </c>
      <c r="B3375" s="5" t="s">
        <v>951</v>
      </c>
      <c r="C3375" s="9">
        <v>43746</v>
      </c>
      <c r="D3375" s="5" t="s">
        <v>16</v>
      </c>
      <c r="E3375" s="5" t="s">
        <v>171</v>
      </c>
      <c r="F3375" s="6">
        <v>3000</v>
      </c>
    </row>
    <row r="3376" spans="1:6" x14ac:dyDescent="0.15">
      <c r="A3376" s="5" t="s">
        <v>37</v>
      </c>
      <c r="B3376" s="5" t="s">
        <v>952</v>
      </c>
      <c r="C3376" s="9">
        <v>43746</v>
      </c>
      <c r="D3376" s="5" t="s">
        <v>16</v>
      </c>
      <c r="E3376" s="5" t="s">
        <v>171</v>
      </c>
      <c r="F3376" s="6">
        <v>1950</v>
      </c>
    </row>
    <row r="3377" spans="1:6" x14ac:dyDescent="0.15">
      <c r="A3377" s="5" t="s">
        <v>37</v>
      </c>
      <c r="B3377" s="5" t="s">
        <v>953</v>
      </c>
      <c r="C3377" s="9">
        <v>43746</v>
      </c>
      <c r="D3377" s="5" t="s">
        <v>16</v>
      </c>
      <c r="E3377" s="5" t="s">
        <v>172</v>
      </c>
      <c r="F3377" s="6">
        <v>6337.5</v>
      </c>
    </row>
    <row r="3378" spans="1:6" x14ac:dyDescent="0.15">
      <c r="A3378" s="5" t="s">
        <v>43</v>
      </c>
      <c r="B3378" s="5" t="s">
        <v>954</v>
      </c>
      <c r="C3378" s="9">
        <v>43746</v>
      </c>
      <c r="D3378" s="5" t="s">
        <v>16</v>
      </c>
      <c r="E3378" s="5" t="s">
        <v>172</v>
      </c>
      <c r="F3378" s="6">
        <v>388</v>
      </c>
    </row>
    <row r="3379" spans="1:6" x14ac:dyDescent="0.15">
      <c r="A3379" s="5" t="s">
        <v>42</v>
      </c>
      <c r="B3379" s="5" t="s">
        <v>956</v>
      </c>
      <c r="C3379" s="9">
        <v>43746</v>
      </c>
      <c r="D3379" s="5" t="s">
        <v>16</v>
      </c>
      <c r="E3379" s="5" t="s">
        <v>955</v>
      </c>
      <c r="F3379" s="6">
        <v>3000</v>
      </c>
    </row>
    <row r="3380" spans="1:6" x14ac:dyDescent="0.15">
      <c r="A3380" s="5" t="s">
        <v>37</v>
      </c>
      <c r="B3380" s="5" t="s">
        <v>957</v>
      </c>
      <c r="C3380" s="9">
        <v>43746</v>
      </c>
      <c r="D3380" s="5" t="s">
        <v>16</v>
      </c>
      <c r="E3380" s="5" t="s">
        <v>955</v>
      </c>
      <c r="F3380" s="6">
        <v>7897.5</v>
      </c>
    </row>
    <row r="3381" spans="1:6" x14ac:dyDescent="0.15">
      <c r="A3381" s="5" t="s">
        <v>35</v>
      </c>
      <c r="B3381" s="5" t="s">
        <v>958</v>
      </c>
      <c r="C3381" s="9">
        <v>43746</v>
      </c>
      <c r="D3381" s="5" t="s">
        <v>16</v>
      </c>
      <c r="E3381" s="5" t="s">
        <v>173</v>
      </c>
      <c r="F3381" s="6">
        <v>3022.5</v>
      </c>
    </row>
    <row r="3382" spans="1:6" x14ac:dyDescent="0.15">
      <c r="A3382" s="5" t="s">
        <v>37</v>
      </c>
      <c r="B3382" s="5" t="s">
        <v>960</v>
      </c>
      <c r="C3382" s="9">
        <v>43747</v>
      </c>
      <c r="D3382" s="5" t="s">
        <v>16</v>
      </c>
      <c r="E3382" s="5" t="s">
        <v>959</v>
      </c>
      <c r="F3382" s="6">
        <v>3997.5</v>
      </c>
    </row>
    <row r="3383" spans="1:6" x14ac:dyDescent="0.15">
      <c r="A3383" s="5" t="s">
        <v>43</v>
      </c>
      <c r="B3383" s="5" t="s">
        <v>962</v>
      </c>
      <c r="C3383" s="9">
        <v>43747</v>
      </c>
      <c r="D3383" s="5" t="s">
        <v>16</v>
      </c>
      <c r="E3383" s="5" t="s">
        <v>961</v>
      </c>
      <c r="F3383" s="6">
        <v>1212.5</v>
      </c>
    </row>
    <row r="3384" spans="1:6" x14ac:dyDescent="0.15">
      <c r="A3384" s="5" t="s">
        <v>37</v>
      </c>
      <c r="B3384" s="5" t="s">
        <v>963</v>
      </c>
      <c r="C3384" s="9">
        <v>43747</v>
      </c>
      <c r="D3384" s="5" t="s">
        <v>16</v>
      </c>
      <c r="E3384" s="5" t="s">
        <v>961</v>
      </c>
      <c r="F3384" s="6">
        <v>4875</v>
      </c>
    </row>
    <row r="3385" spans="1:6" x14ac:dyDescent="0.15">
      <c r="A3385" s="5" t="s">
        <v>35</v>
      </c>
      <c r="B3385" s="5" t="s">
        <v>965</v>
      </c>
      <c r="C3385" s="9">
        <v>43748</v>
      </c>
      <c r="D3385" s="5" t="s">
        <v>16</v>
      </c>
      <c r="E3385" s="5" t="s">
        <v>964</v>
      </c>
      <c r="F3385" s="6">
        <v>195</v>
      </c>
    </row>
    <row r="3386" spans="1:6" x14ac:dyDescent="0.15">
      <c r="A3386" s="5" t="s">
        <v>43</v>
      </c>
      <c r="B3386" s="5" t="s">
        <v>1391</v>
      </c>
      <c r="C3386" s="9">
        <v>43752</v>
      </c>
      <c r="D3386" s="5" t="s">
        <v>16</v>
      </c>
      <c r="E3386" s="5" t="s">
        <v>1390</v>
      </c>
      <c r="F3386" s="6">
        <v>15520</v>
      </c>
    </row>
    <row r="3387" spans="1:6" x14ac:dyDescent="0.15">
      <c r="A3387" s="5" t="s">
        <v>41</v>
      </c>
      <c r="B3387" s="5" t="s">
        <v>1392</v>
      </c>
      <c r="C3387" s="9">
        <v>43752</v>
      </c>
      <c r="D3387" s="5" t="s">
        <v>16</v>
      </c>
      <c r="E3387" s="5" t="s">
        <v>1390</v>
      </c>
      <c r="F3387" s="6">
        <v>7760</v>
      </c>
    </row>
    <row r="3388" spans="1:6" x14ac:dyDescent="0.15">
      <c r="A3388" s="5" t="s">
        <v>46</v>
      </c>
      <c r="B3388" s="5" t="s">
        <v>1393</v>
      </c>
      <c r="C3388" s="9">
        <v>43752</v>
      </c>
      <c r="D3388" s="5" t="s">
        <v>16</v>
      </c>
      <c r="E3388" s="5" t="s">
        <v>1390</v>
      </c>
      <c r="F3388" s="6">
        <v>1940</v>
      </c>
    </row>
    <row r="3389" spans="1:6" x14ac:dyDescent="0.15">
      <c r="A3389" s="5" t="s">
        <v>41</v>
      </c>
      <c r="B3389" s="5" t="s">
        <v>967</v>
      </c>
      <c r="C3389" s="9">
        <v>43752</v>
      </c>
      <c r="D3389" s="5" t="s">
        <v>16</v>
      </c>
      <c r="E3389" s="5" t="s">
        <v>966</v>
      </c>
      <c r="F3389" s="6">
        <v>97</v>
      </c>
    </row>
    <row r="3390" spans="1:6" x14ac:dyDescent="0.15">
      <c r="A3390" s="5" t="s">
        <v>40</v>
      </c>
      <c r="B3390" s="5" t="s">
        <v>968</v>
      </c>
      <c r="C3390" s="9">
        <v>43752</v>
      </c>
      <c r="D3390" s="5" t="s">
        <v>16</v>
      </c>
      <c r="E3390" s="5" t="s">
        <v>966</v>
      </c>
      <c r="F3390" s="6">
        <v>4650</v>
      </c>
    </row>
    <row r="3391" spans="1:6" x14ac:dyDescent="0.15">
      <c r="A3391" s="5" t="s">
        <v>35</v>
      </c>
      <c r="B3391" s="5" t="s">
        <v>969</v>
      </c>
      <c r="C3391" s="9">
        <v>43752</v>
      </c>
      <c r="D3391" s="5" t="s">
        <v>16</v>
      </c>
      <c r="E3391" s="5" t="s">
        <v>966</v>
      </c>
      <c r="F3391" s="6">
        <v>18135</v>
      </c>
    </row>
    <row r="3392" spans="1:6" x14ac:dyDescent="0.15">
      <c r="A3392" s="5" t="s">
        <v>37</v>
      </c>
      <c r="B3392" s="5" t="s">
        <v>970</v>
      </c>
      <c r="C3392" s="9">
        <v>43753</v>
      </c>
      <c r="D3392" s="5" t="s">
        <v>16</v>
      </c>
      <c r="E3392" s="5" t="s">
        <v>175</v>
      </c>
      <c r="F3392" s="6">
        <v>2145</v>
      </c>
    </row>
    <row r="3393" spans="1:6" x14ac:dyDescent="0.15">
      <c r="A3393" s="5" t="s">
        <v>37</v>
      </c>
      <c r="B3393" s="5" t="s">
        <v>971</v>
      </c>
      <c r="C3393" s="9">
        <v>43753</v>
      </c>
      <c r="D3393" s="5" t="s">
        <v>16</v>
      </c>
      <c r="E3393" s="5" t="s">
        <v>175</v>
      </c>
      <c r="F3393" s="6">
        <v>-2145</v>
      </c>
    </row>
    <row r="3394" spans="1:6" x14ac:dyDescent="0.15">
      <c r="A3394" s="5" t="s">
        <v>43</v>
      </c>
      <c r="B3394" s="5" t="s">
        <v>972</v>
      </c>
      <c r="C3394" s="9">
        <v>43753</v>
      </c>
      <c r="D3394" s="5" t="s">
        <v>16</v>
      </c>
      <c r="E3394" s="5" t="s">
        <v>175</v>
      </c>
      <c r="F3394" s="6">
        <v>2134</v>
      </c>
    </row>
    <row r="3395" spans="1:6" x14ac:dyDescent="0.15">
      <c r="A3395" s="5" t="s">
        <v>37</v>
      </c>
      <c r="B3395" s="5" t="s">
        <v>973</v>
      </c>
      <c r="C3395" s="9">
        <v>43753</v>
      </c>
      <c r="D3395" s="5" t="s">
        <v>16</v>
      </c>
      <c r="E3395" s="5" t="s">
        <v>176</v>
      </c>
      <c r="F3395" s="6">
        <v>7800</v>
      </c>
    </row>
    <row r="3396" spans="1:6" x14ac:dyDescent="0.15">
      <c r="A3396" s="5" t="s">
        <v>35</v>
      </c>
      <c r="B3396" s="5" t="s">
        <v>974</v>
      </c>
      <c r="C3396" s="9">
        <v>43753</v>
      </c>
      <c r="D3396" s="5" t="s">
        <v>16</v>
      </c>
      <c r="E3396" s="5" t="s">
        <v>176</v>
      </c>
      <c r="F3396" s="6">
        <v>5850</v>
      </c>
    </row>
    <row r="3397" spans="1:6" x14ac:dyDescent="0.15">
      <c r="A3397" s="5" t="s">
        <v>42</v>
      </c>
      <c r="B3397" s="5" t="s">
        <v>975</v>
      </c>
      <c r="C3397" s="9">
        <v>43753</v>
      </c>
      <c r="D3397" s="5" t="s">
        <v>16</v>
      </c>
      <c r="E3397" s="5" t="s">
        <v>177</v>
      </c>
      <c r="F3397" s="6">
        <v>3750</v>
      </c>
    </row>
    <row r="3398" spans="1:6" x14ac:dyDescent="0.15">
      <c r="A3398" s="5" t="s">
        <v>37</v>
      </c>
      <c r="B3398" s="5" t="s">
        <v>976</v>
      </c>
      <c r="C3398" s="9">
        <v>43753</v>
      </c>
      <c r="D3398" s="5" t="s">
        <v>16</v>
      </c>
      <c r="E3398" s="5" t="s">
        <v>177</v>
      </c>
      <c r="F3398" s="6">
        <v>2437.5</v>
      </c>
    </row>
    <row r="3399" spans="1:6" x14ac:dyDescent="0.15">
      <c r="A3399" s="5" t="s">
        <v>37</v>
      </c>
      <c r="B3399" s="5" t="s">
        <v>978</v>
      </c>
      <c r="C3399" s="9">
        <v>43753</v>
      </c>
      <c r="D3399" s="5" t="s">
        <v>16</v>
      </c>
      <c r="E3399" s="5" t="s">
        <v>977</v>
      </c>
      <c r="F3399" s="6">
        <v>8190</v>
      </c>
    </row>
    <row r="3400" spans="1:6" x14ac:dyDescent="0.15">
      <c r="A3400" s="5" t="s">
        <v>49</v>
      </c>
      <c r="B3400" s="5" t="s">
        <v>979</v>
      </c>
      <c r="C3400" s="9">
        <v>43753</v>
      </c>
      <c r="D3400" s="5" t="s">
        <v>16</v>
      </c>
      <c r="E3400" s="5" t="s">
        <v>178</v>
      </c>
      <c r="F3400" s="6">
        <v>80</v>
      </c>
    </row>
    <row r="3401" spans="1:6" x14ac:dyDescent="0.15">
      <c r="A3401" s="5" t="s">
        <v>35</v>
      </c>
      <c r="B3401" s="5" t="s">
        <v>980</v>
      </c>
      <c r="C3401" s="9">
        <v>43754</v>
      </c>
      <c r="D3401" s="5" t="s">
        <v>16</v>
      </c>
      <c r="E3401" s="5" t="s">
        <v>179</v>
      </c>
      <c r="F3401" s="6">
        <v>11992.5</v>
      </c>
    </row>
    <row r="3402" spans="1:6" x14ac:dyDescent="0.15">
      <c r="A3402" s="5" t="s">
        <v>43</v>
      </c>
      <c r="B3402" s="5" t="s">
        <v>981</v>
      </c>
      <c r="C3402" s="9">
        <v>43754</v>
      </c>
      <c r="D3402" s="5" t="s">
        <v>16</v>
      </c>
      <c r="E3402" s="5" t="s">
        <v>180</v>
      </c>
      <c r="F3402" s="6">
        <v>97</v>
      </c>
    </row>
    <row r="3403" spans="1:6" x14ac:dyDescent="0.15">
      <c r="A3403" s="5" t="s">
        <v>37</v>
      </c>
      <c r="B3403" s="5" t="s">
        <v>982</v>
      </c>
      <c r="C3403" s="9">
        <v>43754</v>
      </c>
      <c r="D3403" s="5" t="s">
        <v>16</v>
      </c>
      <c r="E3403" s="5" t="s">
        <v>180</v>
      </c>
      <c r="F3403" s="6">
        <v>975</v>
      </c>
    </row>
    <row r="3404" spans="1:6" x14ac:dyDescent="0.15">
      <c r="A3404" s="5" t="s">
        <v>43</v>
      </c>
      <c r="B3404" s="5" t="s">
        <v>984</v>
      </c>
      <c r="C3404" s="9">
        <v>43755</v>
      </c>
      <c r="D3404" s="5" t="s">
        <v>16</v>
      </c>
      <c r="E3404" s="5" t="s">
        <v>983</v>
      </c>
      <c r="F3404" s="6">
        <v>97</v>
      </c>
    </row>
    <row r="3405" spans="1:6" x14ac:dyDescent="0.15">
      <c r="A3405" s="5" t="s">
        <v>37</v>
      </c>
      <c r="B3405" s="5" t="s">
        <v>985</v>
      </c>
      <c r="C3405" s="9">
        <v>43755</v>
      </c>
      <c r="D3405" s="5" t="s">
        <v>16</v>
      </c>
      <c r="E3405" s="5" t="s">
        <v>983</v>
      </c>
      <c r="F3405" s="6">
        <v>487.5</v>
      </c>
    </row>
    <row r="3406" spans="1:6" x14ac:dyDescent="0.15">
      <c r="A3406" s="5" t="s">
        <v>43</v>
      </c>
      <c r="B3406" s="5" t="s">
        <v>987</v>
      </c>
      <c r="C3406" s="9">
        <v>43755</v>
      </c>
      <c r="D3406" s="5" t="s">
        <v>16</v>
      </c>
      <c r="E3406" s="5" t="s">
        <v>986</v>
      </c>
      <c r="F3406" s="6">
        <v>1018.5</v>
      </c>
    </row>
    <row r="3407" spans="1:6" x14ac:dyDescent="0.15">
      <c r="A3407" s="5" t="s">
        <v>35</v>
      </c>
      <c r="B3407" s="5" t="s">
        <v>988</v>
      </c>
      <c r="C3407" s="9">
        <v>43756</v>
      </c>
      <c r="D3407" s="5" t="s">
        <v>16</v>
      </c>
      <c r="E3407" s="5" t="s">
        <v>181</v>
      </c>
      <c r="F3407" s="6">
        <v>2242.5</v>
      </c>
    </row>
    <row r="3408" spans="1:6" x14ac:dyDescent="0.15">
      <c r="A3408" s="5" t="s">
        <v>43</v>
      </c>
      <c r="B3408" s="5" t="s">
        <v>990</v>
      </c>
      <c r="C3408" s="9">
        <v>43754</v>
      </c>
      <c r="D3408" s="5" t="s">
        <v>16</v>
      </c>
      <c r="E3408" s="5" t="s">
        <v>989</v>
      </c>
      <c r="F3408" s="6">
        <v>2134</v>
      </c>
    </row>
    <row r="3409" spans="1:6" x14ac:dyDescent="0.15">
      <c r="A3409" s="5" t="s">
        <v>37</v>
      </c>
      <c r="B3409" s="5" t="s">
        <v>991</v>
      </c>
      <c r="C3409" s="9">
        <v>43759</v>
      </c>
      <c r="D3409" s="5" t="s">
        <v>16</v>
      </c>
      <c r="E3409" s="5" t="s">
        <v>182</v>
      </c>
      <c r="F3409" s="6">
        <v>487.5</v>
      </c>
    </row>
    <row r="3410" spans="1:6" x14ac:dyDescent="0.15">
      <c r="A3410" s="5" t="s">
        <v>35</v>
      </c>
      <c r="B3410" s="5" t="s">
        <v>992</v>
      </c>
      <c r="C3410" s="9">
        <v>43759</v>
      </c>
      <c r="D3410" s="5" t="s">
        <v>16</v>
      </c>
      <c r="E3410" s="5" t="s">
        <v>183</v>
      </c>
      <c r="F3410" s="6">
        <v>1755</v>
      </c>
    </row>
    <row r="3411" spans="1:6" x14ac:dyDescent="0.15">
      <c r="A3411" s="5" t="s">
        <v>35</v>
      </c>
      <c r="B3411" s="5" t="s">
        <v>993</v>
      </c>
      <c r="C3411" s="9">
        <v>43759</v>
      </c>
      <c r="D3411" s="5" t="s">
        <v>16</v>
      </c>
      <c r="E3411" s="5" t="s">
        <v>184</v>
      </c>
      <c r="F3411" s="6">
        <v>487.5</v>
      </c>
    </row>
    <row r="3412" spans="1:6" x14ac:dyDescent="0.15">
      <c r="A3412" s="5" t="s">
        <v>37</v>
      </c>
      <c r="B3412" s="5" t="s">
        <v>994</v>
      </c>
      <c r="C3412" s="9">
        <v>43759</v>
      </c>
      <c r="D3412" s="5" t="s">
        <v>16</v>
      </c>
      <c r="E3412" s="5" t="s">
        <v>185</v>
      </c>
      <c r="F3412" s="6">
        <v>6045</v>
      </c>
    </row>
    <row r="3413" spans="1:6" x14ac:dyDescent="0.15">
      <c r="A3413" s="5" t="s">
        <v>37</v>
      </c>
      <c r="B3413" s="5" t="s">
        <v>995</v>
      </c>
      <c r="C3413" s="9">
        <v>43759</v>
      </c>
      <c r="D3413" s="5" t="s">
        <v>16</v>
      </c>
      <c r="E3413" s="5" t="s">
        <v>186</v>
      </c>
      <c r="F3413" s="6">
        <v>15307.5</v>
      </c>
    </row>
    <row r="3414" spans="1:6" x14ac:dyDescent="0.15">
      <c r="A3414" s="5" t="s">
        <v>37</v>
      </c>
      <c r="B3414" s="5" t="s">
        <v>997</v>
      </c>
      <c r="C3414" s="9">
        <v>43759</v>
      </c>
      <c r="D3414" s="5" t="s">
        <v>16</v>
      </c>
      <c r="E3414" s="5" t="s">
        <v>996</v>
      </c>
      <c r="F3414" s="6">
        <v>7020</v>
      </c>
    </row>
    <row r="3415" spans="1:6" x14ac:dyDescent="0.15">
      <c r="A3415" s="5" t="s">
        <v>37</v>
      </c>
      <c r="B3415" s="5" t="s">
        <v>998</v>
      </c>
      <c r="C3415" s="9">
        <v>43759</v>
      </c>
      <c r="D3415" s="5" t="s">
        <v>16</v>
      </c>
      <c r="E3415" s="5" t="s">
        <v>187</v>
      </c>
      <c r="F3415" s="6">
        <v>17647.5</v>
      </c>
    </row>
    <row r="3416" spans="1:6" x14ac:dyDescent="0.15">
      <c r="A3416" s="5" t="s">
        <v>41</v>
      </c>
      <c r="B3416" s="5" t="s">
        <v>999</v>
      </c>
      <c r="C3416" s="9">
        <v>43759</v>
      </c>
      <c r="D3416" s="5" t="s">
        <v>16</v>
      </c>
      <c r="E3416" s="5" t="s">
        <v>188</v>
      </c>
      <c r="F3416" s="6">
        <v>2473.5</v>
      </c>
    </row>
    <row r="3417" spans="1:6" x14ac:dyDescent="0.15">
      <c r="A3417" s="5" t="s">
        <v>35</v>
      </c>
      <c r="B3417" s="5" t="s">
        <v>1000</v>
      </c>
      <c r="C3417" s="9">
        <v>43759</v>
      </c>
      <c r="D3417" s="5" t="s">
        <v>16</v>
      </c>
      <c r="E3417" s="5" t="s">
        <v>188</v>
      </c>
      <c r="F3417" s="6">
        <v>24375</v>
      </c>
    </row>
    <row r="3418" spans="1:6" x14ac:dyDescent="0.15">
      <c r="A3418" s="5" t="s">
        <v>35</v>
      </c>
      <c r="B3418" s="5" t="s">
        <v>1002</v>
      </c>
      <c r="C3418" s="9">
        <v>43760</v>
      </c>
      <c r="D3418" s="5" t="s">
        <v>16</v>
      </c>
      <c r="E3418" s="5" t="s">
        <v>1001</v>
      </c>
      <c r="F3418" s="6">
        <v>5557.5</v>
      </c>
    </row>
    <row r="3419" spans="1:6" x14ac:dyDescent="0.15">
      <c r="A3419" s="5" t="s">
        <v>43</v>
      </c>
      <c r="B3419" s="5" t="s">
        <v>1538</v>
      </c>
      <c r="C3419" s="9">
        <v>43760</v>
      </c>
      <c r="D3419" s="5" t="s">
        <v>16</v>
      </c>
      <c r="E3419" s="5" t="s">
        <v>1537</v>
      </c>
      <c r="F3419" s="6">
        <v>-388</v>
      </c>
    </row>
    <row r="3420" spans="1:6" x14ac:dyDescent="0.15">
      <c r="A3420" s="5" t="s">
        <v>43</v>
      </c>
      <c r="B3420" s="5" t="s">
        <v>1004</v>
      </c>
      <c r="C3420" s="9">
        <v>43760</v>
      </c>
      <c r="D3420" s="5" t="s">
        <v>16</v>
      </c>
      <c r="E3420" s="5" t="s">
        <v>1003</v>
      </c>
      <c r="F3420" s="6">
        <v>485</v>
      </c>
    </row>
    <row r="3421" spans="1:6" x14ac:dyDescent="0.15">
      <c r="A3421" s="5" t="s">
        <v>37</v>
      </c>
      <c r="B3421" s="5" t="s">
        <v>1005</v>
      </c>
      <c r="C3421" s="9">
        <v>43760</v>
      </c>
      <c r="D3421" s="5" t="s">
        <v>16</v>
      </c>
      <c r="E3421" s="5" t="s">
        <v>1003</v>
      </c>
      <c r="F3421" s="6">
        <v>390</v>
      </c>
    </row>
    <row r="3422" spans="1:6" x14ac:dyDescent="0.15">
      <c r="A3422" s="5" t="s">
        <v>35</v>
      </c>
      <c r="B3422" s="5" t="s">
        <v>1007</v>
      </c>
      <c r="C3422" s="9">
        <v>43760</v>
      </c>
      <c r="D3422" s="5" t="s">
        <v>16</v>
      </c>
      <c r="E3422" s="5" t="s">
        <v>1006</v>
      </c>
      <c r="F3422" s="6">
        <v>2437.5</v>
      </c>
    </row>
    <row r="3423" spans="1:6" x14ac:dyDescent="0.15">
      <c r="A3423" s="5" t="s">
        <v>43</v>
      </c>
      <c r="B3423" s="5" t="s">
        <v>1524</v>
      </c>
      <c r="C3423" s="9">
        <v>43768</v>
      </c>
      <c r="D3423" s="5" t="s">
        <v>16</v>
      </c>
      <c r="E3423" s="5" t="s">
        <v>1523</v>
      </c>
      <c r="F3423" s="6">
        <v>388</v>
      </c>
    </row>
    <row r="3424" spans="1:6" x14ac:dyDescent="0.15">
      <c r="A3424" s="5" t="s">
        <v>53</v>
      </c>
      <c r="B3424" s="5" t="s">
        <v>1333</v>
      </c>
      <c r="C3424" s="9">
        <v>43766</v>
      </c>
      <c r="D3424" s="5" t="s">
        <v>16</v>
      </c>
      <c r="E3424" s="5" t="s">
        <v>1332</v>
      </c>
      <c r="F3424" s="6">
        <v>27885</v>
      </c>
    </row>
    <row r="3425" spans="1:6" x14ac:dyDescent="0.15">
      <c r="A3425" s="5" t="s">
        <v>35</v>
      </c>
      <c r="B3425" s="5" t="s">
        <v>1009</v>
      </c>
      <c r="C3425" s="9">
        <v>43747</v>
      </c>
      <c r="D3425" s="5" t="s">
        <v>16</v>
      </c>
      <c r="E3425" s="5" t="s">
        <v>189</v>
      </c>
      <c r="F3425" s="6">
        <v>3120</v>
      </c>
    </row>
    <row r="3426" spans="1:6" x14ac:dyDescent="0.15">
      <c r="A3426" s="5" t="s">
        <v>35</v>
      </c>
      <c r="B3426" s="5" t="s">
        <v>1008</v>
      </c>
      <c r="C3426" s="9">
        <v>43760</v>
      </c>
      <c r="D3426" s="5" t="s">
        <v>16</v>
      </c>
      <c r="E3426" s="5" t="s">
        <v>1006</v>
      </c>
      <c r="F3426" s="6">
        <v>97.5</v>
      </c>
    </row>
    <row r="3427" spans="1:6" x14ac:dyDescent="0.15">
      <c r="A3427" s="5" t="s">
        <v>37</v>
      </c>
      <c r="B3427" s="5" t="s">
        <v>1010</v>
      </c>
      <c r="C3427" s="9">
        <v>43761</v>
      </c>
      <c r="D3427" s="5" t="s">
        <v>16</v>
      </c>
      <c r="E3427" s="5" t="s">
        <v>190</v>
      </c>
      <c r="F3427" s="6">
        <v>9067.5</v>
      </c>
    </row>
    <row r="3428" spans="1:6" x14ac:dyDescent="0.15">
      <c r="A3428" s="5" t="s">
        <v>37</v>
      </c>
      <c r="B3428" s="5" t="s">
        <v>1011</v>
      </c>
      <c r="C3428" s="9">
        <v>43762</v>
      </c>
      <c r="D3428" s="5" t="s">
        <v>16</v>
      </c>
      <c r="E3428" s="5" t="s">
        <v>191</v>
      </c>
      <c r="F3428" s="6">
        <v>1950</v>
      </c>
    </row>
    <row r="3429" spans="1:6" x14ac:dyDescent="0.15">
      <c r="A3429" s="5" t="s">
        <v>41</v>
      </c>
      <c r="B3429" s="5" t="s">
        <v>1012</v>
      </c>
      <c r="C3429" s="9">
        <v>43762</v>
      </c>
      <c r="D3429" s="5" t="s">
        <v>16</v>
      </c>
      <c r="E3429" s="5" t="s">
        <v>192</v>
      </c>
      <c r="F3429" s="6">
        <v>3783</v>
      </c>
    </row>
    <row r="3430" spans="1:6" x14ac:dyDescent="0.15">
      <c r="A3430" s="5" t="s">
        <v>174</v>
      </c>
      <c r="B3430" s="5" t="s">
        <v>1297</v>
      </c>
      <c r="C3430" s="9">
        <v>43766</v>
      </c>
      <c r="D3430" s="5" t="s">
        <v>16</v>
      </c>
      <c r="E3430" s="5" t="s">
        <v>1296</v>
      </c>
      <c r="F3430" s="6">
        <v>7500</v>
      </c>
    </row>
    <row r="3431" spans="1:6" x14ac:dyDescent="0.15">
      <c r="A3431" s="5" t="s">
        <v>43</v>
      </c>
      <c r="B3431" s="5" t="s">
        <v>1298</v>
      </c>
      <c r="C3431" s="9">
        <v>43766</v>
      </c>
      <c r="D3431" s="5" t="s">
        <v>16</v>
      </c>
      <c r="E3431" s="5" t="s">
        <v>1296</v>
      </c>
      <c r="F3431" s="6">
        <v>1940</v>
      </c>
    </row>
    <row r="3432" spans="1:6" x14ac:dyDescent="0.15">
      <c r="A3432" s="5" t="s">
        <v>57</v>
      </c>
      <c r="B3432" s="5" t="s">
        <v>1299</v>
      </c>
      <c r="C3432" s="9">
        <v>43766</v>
      </c>
      <c r="D3432" s="5" t="s">
        <v>16</v>
      </c>
      <c r="E3432" s="5" t="s">
        <v>1296</v>
      </c>
      <c r="F3432" s="6">
        <v>1940</v>
      </c>
    </row>
    <row r="3433" spans="1:6" x14ac:dyDescent="0.15">
      <c r="A3433" s="5" t="s">
        <v>42</v>
      </c>
      <c r="B3433" s="5" t="s">
        <v>1300</v>
      </c>
      <c r="C3433" s="9">
        <v>43766</v>
      </c>
      <c r="D3433" s="5" t="s">
        <v>16</v>
      </c>
      <c r="E3433" s="5" t="s">
        <v>1296</v>
      </c>
      <c r="F3433" s="6">
        <v>3000</v>
      </c>
    </row>
    <row r="3434" spans="1:6" x14ac:dyDescent="0.15">
      <c r="A3434" s="5" t="s">
        <v>64</v>
      </c>
      <c r="B3434" s="5" t="s">
        <v>1301</v>
      </c>
      <c r="C3434" s="9">
        <v>43766</v>
      </c>
      <c r="D3434" s="5" t="s">
        <v>16</v>
      </c>
      <c r="E3434" s="5" t="s">
        <v>1296</v>
      </c>
      <c r="F3434" s="6">
        <v>6000</v>
      </c>
    </row>
    <row r="3435" spans="1:6" x14ac:dyDescent="0.15">
      <c r="A3435" s="5" t="s">
        <v>35</v>
      </c>
      <c r="B3435" s="5" t="s">
        <v>1013</v>
      </c>
      <c r="C3435" s="9">
        <v>43761</v>
      </c>
      <c r="D3435" s="5" t="s">
        <v>16</v>
      </c>
      <c r="E3435" s="5" t="s">
        <v>193</v>
      </c>
      <c r="F3435" s="6">
        <v>1852.5</v>
      </c>
    </row>
    <row r="3436" spans="1:6" x14ac:dyDescent="0.15">
      <c r="A3436" s="5" t="s">
        <v>35</v>
      </c>
      <c r="B3436" s="5" t="s">
        <v>1014</v>
      </c>
      <c r="C3436" s="9">
        <v>43762</v>
      </c>
      <c r="D3436" s="5" t="s">
        <v>16</v>
      </c>
      <c r="E3436" s="5" t="s">
        <v>194</v>
      </c>
      <c r="F3436" s="6">
        <v>6142.5</v>
      </c>
    </row>
    <row r="3437" spans="1:6" x14ac:dyDescent="0.15">
      <c r="A3437" s="5" t="s">
        <v>51</v>
      </c>
      <c r="B3437" s="5" t="s">
        <v>1016</v>
      </c>
      <c r="C3437" s="9">
        <v>43766</v>
      </c>
      <c r="D3437" s="5" t="s">
        <v>16</v>
      </c>
      <c r="E3437" s="5" t="s">
        <v>1015</v>
      </c>
      <c r="F3437" s="6">
        <v>5070</v>
      </c>
    </row>
    <row r="3438" spans="1:6" x14ac:dyDescent="0.15">
      <c r="A3438" s="5" t="s">
        <v>53</v>
      </c>
      <c r="B3438" s="5" t="s">
        <v>1017</v>
      </c>
      <c r="C3438" s="9">
        <v>43766</v>
      </c>
      <c r="D3438" s="5" t="s">
        <v>16</v>
      </c>
      <c r="E3438" s="5" t="s">
        <v>1015</v>
      </c>
      <c r="F3438" s="6">
        <v>6630</v>
      </c>
    </row>
    <row r="3439" spans="1:6" x14ac:dyDescent="0.15">
      <c r="A3439" s="5" t="s">
        <v>37</v>
      </c>
      <c r="B3439" s="5" t="s">
        <v>1019</v>
      </c>
      <c r="C3439" s="9">
        <v>43766</v>
      </c>
      <c r="D3439" s="5" t="s">
        <v>16</v>
      </c>
      <c r="E3439" s="5" t="s">
        <v>1018</v>
      </c>
      <c r="F3439" s="6">
        <v>6045</v>
      </c>
    </row>
    <row r="3440" spans="1:6" x14ac:dyDescent="0.15">
      <c r="A3440" s="5" t="s">
        <v>37</v>
      </c>
      <c r="B3440" s="5" t="s">
        <v>1020</v>
      </c>
      <c r="C3440" s="9">
        <v>43766</v>
      </c>
      <c r="D3440" s="5" t="s">
        <v>16</v>
      </c>
      <c r="E3440" s="5" t="s">
        <v>195</v>
      </c>
      <c r="F3440" s="6">
        <v>7215</v>
      </c>
    </row>
    <row r="3441" spans="1:6" x14ac:dyDescent="0.15">
      <c r="A3441" s="5" t="s">
        <v>42</v>
      </c>
      <c r="B3441" s="5" t="s">
        <v>1021</v>
      </c>
      <c r="C3441" s="9">
        <v>43766</v>
      </c>
      <c r="D3441" s="5" t="s">
        <v>16</v>
      </c>
      <c r="E3441" s="5" t="s">
        <v>195</v>
      </c>
      <c r="F3441" s="6">
        <v>1950</v>
      </c>
    </row>
    <row r="3442" spans="1:6" x14ac:dyDescent="0.15">
      <c r="A3442" s="5" t="s">
        <v>37</v>
      </c>
      <c r="B3442" s="5" t="s">
        <v>1022</v>
      </c>
      <c r="C3442" s="9">
        <v>43766</v>
      </c>
      <c r="D3442" s="5" t="s">
        <v>16</v>
      </c>
      <c r="E3442" s="5" t="s">
        <v>196</v>
      </c>
      <c r="F3442" s="6">
        <v>9457.5</v>
      </c>
    </row>
    <row r="3443" spans="1:6" x14ac:dyDescent="0.15">
      <c r="A3443" s="5" t="s">
        <v>42</v>
      </c>
      <c r="B3443" s="5" t="s">
        <v>1023</v>
      </c>
      <c r="C3443" s="9">
        <v>43766</v>
      </c>
      <c r="D3443" s="5" t="s">
        <v>16</v>
      </c>
      <c r="E3443" s="5" t="s">
        <v>196</v>
      </c>
      <c r="F3443" s="6">
        <v>3600</v>
      </c>
    </row>
    <row r="3444" spans="1:6" x14ac:dyDescent="0.15">
      <c r="A3444" s="5" t="s">
        <v>35</v>
      </c>
      <c r="B3444" s="5" t="s">
        <v>1024</v>
      </c>
      <c r="C3444" s="9">
        <v>43766</v>
      </c>
      <c r="D3444" s="5" t="s">
        <v>16</v>
      </c>
      <c r="E3444" s="5" t="s">
        <v>197</v>
      </c>
      <c r="F3444" s="6">
        <v>4875</v>
      </c>
    </row>
    <row r="3445" spans="1:6" x14ac:dyDescent="0.15">
      <c r="A3445" s="5" t="s">
        <v>40</v>
      </c>
      <c r="B3445" s="5" t="s">
        <v>1025</v>
      </c>
      <c r="C3445" s="9">
        <v>43766</v>
      </c>
      <c r="D3445" s="5" t="s">
        <v>16</v>
      </c>
      <c r="E3445" s="5" t="s">
        <v>197</v>
      </c>
      <c r="F3445" s="6">
        <v>3750</v>
      </c>
    </row>
    <row r="3446" spans="1:6" x14ac:dyDescent="0.15">
      <c r="A3446" s="5" t="s">
        <v>37</v>
      </c>
      <c r="B3446" s="5" t="s">
        <v>1027</v>
      </c>
      <c r="C3446" s="9">
        <v>43766</v>
      </c>
      <c r="D3446" s="5" t="s">
        <v>16</v>
      </c>
      <c r="E3446" s="5" t="s">
        <v>1026</v>
      </c>
      <c r="F3446" s="6">
        <v>1560</v>
      </c>
    </row>
    <row r="3447" spans="1:6" x14ac:dyDescent="0.15">
      <c r="A3447" s="5" t="s">
        <v>37</v>
      </c>
      <c r="B3447" s="5" t="s">
        <v>1028</v>
      </c>
      <c r="C3447" s="9">
        <v>43767</v>
      </c>
      <c r="D3447" s="5" t="s">
        <v>16</v>
      </c>
      <c r="E3447" s="5" t="s">
        <v>198</v>
      </c>
      <c r="F3447" s="6">
        <v>1365</v>
      </c>
    </row>
    <row r="3448" spans="1:6" x14ac:dyDescent="0.15">
      <c r="A3448" s="5" t="s">
        <v>37</v>
      </c>
      <c r="B3448" s="5" t="s">
        <v>1029</v>
      </c>
      <c r="C3448" s="9">
        <v>43767</v>
      </c>
      <c r="D3448" s="5" t="s">
        <v>16</v>
      </c>
      <c r="E3448" s="5" t="s">
        <v>199</v>
      </c>
      <c r="F3448" s="6">
        <v>1950</v>
      </c>
    </row>
    <row r="3449" spans="1:6" x14ac:dyDescent="0.15">
      <c r="A3449" s="5" t="s">
        <v>46</v>
      </c>
      <c r="B3449" s="5" t="s">
        <v>1192</v>
      </c>
      <c r="C3449" s="9">
        <v>43768</v>
      </c>
      <c r="D3449" s="5" t="s">
        <v>16</v>
      </c>
      <c r="E3449" s="5" t="s">
        <v>1191</v>
      </c>
      <c r="F3449" s="6">
        <v>145.5</v>
      </c>
    </row>
    <row r="3450" spans="1:6" x14ac:dyDescent="0.15">
      <c r="A3450" s="5" t="s">
        <v>37</v>
      </c>
      <c r="B3450" s="5" t="s">
        <v>1031</v>
      </c>
      <c r="C3450" s="9">
        <v>43767</v>
      </c>
      <c r="D3450" s="5" t="s">
        <v>16</v>
      </c>
      <c r="E3450" s="5" t="s">
        <v>1030</v>
      </c>
      <c r="F3450" s="6">
        <v>682.5</v>
      </c>
    </row>
    <row r="3451" spans="1:6" x14ac:dyDescent="0.15">
      <c r="A3451" s="5" t="s">
        <v>44</v>
      </c>
      <c r="B3451" s="5" t="s">
        <v>1194</v>
      </c>
      <c r="C3451" s="9">
        <v>43767</v>
      </c>
      <c r="D3451" s="5" t="s">
        <v>16</v>
      </c>
      <c r="E3451" s="5" t="s">
        <v>1193</v>
      </c>
      <c r="F3451" s="6">
        <v>682.5</v>
      </c>
    </row>
    <row r="3452" spans="1:6" x14ac:dyDescent="0.15">
      <c r="A3452" s="5" t="s">
        <v>43</v>
      </c>
      <c r="B3452" s="5" t="s">
        <v>1540</v>
      </c>
      <c r="C3452" s="9">
        <v>43769</v>
      </c>
      <c r="D3452" s="5" t="s">
        <v>16</v>
      </c>
      <c r="E3452" s="5" t="s">
        <v>1539</v>
      </c>
      <c r="F3452" s="6">
        <v>-388</v>
      </c>
    </row>
    <row r="3453" spans="1:6" x14ac:dyDescent="0.15">
      <c r="A3453" s="5" t="s">
        <v>43</v>
      </c>
      <c r="B3453" s="5" t="s">
        <v>1526</v>
      </c>
      <c r="C3453" s="9">
        <v>43769</v>
      </c>
      <c r="D3453" s="5" t="s">
        <v>16</v>
      </c>
      <c r="E3453" s="5" t="s">
        <v>1525</v>
      </c>
      <c r="F3453" s="6">
        <v>388</v>
      </c>
    </row>
    <row r="3454" spans="1:6" x14ac:dyDescent="0.15">
      <c r="A3454" s="5" t="s">
        <v>42</v>
      </c>
      <c r="B3454" s="5" t="s">
        <v>1033</v>
      </c>
      <c r="C3454" s="9">
        <v>43769</v>
      </c>
      <c r="D3454" s="5" t="s">
        <v>16</v>
      </c>
      <c r="E3454" s="5" t="s">
        <v>1032</v>
      </c>
      <c r="F3454" s="6">
        <v>675</v>
      </c>
    </row>
    <row r="3455" spans="1:6" x14ac:dyDescent="0.15">
      <c r="A3455" s="5" t="s">
        <v>37</v>
      </c>
      <c r="B3455" s="5" t="s">
        <v>1034</v>
      </c>
      <c r="C3455" s="9">
        <v>43769</v>
      </c>
      <c r="D3455" s="5" t="s">
        <v>16</v>
      </c>
      <c r="E3455" s="5" t="s">
        <v>1032</v>
      </c>
      <c r="F3455" s="6">
        <v>1755</v>
      </c>
    </row>
    <row r="3456" spans="1:6" x14ac:dyDescent="0.15">
      <c r="A3456" s="5" t="s">
        <v>37</v>
      </c>
      <c r="B3456" s="5" t="s">
        <v>1036</v>
      </c>
      <c r="C3456" s="9">
        <v>43773</v>
      </c>
      <c r="D3456" s="5" t="s">
        <v>16</v>
      </c>
      <c r="E3456" s="5" t="s">
        <v>1035</v>
      </c>
      <c r="F3456" s="6">
        <v>585</v>
      </c>
    </row>
    <row r="3457" spans="1:6" x14ac:dyDescent="0.15">
      <c r="A3457" s="5" t="s">
        <v>51</v>
      </c>
      <c r="B3457" s="5" t="s">
        <v>1037</v>
      </c>
      <c r="C3457" s="9">
        <v>43773</v>
      </c>
      <c r="D3457" s="5" t="s">
        <v>16</v>
      </c>
      <c r="E3457" s="5" t="s">
        <v>200</v>
      </c>
      <c r="F3457" s="6">
        <v>2925</v>
      </c>
    </row>
    <row r="3458" spans="1:6" x14ac:dyDescent="0.15">
      <c r="A3458" s="5" t="s">
        <v>40</v>
      </c>
      <c r="B3458" s="5" t="s">
        <v>1038</v>
      </c>
      <c r="C3458" s="9">
        <v>43773</v>
      </c>
      <c r="D3458" s="5" t="s">
        <v>16</v>
      </c>
      <c r="E3458" s="5" t="s">
        <v>201</v>
      </c>
      <c r="F3458" s="6">
        <v>3750</v>
      </c>
    </row>
    <row r="3459" spans="1:6" x14ac:dyDescent="0.15">
      <c r="A3459" s="5" t="s">
        <v>35</v>
      </c>
      <c r="B3459" s="5" t="s">
        <v>1039</v>
      </c>
      <c r="C3459" s="9">
        <v>43773</v>
      </c>
      <c r="D3459" s="5" t="s">
        <v>16</v>
      </c>
      <c r="E3459" s="5" t="s">
        <v>201</v>
      </c>
      <c r="F3459" s="6">
        <v>2145</v>
      </c>
    </row>
    <row r="3460" spans="1:6" x14ac:dyDescent="0.15">
      <c r="A3460" s="5" t="s">
        <v>41</v>
      </c>
      <c r="B3460" s="5" t="s">
        <v>1040</v>
      </c>
      <c r="C3460" s="9">
        <v>43773</v>
      </c>
      <c r="D3460" s="5" t="s">
        <v>16</v>
      </c>
      <c r="E3460" s="5" t="s">
        <v>202</v>
      </c>
      <c r="F3460" s="6">
        <v>3298</v>
      </c>
    </row>
    <row r="3461" spans="1:6" x14ac:dyDescent="0.15">
      <c r="A3461" s="5" t="s">
        <v>35</v>
      </c>
      <c r="B3461" s="5" t="s">
        <v>1041</v>
      </c>
      <c r="C3461" s="9">
        <v>43773</v>
      </c>
      <c r="D3461" s="5" t="s">
        <v>16</v>
      </c>
      <c r="E3461" s="5" t="s">
        <v>202</v>
      </c>
      <c r="F3461" s="6">
        <v>7215</v>
      </c>
    </row>
    <row r="3462" spans="1:6" x14ac:dyDescent="0.15">
      <c r="A3462" s="5" t="s">
        <v>35</v>
      </c>
      <c r="B3462" s="5" t="s">
        <v>1043</v>
      </c>
      <c r="C3462" s="9">
        <v>43773</v>
      </c>
      <c r="D3462" s="5" t="s">
        <v>16</v>
      </c>
      <c r="E3462" s="5" t="s">
        <v>1042</v>
      </c>
      <c r="F3462" s="6">
        <v>780</v>
      </c>
    </row>
    <row r="3463" spans="1:6" x14ac:dyDescent="0.15">
      <c r="A3463" s="5" t="s">
        <v>41</v>
      </c>
      <c r="B3463" s="5" t="s">
        <v>1045</v>
      </c>
      <c r="C3463" s="9">
        <v>43773</v>
      </c>
      <c r="D3463" s="5" t="s">
        <v>16</v>
      </c>
      <c r="E3463" s="5" t="s">
        <v>1044</v>
      </c>
      <c r="F3463" s="6">
        <v>194</v>
      </c>
    </row>
    <row r="3464" spans="1:6" x14ac:dyDescent="0.15">
      <c r="A3464" s="5" t="s">
        <v>35</v>
      </c>
      <c r="B3464" s="5" t="s">
        <v>1046</v>
      </c>
      <c r="C3464" s="9">
        <v>43773</v>
      </c>
      <c r="D3464" s="5" t="s">
        <v>16</v>
      </c>
      <c r="E3464" s="5" t="s">
        <v>1044</v>
      </c>
      <c r="F3464" s="6">
        <v>585</v>
      </c>
    </row>
    <row r="3465" spans="1:6" x14ac:dyDescent="0.15">
      <c r="A3465" s="5" t="s">
        <v>43</v>
      </c>
      <c r="B3465" s="5" t="s">
        <v>1048</v>
      </c>
      <c r="C3465" s="9">
        <v>43773</v>
      </c>
      <c r="D3465" s="5" t="s">
        <v>16</v>
      </c>
      <c r="E3465" s="5" t="s">
        <v>1047</v>
      </c>
      <c r="F3465" s="6">
        <v>2667.5</v>
      </c>
    </row>
    <row r="3466" spans="1:6" x14ac:dyDescent="0.15">
      <c r="A3466" s="5" t="s">
        <v>37</v>
      </c>
      <c r="B3466" s="5" t="s">
        <v>1049</v>
      </c>
      <c r="C3466" s="9">
        <v>43773</v>
      </c>
      <c r="D3466" s="5" t="s">
        <v>16</v>
      </c>
      <c r="E3466" s="5" t="s">
        <v>203</v>
      </c>
      <c r="F3466" s="6">
        <v>8190</v>
      </c>
    </row>
    <row r="3467" spans="1:6" x14ac:dyDescent="0.15">
      <c r="A3467" s="5" t="s">
        <v>37</v>
      </c>
      <c r="B3467" s="5" t="s">
        <v>1050</v>
      </c>
      <c r="C3467" s="9">
        <v>43773</v>
      </c>
      <c r="D3467" s="5" t="s">
        <v>16</v>
      </c>
      <c r="E3467" s="5" t="s">
        <v>204</v>
      </c>
      <c r="F3467" s="6">
        <v>1950</v>
      </c>
    </row>
    <row r="3468" spans="1:6" x14ac:dyDescent="0.15">
      <c r="A3468" s="5" t="s">
        <v>37</v>
      </c>
      <c r="B3468" s="5" t="s">
        <v>1051</v>
      </c>
      <c r="C3468" s="9">
        <v>43774</v>
      </c>
      <c r="D3468" s="5" t="s">
        <v>16</v>
      </c>
      <c r="E3468" s="5" t="s">
        <v>205</v>
      </c>
      <c r="F3468" s="6">
        <v>1950</v>
      </c>
    </row>
    <row r="3469" spans="1:6" x14ac:dyDescent="0.15">
      <c r="A3469" s="5" t="s">
        <v>35</v>
      </c>
      <c r="B3469" s="5" t="s">
        <v>1052</v>
      </c>
      <c r="C3469" s="9">
        <v>43775</v>
      </c>
      <c r="D3469" s="5" t="s">
        <v>16</v>
      </c>
      <c r="E3469" s="5" t="s">
        <v>206</v>
      </c>
      <c r="F3469" s="6">
        <v>975</v>
      </c>
    </row>
    <row r="3470" spans="1:6" x14ac:dyDescent="0.15">
      <c r="A3470" s="5" t="s">
        <v>42</v>
      </c>
      <c r="B3470" s="5" t="s">
        <v>1054</v>
      </c>
      <c r="C3470" s="9">
        <v>43774</v>
      </c>
      <c r="D3470" s="5" t="s">
        <v>16</v>
      </c>
      <c r="E3470" s="5" t="s">
        <v>207</v>
      </c>
      <c r="F3470" s="6">
        <v>7950</v>
      </c>
    </row>
    <row r="3471" spans="1:6" x14ac:dyDescent="0.15">
      <c r="A3471" s="5" t="s">
        <v>37</v>
      </c>
      <c r="B3471" s="5" t="s">
        <v>1055</v>
      </c>
      <c r="C3471" s="9">
        <v>43774</v>
      </c>
      <c r="D3471" s="5" t="s">
        <v>16</v>
      </c>
      <c r="E3471" s="5" t="s">
        <v>207</v>
      </c>
      <c r="F3471" s="6">
        <v>487.5</v>
      </c>
    </row>
    <row r="3472" spans="1:6" x14ac:dyDescent="0.15">
      <c r="A3472" s="5" t="s">
        <v>37</v>
      </c>
      <c r="B3472" s="5" t="s">
        <v>1056</v>
      </c>
      <c r="C3472" s="9">
        <v>43774</v>
      </c>
      <c r="D3472" s="5" t="s">
        <v>16</v>
      </c>
      <c r="E3472" s="5" t="s">
        <v>208</v>
      </c>
      <c r="F3472" s="6">
        <v>6045</v>
      </c>
    </row>
    <row r="3473" spans="1:6" x14ac:dyDescent="0.15">
      <c r="A3473" s="5" t="s">
        <v>37</v>
      </c>
      <c r="B3473" s="5" t="s">
        <v>1057</v>
      </c>
      <c r="C3473" s="9">
        <v>43774</v>
      </c>
      <c r="D3473" s="5" t="s">
        <v>16</v>
      </c>
      <c r="E3473" s="5" t="s">
        <v>209</v>
      </c>
      <c r="F3473" s="6">
        <v>2145</v>
      </c>
    </row>
    <row r="3474" spans="1:6" x14ac:dyDescent="0.15">
      <c r="A3474" s="5" t="s">
        <v>37</v>
      </c>
      <c r="B3474" s="5" t="s">
        <v>1058</v>
      </c>
      <c r="C3474" s="9">
        <v>43775</v>
      </c>
      <c r="D3474" s="5" t="s">
        <v>16</v>
      </c>
      <c r="E3474" s="5" t="s">
        <v>210</v>
      </c>
      <c r="F3474" s="6">
        <v>5070</v>
      </c>
    </row>
    <row r="3475" spans="1:6" x14ac:dyDescent="0.15">
      <c r="A3475" s="5" t="s">
        <v>37</v>
      </c>
      <c r="B3475" s="5" t="s">
        <v>1060</v>
      </c>
      <c r="C3475" s="9">
        <v>43775</v>
      </c>
      <c r="D3475" s="5" t="s">
        <v>16</v>
      </c>
      <c r="E3475" s="5" t="s">
        <v>1059</v>
      </c>
      <c r="F3475" s="6">
        <v>2535</v>
      </c>
    </row>
    <row r="3476" spans="1:6" x14ac:dyDescent="0.15">
      <c r="A3476" s="5" t="s">
        <v>43</v>
      </c>
      <c r="B3476" s="5" t="s">
        <v>1061</v>
      </c>
      <c r="C3476" s="9">
        <v>43775</v>
      </c>
      <c r="D3476" s="5" t="s">
        <v>16</v>
      </c>
      <c r="E3476" s="5" t="s">
        <v>1059</v>
      </c>
      <c r="F3476" s="6">
        <v>2037</v>
      </c>
    </row>
    <row r="3477" spans="1:6" x14ac:dyDescent="0.15">
      <c r="A3477" s="5" t="s">
        <v>37</v>
      </c>
      <c r="B3477" s="5" t="s">
        <v>1062</v>
      </c>
      <c r="C3477" s="9">
        <v>43775</v>
      </c>
      <c r="D3477" s="5" t="s">
        <v>16</v>
      </c>
      <c r="E3477" s="5" t="s">
        <v>211</v>
      </c>
      <c r="F3477" s="6">
        <v>15015</v>
      </c>
    </row>
    <row r="3478" spans="1:6" x14ac:dyDescent="0.15">
      <c r="A3478" s="5" t="s">
        <v>35</v>
      </c>
      <c r="B3478" s="5" t="s">
        <v>1053</v>
      </c>
      <c r="C3478" s="9">
        <v>43775</v>
      </c>
      <c r="D3478" s="5" t="s">
        <v>16</v>
      </c>
      <c r="E3478" s="5" t="s">
        <v>206</v>
      </c>
      <c r="F3478" s="6">
        <v>-292.5</v>
      </c>
    </row>
    <row r="3479" spans="1:6" x14ac:dyDescent="0.15">
      <c r="A3479" s="5" t="s">
        <v>42</v>
      </c>
      <c r="B3479" s="5" t="s">
        <v>1064</v>
      </c>
      <c r="C3479" s="9">
        <v>43775</v>
      </c>
      <c r="D3479" s="5" t="s">
        <v>16</v>
      </c>
      <c r="E3479" s="5" t="s">
        <v>1063</v>
      </c>
      <c r="F3479" s="6">
        <v>225</v>
      </c>
    </row>
    <row r="3480" spans="1:6" x14ac:dyDescent="0.15">
      <c r="A3480" s="5" t="s">
        <v>37</v>
      </c>
      <c r="B3480" s="5" t="s">
        <v>1065</v>
      </c>
      <c r="C3480" s="9">
        <v>43775</v>
      </c>
      <c r="D3480" s="5" t="s">
        <v>16</v>
      </c>
      <c r="E3480" s="5" t="s">
        <v>1063</v>
      </c>
      <c r="F3480" s="6">
        <v>292.5</v>
      </c>
    </row>
    <row r="3481" spans="1:6" x14ac:dyDescent="0.15">
      <c r="A3481" s="5" t="s">
        <v>43</v>
      </c>
      <c r="B3481" s="5" t="s">
        <v>1066</v>
      </c>
      <c r="C3481" s="9">
        <v>43776</v>
      </c>
      <c r="D3481" s="5" t="s">
        <v>16</v>
      </c>
      <c r="E3481" s="5" t="s">
        <v>212</v>
      </c>
      <c r="F3481" s="6">
        <v>145.5</v>
      </c>
    </row>
    <row r="3482" spans="1:6" x14ac:dyDescent="0.15">
      <c r="A3482" s="5" t="s">
        <v>43</v>
      </c>
      <c r="B3482" s="5" t="s">
        <v>1069</v>
      </c>
      <c r="C3482" s="9">
        <v>43776</v>
      </c>
      <c r="D3482" s="5" t="s">
        <v>16</v>
      </c>
      <c r="E3482" s="5" t="s">
        <v>214</v>
      </c>
      <c r="F3482" s="6">
        <v>2425</v>
      </c>
    </row>
    <row r="3483" spans="1:6" x14ac:dyDescent="0.15">
      <c r="A3483" s="5" t="s">
        <v>37</v>
      </c>
      <c r="B3483" s="5" t="s">
        <v>1070</v>
      </c>
      <c r="C3483" s="9">
        <v>43776</v>
      </c>
      <c r="D3483" s="5" t="s">
        <v>16</v>
      </c>
      <c r="E3483" s="5" t="s">
        <v>214</v>
      </c>
      <c r="F3483" s="6">
        <v>20865</v>
      </c>
    </row>
    <row r="3484" spans="1:6" x14ac:dyDescent="0.15">
      <c r="A3484" s="5" t="s">
        <v>43</v>
      </c>
      <c r="B3484" s="5" t="s">
        <v>1067</v>
      </c>
      <c r="C3484" s="9">
        <v>43777</v>
      </c>
      <c r="D3484" s="5" t="s">
        <v>16</v>
      </c>
      <c r="E3484" s="5" t="s">
        <v>213</v>
      </c>
      <c r="F3484" s="6">
        <v>2085.5</v>
      </c>
    </row>
    <row r="3485" spans="1:6" x14ac:dyDescent="0.15">
      <c r="A3485" s="5" t="s">
        <v>37</v>
      </c>
      <c r="B3485" s="5" t="s">
        <v>1068</v>
      </c>
      <c r="C3485" s="9">
        <v>43777</v>
      </c>
      <c r="D3485" s="5" t="s">
        <v>16</v>
      </c>
      <c r="E3485" s="5" t="s">
        <v>213</v>
      </c>
      <c r="F3485" s="6">
        <v>23010</v>
      </c>
    </row>
    <row r="3486" spans="1:6" x14ac:dyDescent="0.15">
      <c r="A3486" s="5" t="s">
        <v>41</v>
      </c>
      <c r="B3486" s="5" t="s">
        <v>1071</v>
      </c>
      <c r="C3486" s="9">
        <v>43781</v>
      </c>
      <c r="D3486" s="5" t="s">
        <v>16</v>
      </c>
      <c r="E3486" s="5" t="s">
        <v>215</v>
      </c>
      <c r="F3486" s="6">
        <v>3492</v>
      </c>
    </row>
    <row r="3487" spans="1:6" x14ac:dyDescent="0.15">
      <c r="A3487" s="5" t="s">
        <v>41</v>
      </c>
      <c r="B3487" s="5" t="s">
        <v>1072</v>
      </c>
      <c r="C3487" s="9">
        <v>43781</v>
      </c>
      <c r="D3487" s="5" t="s">
        <v>16</v>
      </c>
      <c r="E3487" s="5" t="s">
        <v>216</v>
      </c>
      <c r="F3487" s="6">
        <v>339.5</v>
      </c>
    </row>
    <row r="3488" spans="1:6" x14ac:dyDescent="0.15">
      <c r="A3488" s="5" t="s">
        <v>35</v>
      </c>
      <c r="B3488" s="5" t="s">
        <v>1073</v>
      </c>
      <c r="C3488" s="9">
        <v>43781</v>
      </c>
      <c r="D3488" s="5" t="s">
        <v>16</v>
      </c>
      <c r="E3488" s="5" t="s">
        <v>216</v>
      </c>
      <c r="F3488" s="6">
        <v>3900</v>
      </c>
    </row>
    <row r="3489" spans="1:6" x14ac:dyDescent="0.15">
      <c r="A3489" s="5" t="s">
        <v>43</v>
      </c>
      <c r="B3489" s="5" t="s">
        <v>1074</v>
      </c>
      <c r="C3489" s="9">
        <v>43777</v>
      </c>
      <c r="D3489" s="5" t="s">
        <v>16</v>
      </c>
      <c r="E3489" s="5" t="s">
        <v>217</v>
      </c>
      <c r="F3489" s="6">
        <v>48.5</v>
      </c>
    </row>
    <row r="3490" spans="1:6" x14ac:dyDescent="0.15">
      <c r="A3490" s="5" t="s">
        <v>37</v>
      </c>
      <c r="B3490" s="5" t="s">
        <v>1075</v>
      </c>
      <c r="C3490" s="9">
        <v>43776</v>
      </c>
      <c r="D3490" s="5" t="s">
        <v>16</v>
      </c>
      <c r="E3490" s="5" t="s">
        <v>218</v>
      </c>
      <c r="F3490" s="6">
        <v>10920</v>
      </c>
    </row>
    <row r="3491" spans="1:6" x14ac:dyDescent="0.15">
      <c r="A3491" s="5" t="s">
        <v>57</v>
      </c>
      <c r="B3491" s="5" t="s">
        <v>1076</v>
      </c>
      <c r="C3491" s="9">
        <v>43781</v>
      </c>
      <c r="D3491" s="5" t="s">
        <v>16</v>
      </c>
      <c r="E3491" s="5" t="s">
        <v>219</v>
      </c>
      <c r="F3491" s="6">
        <v>2037</v>
      </c>
    </row>
    <row r="3492" spans="1:6" x14ac:dyDescent="0.15">
      <c r="A3492" s="5" t="s">
        <v>37</v>
      </c>
      <c r="B3492" s="5" t="s">
        <v>1077</v>
      </c>
      <c r="C3492" s="9">
        <v>43782</v>
      </c>
      <c r="D3492" s="5" t="s">
        <v>16</v>
      </c>
      <c r="E3492" s="5" t="s">
        <v>220</v>
      </c>
      <c r="F3492" s="6">
        <v>2340</v>
      </c>
    </row>
    <row r="3493" spans="1:6" x14ac:dyDescent="0.15">
      <c r="A3493" s="5" t="s">
        <v>42</v>
      </c>
      <c r="B3493" s="5" t="s">
        <v>1078</v>
      </c>
      <c r="C3493" s="9">
        <v>43782</v>
      </c>
      <c r="D3493" s="5" t="s">
        <v>16</v>
      </c>
      <c r="E3493" s="5" t="s">
        <v>221</v>
      </c>
      <c r="F3493" s="6">
        <v>600</v>
      </c>
    </row>
    <row r="3494" spans="1:6" x14ac:dyDescent="0.15">
      <c r="A3494" s="5" t="s">
        <v>43</v>
      </c>
      <c r="B3494" s="5" t="s">
        <v>1472</v>
      </c>
      <c r="C3494" s="9">
        <v>43787</v>
      </c>
      <c r="D3494" s="5" t="s">
        <v>16</v>
      </c>
      <c r="E3494" s="5" t="s">
        <v>1471</v>
      </c>
      <c r="F3494" s="6">
        <v>7760</v>
      </c>
    </row>
    <row r="3495" spans="1:6" x14ac:dyDescent="0.15">
      <c r="A3495" s="5" t="s">
        <v>37</v>
      </c>
      <c r="B3495" s="5" t="s">
        <v>1080</v>
      </c>
      <c r="C3495" s="9">
        <v>43783</v>
      </c>
      <c r="D3495" s="5" t="s">
        <v>16</v>
      </c>
      <c r="E3495" s="5" t="s">
        <v>1079</v>
      </c>
      <c r="F3495" s="6">
        <v>3900</v>
      </c>
    </row>
    <row r="3496" spans="1:6" x14ac:dyDescent="0.15">
      <c r="A3496" s="5" t="s">
        <v>35</v>
      </c>
      <c r="B3496" s="5" t="s">
        <v>1081</v>
      </c>
      <c r="C3496" s="9">
        <v>43783</v>
      </c>
      <c r="D3496" s="5" t="s">
        <v>16</v>
      </c>
      <c r="E3496" s="5" t="s">
        <v>222</v>
      </c>
      <c r="F3496" s="6">
        <v>1365</v>
      </c>
    </row>
    <row r="3497" spans="1:6" x14ac:dyDescent="0.15">
      <c r="A3497" s="5" t="s">
        <v>35</v>
      </c>
      <c r="B3497" s="5" t="s">
        <v>1082</v>
      </c>
      <c r="C3497" s="9">
        <v>43783</v>
      </c>
      <c r="D3497" s="5" t="s">
        <v>16</v>
      </c>
      <c r="E3497" s="5" t="s">
        <v>223</v>
      </c>
      <c r="F3497" s="6">
        <v>585</v>
      </c>
    </row>
    <row r="3498" spans="1:6" x14ac:dyDescent="0.15">
      <c r="A3498" s="5" t="s">
        <v>42</v>
      </c>
      <c r="B3498" s="5" t="s">
        <v>1083</v>
      </c>
      <c r="C3498" s="9">
        <v>43783</v>
      </c>
      <c r="D3498" s="5" t="s">
        <v>16</v>
      </c>
      <c r="E3498" s="5" t="s">
        <v>224</v>
      </c>
      <c r="F3498" s="6">
        <v>5175</v>
      </c>
    </row>
    <row r="3499" spans="1:6" x14ac:dyDescent="0.15">
      <c r="A3499" s="5" t="s">
        <v>37</v>
      </c>
      <c r="B3499" s="5" t="s">
        <v>1084</v>
      </c>
      <c r="C3499" s="9">
        <v>43783</v>
      </c>
      <c r="D3499" s="5" t="s">
        <v>16</v>
      </c>
      <c r="E3499" s="5" t="s">
        <v>225</v>
      </c>
      <c r="F3499" s="6">
        <v>1950</v>
      </c>
    </row>
    <row r="3500" spans="1:6" x14ac:dyDescent="0.15">
      <c r="A3500" s="5" t="s">
        <v>35</v>
      </c>
      <c r="B3500" s="5" t="s">
        <v>1085</v>
      </c>
      <c r="C3500" s="9">
        <v>43782</v>
      </c>
      <c r="D3500" s="5" t="s">
        <v>16</v>
      </c>
      <c r="E3500" s="5" t="s">
        <v>226</v>
      </c>
      <c r="F3500" s="6">
        <v>1170</v>
      </c>
    </row>
    <row r="3501" spans="1:6" x14ac:dyDescent="0.15">
      <c r="A3501" s="5" t="s">
        <v>37</v>
      </c>
      <c r="B3501" s="5" t="s">
        <v>1086</v>
      </c>
      <c r="C3501" s="9">
        <v>43787</v>
      </c>
      <c r="D3501" s="5" t="s">
        <v>16</v>
      </c>
      <c r="E3501" s="5" t="s">
        <v>227</v>
      </c>
      <c r="F3501" s="6">
        <v>2535</v>
      </c>
    </row>
    <row r="3502" spans="1:6" x14ac:dyDescent="0.15">
      <c r="A3502" s="5" t="s">
        <v>42</v>
      </c>
      <c r="B3502" s="5" t="s">
        <v>1087</v>
      </c>
      <c r="C3502" s="9">
        <v>43787</v>
      </c>
      <c r="D3502" s="5" t="s">
        <v>16</v>
      </c>
      <c r="E3502" s="5" t="s">
        <v>227</v>
      </c>
      <c r="F3502" s="6">
        <v>1950</v>
      </c>
    </row>
    <row r="3503" spans="1:6" x14ac:dyDescent="0.15">
      <c r="A3503" s="5" t="s">
        <v>35</v>
      </c>
      <c r="B3503" s="5" t="s">
        <v>1088</v>
      </c>
      <c r="C3503" s="9">
        <v>43787</v>
      </c>
      <c r="D3503" s="5" t="s">
        <v>16</v>
      </c>
      <c r="E3503" s="5" t="s">
        <v>227</v>
      </c>
      <c r="F3503" s="6">
        <v>487.5</v>
      </c>
    </row>
    <row r="3504" spans="1:6" x14ac:dyDescent="0.15">
      <c r="A3504" s="5" t="s">
        <v>40</v>
      </c>
      <c r="B3504" s="5" t="s">
        <v>1089</v>
      </c>
      <c r="C3504" s="9">
        <v>43787</v>
      </c>
      <c r="D3504" s="5" t="s">
        <v>16</v>
      </c>
      <c r="E3504" s="5" t="s">
        <v>227</v>
      </c>
      <c r="F3504" s="6">
        <v>300</v>
      </c>
    </row>
    <row r="3505" spans="1:6" x14ac:dyDescent="0.15">
      <c r="A3505" s="5" t="s">
        <v>37</v>
      </c>
      <c r="B3505" s="5" t="s">
        <v>1090</v>
      </c>
      <c r="C3505" s="9">
        <v>43787</v>
      </c>
      <c r="D3505" s="5" t="s">
        <v>16</v>
      </c>
      <c r="E3505" s="5" t="s">
        <v>228</v>
      </c>
      <c r="F3505" s="6">
        <v>975</v>
      </c>
    </row>
    <row r="3506" spans="1:6" x14ac:dyDescent="0.15">
      <c r="A3506" s="5" t="s">
        <v>37</v>
      </c>
      <c r="B3506" s="5" t="s">
        <v>1091</v>
      </c>
      <c r="C3506" s="9">
        <v>43790</v>
      </c>
      <c r="D3506" s="5" t="s">
        <v>16</v>
      </c>
      <c r="E3506" s="5" t="s">
        <v>229</v>
      </c>
      <c r="F3506" s="6">
        <v>3900</v>
      </c>
    </row>
    <row r="3507" spans="1:6" x14ac:dyDescent="0.15">
      <c r="A3507" s="5" t="s">
        <v>35</v>
      </c>
      <c r="B3507" s="5" t="s">
        <v>1092</v>
      </c>
      <c r="C3507" s="9">
        <v>43790</v>
      </c>
      <c r="D3507" s="5" t="s">
        <v>16</v>
      </c>
      <c r="E3507" s="5" t="s">
        <v>229</v>
      </c>
      <c r="F3507" s="6">
        <v>3900</v>
      </c>
    </row>
    <row r="3508" spans="1:6" x14ac:dyDescent="0.15">
      <c r="A3508" s="5" t="s">
        <v>35</v>
      </c>
      <c r="B3508" s="5" t="s">
        <v>1093</v>
      </c>
      <c r="C3508" s="9">
        <v>43787</v>
      </c>
      <c r="D3508" s="5" t="s">
        <v>16</v>
      </c>
      <c r="E3508" s="5" t="s">
        <v>230</v>
      </c>
      <c r="F3508" s="6">
        <v>1852.5</v>
      </c>
    </row>
    <row r="3509" spans="1:6" x14ac:dyDescent="0.15">
      <c r="A3509" s="5" t="s">
        <v>41</v>
      </c>
      <c r="B3509" s="5" t="s">
        <v>1094</v>
      </c>
      <c r="C3509" s="9">
        <v>43788</v>
      </c>
      <c r="D3509" s="5" t="s">
        <v>16</v>
      </c>
      <c r="E3509" s="5" t="s">
        <v>231</v>
      </c>
      <c r="F3509" s="6">
        <v>485</v>
      </c>
    </row>
    <row r="3510" spans="1:6" x14ac:dyDescent="0.15">
      <c r="A3510" s="5" t="s">
        <v>43</v>
      </c>
      <c r="B3510" s="5" t="s">
        <v>1096</v>
      </c>
      <c r="C3510" s="9">
        <v>43788</v>
      </c>
      <c r="D3510" s="5" t="s">
        <v>16</v>
      </c>
      <c r="E3510" s="5" t="s">
        <v>1095</v>
      </c>
      <c r="F3510" s="6">
        <v>145.5</v>
      </c>
    </row>
    <row r="3511" spans="1:6" x14ac:dyDescent="0.15">
      <c r="A3511" s="5" t="s">
        <v>37</v>
      </c>
      <c r="B3511" s="5" t="s">
        <v>1097</v>
      </c>
      <c r="C3511" s="9">
        <v>43788</v>
      </c>
      <c r="D3511" s="5" t="s">
        <v>16</v>
      </c>
      <c r="E3511" s="5" t="s">
        <v>1095</v>
      </c>
      <c r="F3511" s="6">
        <v>292.5</v>
      </c>
    </row>
    <row r="3512" spans="1:6" x14ac:dyDescent="0.15">
      <c r="A3512" s="5" t="s">
        <v>37</v>
      </c>
      <c r="B3512" s="5" t="s">
        <v>1098</v>
      </c>
      <c r="C3512" s="9">
        <v>43788</v>
      </c>
      <c r="D3512" s="5" t="s">
        <v>16</v>
      </c>
      <c r="E3512" s="5" t="s">
        <v>232</v>
      </c>
      <c r="F3512" s="6">
        <v>2340</v>
      </c>
    </row>
    <row r="3513" spans="1:6" x14ac:dyDescent="0.15">
      <c r="A3513" s="5" t="s">
        <v>42</v>
      </c>
      <c r="B3513" s="5" t="s">
        <v>1099</v>
      </c>
      <c r="C3513" s="9">
        <v>43788</v>
      </c>
      <c r="D3513" s="5" t="s">
        <v>16</v>
      </c>
      <c r="E3513" s="5" t="s">
        <v>232</v>
      </c>
      <c r="F3513" s="6">
        <v>750</v>
      </c>
    </row>
    <row r="3514" spans="1:6" x14ac:dyDescent="0.15">
      <c r="A3514" s="5" t="s">
        <v>61</v>
      </c>
      <c r="B3514" s="5" t="s">
        <v>1100</v>
      </c>
      <c r="C3514" s="9">
        <v>43788</v>
      </c>
      <c r="D3514" s="5" t="s">
        <v>16</v>
      </c>
      <c r="E3514" s="5" t="s">
        <v>232</v>
      </c>
      <c r="F3514" s="6">
        <v>1050</v>
      </c>
    </row>
    <row r="3515" spans="1:6" x14ac:dyDescent="0.15">
      <c r="A3515" s="5" t="s">
        <v>35</v>
      </c>
      <c r="B3515" s="5" t="s">
        <v>1101</v>
      </c>
      <c r="C3515" s="9">
        <v>43788</v>
      </c>
      <c r="D3515" s="5" t="s">
        <v>16</v>
      </c>
      <c r="E3515" s="5" t="s">
        <v>233</v>
      </c>
      <c r="F3515" s="6">
        <v>2047.5</v>
      </c>
    </row>
    <row r="3516" spans="1:6" x14ac:dyDescent="0.15">
      <c r="A3516" s="5" t="s">
        <v>35</v>
      </c>
      <c r="B3516" s="5" t="s">
        <v>1103</v>
      </c>
      <c r="C3516" s="9">
        <v>43788</v>
      </c>
      <c r="D3516" s="5" t="s">
        <v>16</v>
      </c>
      <c r="E3516" s="5" t="s">
        <v>1102</v>
      </c>
      <c r="F3516" s="6">
        <v>1852.5</v>
      </c>
    </row>
    <row r="3517" spans="1:6" x14ac:dyDescent="0.15">
      <c r="A3517" s="5" t="s">
        <v>42</v>
      </c>
      <c r="B3517" s="5" t="s">
        <v>1105</v>
      </c>
      <c r="C3517" s="9">
        <v>43789</v>
      </c>
      <c r="D3517" s="5" t="s">
        <v>16</v>
      </c>
      <c r="E3517" s="5" t="s">
        <v>1104</v>
      </c>
      <c r="F3517" s="6">
        <v>1500</v>
      </c>
    </row>
    <row r="3518" spans="1:6" x14ac:dyDescent="0.15">
      <c r="A3518" s="5" t="s">
        <v>61</v>
      </c>
      <c r="B3518" s="5" t="s">
        <v>1106</v>
      </c>
      <c r="C3518" s="9">
        <v>43789</v>
      </c>
      <c r="D3518" s="5" t="s">
        <v>16</v>
      </c>
      <c r="E3518" s="5" t="s">
        <v>1104</v>
      </c>
      <c r="F3518" s="6">
        <v>3300</v>
      </c>
    </row>
    <row r="3519" spans="1:6" x14ac:dyDescent="0.15">
      <c r="A3519" s="5" t="s">
        <v>35</v>
      </c>
      <c r="B3519" s="5" t="s">
        <v>1107</v>
      </c>
      <c r="C3519" s="9">
        <v>43790</v>
      </c>
      <c r="D3519" s="5" t="s">
        <v>16</v>
      </c>
      <c r="E3519" s="5" t="s">
        <v>234</v>
      </c>
      <c r="F3519" s="6">
        <v>-5557.5</v>
      </c>
    </row>
    <row r="3520" spans="1:6" x14ac:dyDescent="0.15">
      <c r="A3520" s="5" t="s">
        <v>37</v>
      </c>
      <c r="B3520" s="5" t="s">
        <v>1108</v>
      </c>
      <c r="C3520" s="9">
        <v>43790</v>
      </c>
      <c r="D3520" s="5" t="s">
        <v>16</v>
      </c>
      <c r="E3520" s="5" t="s">
        <v>235</v>
      </c>
      <c r="F3520" s="6">
        <v>2437.5</v>
      </c>
    </row>
    <row r="3521" spans="1:6" x14ac:dyDescent="0.15">
      <c r="A3521" s="5" t="s">
        <v>35</v>
      </c>
      <c r="B3521" s="5" t="s">
        <v>1110</v>
      </c>
      <c r="C3521" s="9">
        <v>43790</v>
      </c>
      <c r="D3521" s="5" t="s">
        <v>16</v>
      </c>
      <c r="E3521" s="5" t="s">
        <v>1109</v>
      </c>
      <c r="F3521" s="6">
        <v>20475</v>
      </c>
    </row>
    <row r="3522" spans="1:6" x14ac:dyDescent="0.15">
      <c r="A3522" s="5" t="s">
        <v>42</v>
      </c>
      <c r="B3522" s="5" t="s">
        <v>1112</v>
      </c>
      <c r="C3522" s="9">
        <v>43791</v>
      </c>
      <c r="D3522" s="5" t="s">
        <v>16</v>
      </c>
      <c r="E3522" s="5" t="s">
        <v>1111</v>
      </c>
      <c r="F3522" s="6">
        <v>-5175</v>
      </c>
    </row>
    <row r="3523" spans="1:6" x14ac:dyDescent="0.15">
      <c r="A3523" s="5" t="s">
        <v>42</v>
      </c>
      <c r="B3523" s="5" t="s">
        <v>1113</v>
      </c>
      <c r="C3523" s="9">
        <v>43791</v>
      </c>
      <c r="D3523" s="5" t="s">
        <v>16</v>
      </c>
      <c r="E3523" s="5" t="s">
        <v>1111</v>
      </c>
      <c r="F3523" s="6">
        <v>5175</v>
      </c>
    </row>
    <row r="3524" spans="1:6" x14ac:dyDescent="0.15">
      <c r="A3524" s="5" t="s">
        <v>43</v>
      </c>
      <c r="B3524" s="5" t="s">
        <v>1114</v>
      </c>
      <c r="C3524" s="9">
        <v>43795</v>
      </c>
      <c r="D3524" s="5" t="s">
        <v>16</v>
      </c>
      <c r="E3524" s="5" t="s">
        <v>236</v>
      </c>
      <c r="F3524" s="6">
        <v>194</v>
      </c>
    </row>
    <row r="3525" spans="1:6" x14ac:dyDescent="0.15">
      <c r="A3525" s="5" t="s">
        <v>37</v>
      </c>
      <c r="B3525" s="5" t="s">
        <v>1115</v>
      </c>
      <c r="C3525" s="9">
        <v>43795</v>
      </c>
      <c r="D3525" s="5" t="s">
        <v>16</v>
      </c>
      <c r="E3525" s="5" t="s">
        <v>236</v>
      </c>
      <c r="F3525" s="6">
        <v>195</v>
      </c>
    </row>
    <row r="3526" spans="1:6" x14ac:dyDescent="0.15">
      <c r="A3526" s="5" t="s">
        <v>37</v>
      </c>
      <c r="B3526" s="5" t="s">
        <v>1116</v>
      </c>
      <c r="C3526" s="9">
        <v>43795</v>
      </c>
      <c r="D3526" s="5" t="s">
        <v>16</v>
      </c>
      <c r="E3526" s="5" t="s">
        <v>237</v>
      </c>
      <c r="F3526" s="6">
        <v>7995</v>
      </c>
    </row>
    <row r="3527" spans="1:6" x14ac:dyDescent="0.15">
      <c r="A3527" s="5" t="s">
        <v>35</v>
      </c>
      <c r="B3527" s="5" t="s">
        <v>1117</v>
      </c>
      <c r="C3527" s="9">
        <v>43796</v>
      </c>
      <c r="D3527" s="5" t="s">
        <v>16</v>
      </c>
      <c r="E3527" s="5" t="s">
        <v>238</v>
      </c>
      <c r="F3527" s="6">
        <v>2437.5</v>
      </c>
    </row>
    <row r="3528" spans="1:6" x14ac:dyDescent="0.15">
      <c r="A3528" s="5" t="s">
        <v>35</v>
      </c>
      <c r="B3528" s="5" t="s">
        <v>1118</v>
      </c>
      <c r="C3528" s="9">
        <v>43796</v>
      </c>
      <c r="D3528" s="5" t="s">
        <v>16</v>
      </c>
      <c r="E3528" s="5" t="s">
        <v>239</v>
      </c>
      <c r="F3528" s="6">
        <v>3900</v>
      </c>
    </row>
    <row r="3529" spans="1:6" x14ac:dyDescent="0.15">
      <c r="A3529" s="5" t="s">
        <v>43</v>
      </c>
      <c r="B3529" s="5" t="s">
        <v>1119</v>
      </c>
      <c r="C3529" s="9">
        <v>43796</v>
      </c>
      <c r="D3529" s="5" t="s">
        <v>16</v>
      </c>
      <c r="E3529" s="5" t="s">
        <v>240</v>
      </c>
      <c r="F3529" s="6">
        <v>48.5</v>
      </c>
    </row>
    <row r="3530" spans="1:6" x14ac:dyDescent="0.15">
      <c r="A3530" s="5" t="s">
        <v>37</v>
      </c>
      <c r="B3530" s="5" t="s">
        <v>1121</v>
      </c>
      <c r="C3530" s="9">
        <v>43796</v>
      </c>
      <c r="D3530" s="5" t="s">
        <v>16</v>
      </c>
      <c r="E3530" s="5" t="s">
        <v>1120</v>
      </c>
      <c r="F3530" s="6">
        <v>9750</v>
      </c>
    </row>
    <row r="3531" spans="1:6" x14ac:dyDescent="0.15">
      <c r="A3531" s="5" t="s">
        <v>37</v>
      </c>
      <c r="B3531" s="5" t="s">
        <v>1123</v>
      </c>
      <c r="C3531" s="9">
        <v>43796</v>
      </c>
      <c r="D3531" s="5" t="s">
        <v>16</v>
      </c>
      <c r="E3531" s="5" t="s">
        <v>1122</v>
      </c>
      <c r="F3531" s="6">
        <v>9750</v>
      </c>
    </row>
    <row r="3532" spans="1:6" x14ac:dyDescent="0.15">
      <c r="A3532" s="5" t="s">
        <v>35</v>
      </c>
      <c r="B3532" s="5" t="s">
        <v>1124</v>
      </c>
      <c r="C3532" s="9">
        <v>43796</v>
      </c>
      <c r="D3532" s="5" t="s">
        <v>16</v>
      </c>
      <c r="E3532" s="5" t="s">
        <v>1122</v>
      </c>
      <c r="F3532" s="6">
        <v>1950</v>
      </c>
    </row>
    <row r="3533" spans="1:6" x14ac:dyDescent="0.15">
      <c r="A3533" s="5" t="s">
        <v>37</v>
      </c>
      <c r="B3533" s="5" t="s">
        <v>1125</v>
      </c>
      <c r="C3533" s="9">
        <v>43796</v>
      </c>
      <c r="D3533" s="5" t="s">
        <v>16</v>
      </c>
      <c r="E3533" s="5" t="s">
        <v>241</v>
      </c>
      <c r="F3533" s="6">
        <v>7800</v>
      </c>
    </row>
    <row r="3534" spans="1:6" x14ac:dyDescent="0.15">
      <c r="A3534" s="5" t="s">
        <v>35</v>
      </c>
      <c r="B3534" s="5" t="s">
        <v>1126</v>
      </c>
      <c r="C3534" s="9">
        <v>43796</v>
      </c>
      <c r="D3534" s="5" t="s">
        <v>16</v>
      </c>
      <c r="E3534" s="5" t="s">
        <v>242</v>
      </c>
      <c r="F3534" s="6">
        <v>780</v>
      </c>
    </row>
    <row r="3535" spans="1:6" x14ac:dyDescent="0.15">
      <c r="A3535" s="5" t="s">
        <v>37</v>
      </c>
      <c r="B3535" s="5" t="s">
        <v>1127</v>
      </c>
      <c r="C3535" s="9">
        <v>43796</v>
      </c>
      <c r="D3535" s="5" t="s">
        <v>16</v>
      </c>
      <c r="E3535" s="5" t="s">
        <v>243</v>
      </c>
      <c r="F3535" s="6">
        <v>1950</v>
      </c>
    </row>
    <row r="3536" spans="1:6" x14ac:dyDescent="0.15">
      <c r="A3536" s="5" t="s">
        <v>37</v>
      </c>
      <c r="B3536" s="5" t="s">
        <v>1128</v>
      </c>
      <c r="C3536" s="9">
        <v>43796</v>
      </c>
      <c r="D3536" s="5" t="s">
        <v>16</v>
      </c>
      <c r="E3536" s="5" t="s">
        <v>244</v>
      </c>
      <c r="F3536" s="6">
        <v>1170</v>
      </c>
    </row>
    <row r="3537" spans="1:6" x14ac:dyDescent="0.15">
      <c r="A3537" s="5" t="s">
        <v>35</v>
      </c>
      <c r="B3537" s="5" t="s">
        <v>1130</v>
      </c>
      <c r="C3537" s="9">
        <v>43796</v>
      </c>
      <c r="D3537" s="5" t="s">
        <v>16</v>
      </c>
      <c r="E3537" s="5" t="s">
        <v>1129</v>
      </c>
      <c r="F3537" s="6">
        <v>1950</v>
      </c>
    </row>
    <row r="3538" spans="1:6" x14ac:dyDescent="0.15">
      <c r="A3538" s="5" t="s">
        <v>37</v>
      </c>
      <c r="B3538" s="5" t="s">
        <v>1131</v>
      </c>
      <c r="C3538" s="9">
        <v>43798</v>
      </c>
      <c r="D3538" s="5" t="s">
        <v>16</v>
      </c>
      <c r="E3538" s="5" t="s">
        <v>245</v>
      </c>
      <c r="F3538" s="6">
        <v>-9750</v>
      </c>
    </row>
    <row r="3539" spans="1:6" x14ac:dyDescent="0.15">
      <c r="A3539" s="5" t="s">
        <v>35</v>
      </c>
      <c r="B3539" s="5" t="s">
        <v>1132</v>
      </c>
      <c r="C3539" s="9">
        <v>43798</v>
      </c>
      <c r="D3539" s="5" t="s">
        <v>16</v>
      </c>
      <c r="E3539" s="5" t="s">
        <v>245</v>
      </c>
      <c r="F3539" s="6">
        <v>-1950</v>
      </c>
    </row>
    <row r="3540" spans="1:6" x14ac:dyDescent="0.15">
      <c r="A3540" s="5" t="s">
        <v>43</v>
      </c>
      <c r="B3540" s="5" t="s">
        <v>1133</v>
      </c>
      <c r="C3540" s="9">
        <v>43801</v>
      </c>
      <c r="D3540" s="5" t="s">
        <v>16</v>
      </c>
      <c r="E3540" s="5" t="s">
        <v>246</v>
      </c>
      <c r="F3540" s="6">
        <v>727.5</v>
      </c>
    </row>
    <row r="3541" spans="1:6" x14ac:dyDescent="0.15">
      <c r="A3541" s="5" t="s">
        <v>37</v>
      </c>
      <c r="B3541" s="5" t="s">
        <v>1134</v>
      </c>
      <c r="C3541" s="9">
        <v>43801</v>
      </c>
      <c r="D3541" s="5" t="s">
        <v>16</v>
      </c>
      <c r="E3541" s="5" t="s">
        <v>247</v>
      </c>
      <c r="F3541" s="6">
        <v>13650</v>
      </c>
    </row>
    <row r="3542" spans="1:6" x14ac:dyDescent="0.15">
      <c r="A3542" s="5" t="s">
        <v>43</v>
      </c>
      <c r="B3542" s="5" t="s">
        <v>1135</v>
      </c>
      <c r="C3542" s="9">
        <v>43801</v>
      </c>
      <c r="D3542" s="5" t="s">
        <v>16</v>
      </c>
      <c r="E3542" s="5" t="s">
        <v>247</v>
      </c>
      <c r="F3542" s="6">
        <v>3880</v>
      </c>
    </row>
    <row r="3543" spans="1:6" x14ac:dyDescent="0.15">
      <c r="A3543" s="5" t="s">
        <v>37</v>
      </c>
      <c r="B3543" s="5" t="s">
        <v>1136</v>
      </c>
      <c r="C3543" s="9">
        <v>43801</v>
      </c>
      <c r="D3543" s="5" t="s">
        <v>16</v>
      </c>
      <c r="E3543" s="5" t="s">
        <v>248</v>
      </c>
      <c r="F3543" s="6">
        <v>2827.5</v>
      </c>
    </row>
    <row r="3544" spans="1:6" x14ac:dyDescent="0.15">
      <c r="A3544" s="5" t="s">
        <v>37</v>
      </c>
      <c r="B3544" s="5" t="s">
        <v>1137</v>
      </c>
      <c r="C3544" s="9">
        <v>43801</v>
      </c>
      <c r="D3544" s="5" t="s">
        <v>16</v>
      </c>
      <c r="E3544" s="5" t="s">
        <v>249</v>
      </c>
      <c r="F3544" s="6">
        <v>1950</v>
      </c>
    </row>
    <row r="3545" spans="1:6" x14ac:dyDescent="0.15">
      <c r="A3545" s="5" t="s">
        <v>37</v>
      </c>
      <c r="B3545" s="5" t="s">
        <v>1138</v>
      </c>
      <c r="C3545" s="9">
        <v>43801</v>
      </c>
      <c r="D3545" s="5" t="s">
        <v>16</v>
      </c>
      <c r="E3545" s="5" t="s">
        <v>250</v>
      </c>
      <c r="F3545" s="6">
        <v>780</v>
      </c>
    </row>
    <row r="3546" spans="1:6" x14ac:dyDescent="0.15">
      <c r="A3546" s="5" t="s">
        <v>42</v>
      </c>
      <c r="B3546" s="5" t="s">
        <v>1139</v>
      </c>
      <c r="C3546" s="9">
        <v>43801</v>
      </c>
      <c r="D3546" s="5" t="s">
        <v>16</v>
      </c>
      <c r="E3546" s="5" t="s">
        <v>250</v>
      </c>
      <c r="F3546" s="6">
        <v>375</v>
      </c>
    </row>
    <row r="3547" spans="1:6" x14ac:dyDescent="0.15">
      <c r="A3547" s="5" t="s">
        <v>43</v>
      </c>
      <c r="B3547" s="5" t="s">
        <v>1140</v>
      </c>
      <c r="C3547" s="9">
        <v>43801</v>
      </c>
      <c r="D3547" s="5" t="s">
        <v>16</v>
      </c>
      <c r="E3547" s="5" t="s">
        <v>250</v>
      </c>
      <c r="F3547" s="6">
        <v>339.5</v>
      </c>
    </row>
    <row r="3548" spans="1:6" x14ac:dyDescent="0.15">
      <c r="A3548" s="5" t="s">
        <v>158</v>
      </c>
      <c r="B3548" s="5" t="s">
        <v>1141</v>
      </c>
      <c r="C3548" s="9">
        <v>43801</v>
      </c>
      <c r="D3548" s="5" t="s">
        <v>16</v>
      </c>
      <c r="E3548" s="5" t="s">
        <v>251</v>
      </c>
      <c r="F3548" s="6">
        <v>156</v>
      </c>
    </row>
    <row r="3549" spans="1:6" x14ac:dyDescent="0.15">
      <c r="A3549" s="5" t="s">
        <v>37</v>
      </c>
      <c r="B3549" s="5" t="s">
        <v>1142</v>
      </c>
      <c r="C3549" s="9">
        <v>43801</v>
      </c>
      <c r="D3549" s="5" t="s">
        <v>16</v>
      </c>
      <c r="E3549" s="5" t="s">
        <v>252</v>
      </c>
      <c r="F3549" s="6">
        <v>9750</v>
      </c>
    </row>
    <row r="3550" spans="1:6" x14ac:dyDescent="0.15">
      <c r="A3550" s="5" t="s">
        <v>35</v>
      </c>
      <c r="B3550" s="5" t="s">
        <v>1143</v>
      </c>
      <c r="C3550" s="9">
        <v>43801</v>
      </c>
      <c r="D3550" s="5" t="s">
        <v>16</v>
      </c>
      <c r="E3550" s="5" t="s">
        <v>252</v>
      </c>
      <c r="F3550" s="6">
        <v>1950</v>
      </c>
    </row>
    <row r="3551" spans="1:6" x14ac:dyDescent="0.15">
      <c r="A3551" s="5" t="s">
        <v>37</v>
      </c>
      <c r="B3551" s="5" t="s">
        <v>1144</v>
      </c>
      <c r="C3551" s="9">
        <v>43802</v>
      </c>
      <c r="D3551" s="5" t="s">
        <v>16</v>
      </c>
      <c r="E3551" s="5" t="s">
        <v>253</v>
      </c>
      <c r="F3551" s="6">
        <v>1462.5</v>
      </c>
    </row>
    <row r="3552" spans="1:6" x14ac:dyDescent="0.15">
      <c r="A3552" s="5" t="s">
        <v>35</v>
      </c>
      <c r="B3552" s="5" t="s">
        <v>1145</v>
      </c>
      <c r="C3552" s="9">
        <v>43802</v>
      </c>
      <c r="D3552" s="5" t="s">
        <v>16</v>
      </c>
      <c r="E3552" s="5" t="s">
        <v>254</v>
      </c>
      <c r="F3552" s="6">
        <v>5557.5</v>
      </c>
    </row>
    <row r="3553" spans="1:6" x14ac:dyDescent="0.15">
      <c r="A3553" s="5" t="s">
        <v>37</v>
      </c>
      <c r="B3553" s="5" t="s">
        <v>1146</v>
      </c>
      <c r="C3553" s="9">
        <v>43802</v>
      </c>
      <c r="D3553" s="5" t="s">
        <v>16</v>
      </c>
      <c r="E3553" s="5" t="s">
        <v>255</v>
      </c>
      <c r="F3553" s="6">
        <v>4777.5</v>
      </c>
    </row>
    <row r="3554" spans="1:6" x14ac:dyDescent="0.15">
      <c r="A3554" s="5" t="s">
        <v>41</v>
      </c>
      <c r="B3554" s="5" t="s">
        <v>1148</v>
      </c>
      <c r="C3554" s="9">
        <v>43802</v>
      </c>
      <c r="D3554" s="5" t="s">
        <v>16</v>
      </c>
      <c r="E3554" s="5" t="s">
        <v>1147</v>
      </c>
      <c r="F3554" s="6">
        <v>388</v>
      </c>
    </row>
    <row r="3555" spans="1:6" x14ac:dyDescent="0.15">
      <c r="A3555" s="5" t="s">
        <v>46</v>
      </c>
      <c r="B3555" s="5" t="s">
        <v>1542</v>
      </c>
      <c r="C3555" s="9">
        <v>43799</v>
      </c>
      <c r="D3555" s="5" t="s">
        <v>16</v>
      </c>
      <c r="E3555" s="5" t="s">
        <v>1541</v>
      </c>
      <c r="F3555" s="6">
        <v>-145.5</v>
      </c>
    </row>
    <row r="3556" spans="1:6" x14ac:dyDescent="0.15">
      <c r="A3556" s="5" t="s">
        <v>44</v>
      </c>
      <c r="B3556" s="5" t="s">
        <v>1543</v>
      </c>
      <c r="C3556" s="9">
        <v>43799</v>
      </c>
      <c r="D3556" s="5" t="s">
        <v>16</v>
      </c>
      <c r="E3556" s="5" t="s">
        <v>1541</v>
      </c>
      <c r="F3556" s="6">
        <v>-682.5</v>
      </c>
    </row>
    <row r="3557" spans="1:6" x14ac:dyDescent="0.15">
      <c r="A3557" s="5" t="s">
        <v>46</v>
      </c>
      <c r="B3557" s="5" t="s">
        <v>1544</v>
      </c>
      <c r="C3557" s="9">
        <v>43799</v>
      </c>
      <c r="D3557" s="5" t="s">
        <v>16</v>
      </c>
      <c r="E3557" s="5" t="s">
        <v>1541</v>
      </c>
      <c r="F3557" s="6">
        <v>145.5</v>
      </c>
    </row>
    <row r="3558" spans="1:6" x14ac:dyDescent="0.15">
      <c r="A3558" s="5" t="s">
        <v>44</v>
      </c>
      <c r="B3558" s="5" t="s">
        <v>1545</v>
      </c>
      <c r="C3558" s="9">
        <v>43799</v>
      </c>
      <c r="D3558" s="5" t="s">
        <v>16</v>
      </c>
      <c r="E3558" s="5" t="s">
        <v>1541</v>
      </c>
      <c r="F3558" s="6">
        <v>682.5</v>
      </c>
    </row>
    <row r="3559" spans="1:6" x14ac:dyDescent="0.15">
      <c r="A3559" s="5" t="s">
        <v>43</v>
      </c>
      <c r="B3559" s="5" t="s">
        <v>1547</v>
      </c>
      <c r="C3559" s="9">
        <v>43799</v>
      </c>
      <c r="D3559" s="5" t="s">
        <v>16</v>
      </c>
      <c r="E3559" s="5" t="s">
        <v>1546</v>
      </c>
      <c r="F3559" s="6">
        <v>-24541</v>
      </c>
    </row>
    <row r="3560" spans="1:6" x14ac:dyDescent="0.15">
      <c r="A3560" s="5" t="s">
        <v>43</v>
      </c>
      <c r="B3560" s="5" t="s">
        <v>1547</v>
      </c>
      <c r="C3560" s="9">
        <v>43799</v>
      </c>
      <c r="D3560" s="5" t="s">
        <v>16</v>
      </c>
      <c r="E3560" s="5" t="s">
        <v>1546</v>
      </c>
      <c r="F3560" s="6">
        <v>-6499</v>
      </c>
    </row>
    <row r="3561" spans="1:6" x14ac:dyDescent="0.15">
      <c r="A3561" s="5" t="s">
        <v>46</v>
      </c>
      <c r="B3561" s="5" t="s">
        <v>1548</v>
      </c>
      <c r="C3561" s="9">
        <v>43799</v>
      </c>
      <c r="D3561" s="5" t="s">
        <v>16</v>
      </c>
      <c r="E3561" s="5" t="s">
        <v>1546</v>
      </c>
      <c r="F3561" s="6">
        <v>-3880</v>
      </c>
    </row>
    <row r="3562" spans="1:6" x14ac:dyDescent="0.15">
      <c r="A3562" s="5" t="s">
        <v>43</v>
      </c>
      <c r="B3562" s="5" t="s">
        <v>1549</v>
      </c>
      <c r="C3562" s="9">
        <v>43799</v>
      </c>
      <c r="D3562" s="5" t="s">
        <v>16</v>
      </c>
      <c r="E3562" s="5" t="s">
        <v>1546</v>
      </c>
      <c r="F3562" s="6">
        <v>31040</v>
      </c>
    </row>
    <row r="3563" spans="1:6" x14ac:dyDescent="0.15">
      <c r="A3563" s="5" t="s">
        <v>46</v>
      </c>
      <c r="B3563" s="5" t="s">
        <v>1550</v>
      </c>
      <c r="C3563" s="9">
        <v>43799</v>
      </c>
      <c r="D3563" s="5" t="s">
        <v>16</v>
      </c>
      <c r="E3563" s="5" t="s">
        <v>1546</v>
      </c>
      <c r="F3563" s="6">
        <v>3880</v>
      </c>
    </row>
    <row r="3564" spans="1:6" x14ac:dyDescent="0.15">
      <c r="A3564" s="5" t="s">
        <v>42</v>
      </c>
      <c r="B3564" s="5" t="s">
        <v>1149</v>
      </c>
      <c r="C3564" s="9">
        <v>43803</v>
      </c>
      <c r="D3564" s="5" t="s">
        <v>16</v>
      </c>
      <c r="E3564" s="5" t="s">
        <v>256</v>
      </c>
      <c r="F3564" s="6">
        <v>900</v>
      </c>
    </row>
    <row r="3565" spans="1:6" x14ac:dyDescent="0.15">
      <c r="A3565" s="5" t="s">
        <v>37</v>
      </c>
      <c r="B3565" s="5" t="s">
        <v>1150</v>
      </c>
      <c r="C3565" s="9">
        <v>43803</v>
      </c>
      <c r="D3565" s="5" t="s">
        <v>16</v>
      </c>
      <c r="E3565" s="5" t="s">
        <v>256</v>
      </c>
      <c r="F3565" s="6">
        <v>585</v>
      </c>
    </row>
    <row r="3566" spans="1:6" x14ac:dyDescent="0.15">
      <c r="A3566" s="5" t="s">
        <v>37</v>
      </c>
      <c r="B3566" s="5" t="s">
        <v>1151</v>
      </c>
      <c r="C3566" s="9">
        <v>43803</v>
      </c>
      <c r="D3566" s="5" t="s">
        <v>16</v>
      </c>
      <c r="E3566" s="5" t="s">
        <v>257</v>
      </c>
      <c r="F3566" s="6">
        <v>10042.5</v>
      </c>
    </row>
    <row r="3567" spans="1:6" x14ac:dyDescent="0.15">
      <c r="A3567" s="5" t="s">
        <v>37</v>
      </c>
      <c r="B3567" s="5" t="s">
        <v>1152</v>
      </c>
      <c r="C3567" s="9">
        <v>43804</v>
      </c>
      <c r="D3567" s="5" t="s">
        <v>16</v>
      </c>
      <c r="E3567" s="5" t="s">
        <v>258</v>
      </c>
      <c r="F3567" s="6">
        <v>2047.5</v>
      </c>
    </row>
    <row r="3568" spans="1:6" x14ac:dyDescent="0.15">
      <c r="A3568" s="5" t="s">
        <v>37</v>
      </c>
      <c r="B3568" s="5" t="s">
        <v>1153</v>
      </c>
      <c r="C3568" s="9">
        <v>43804</v>
      </c>
      <c r="D3568" s="5" t="s">
        <v>16</v>
      </c>
      <c r="E3568" s="5" t="s">
        <v>258</v>
      </c>
      <c r="F3568" s="6">
        <v>-97.5</v>
      </c>
    </row>
    <row r="3569" spans="1:6" x14ac:dyDescent="0.15">
      <c r="A3569" s="5" t="s">
        <v>53</v>
      </c>
      <c r="B3569" s="5" t="s">
        <v>1335</v>
      </c>
      <c r="C3569" s="9">
        <v>43805</v>
      </c>
      <c r="D3569" s="5" t="s">
        <v>16</v>
      </c>
      <c r="E3569" s="5" t="s">
        <v>1334</v>
      </c>
      <c r="F3569" s="6">
        <v>11700</v>
      </c>
    </row>
    <row r="3570" spans="1:6" x14ac:dyDescent="0.15">
      <c r="A3570" s="5" t="s">
        <v>37</v>
      </c>
      <c r="B3570" s="5" t="s">
        <v>1154</v>
      </c>
      <c r="C3570" s="9">
        <v>43805</v>
      </c>
      <c r="D3570" s="5" t="s">
        <v>16</v>
      </c>
      <c r="E3570" s="5" t="s">
        <v>259</v>
      </c>
      <c r="F3570" s="6">
        <v>195</v>
      </c>
    </row>
    <row r="3571" spans="1:6" x14ac:dyDescent="0.15">
      <c r="A3571" s="5" t="s">
        <v>37</v>
      </c>
      <c r="B3571" s="5" t="s">
        <v>1156</v>
      </c>
      <c r="C3571" s="9">
        <v>43808</v>
      </c>
      <c r="D3571" s="5" t="s">
        <v>16</v>
      </c>
      <c r="E3571" s="5" t="s">
        <v>1155</v>
      </c>
      <c r="F3571" s="6">
        <v>10042.5</v>
      </c>
    </row>
    <row r="3572" spans="1:6" x14ac:dyDescent="0.15">
      <c r="A3572" s="5" t="s">
        <v>35</v>
      </c>
      <c r="B3572" s="5" t="s">
        <v>1710</v>
      </c>
      <c r="C3572" s="9">
        <v>43847</v>
      </c>
      <c r="D3572" s="5" t="s">
        <v>16</v>
      </c>
      <c r="E3572" s="5" t="s">
        <v>1559</v>
      </c>
      <c r="F3572" s="6">
        <v>9750</v>
      </c>
    </row>
    <row r="3573" spans="1:6" x14ac:dyDescent="0.15">
      <c r="A3573" s="5" t="s">
        <v>43</v>
      </c>
      <c r="B3573" s="5" t="s">
        <v>1711</v>
      </c>
      <c r="C3573" s="9">
        <v>43847</v>
      </c>
      <c r="D3573" s="5" t="s">
        <v>16</v>
      </c>
      <c r="E3573" s="5" t="s">
        <v>1559</v>
      </c>
      <c r="F3573" s="6">
        <v>9603</v>
      </c>
    </row>
    <row r="3574" spans="1:6" x14ac:dyDescent="0.15">
      <c r="A3574" s="5" t="s">
        <v>42</v>
      </c>
      <c r="B3574" s="5" t="s">
        <v>1712</v>
      </c>
      <c r="C3574" s="9">
        <v>43847</v>
      </c>
      <c r="D3574" s="5" t="s">
        <v>16</v>
      </c>
      <c r="E3574" s="5" t="s">
        <v>1559</v>
      </c>
      <c r="F3574" s="6">
        <v>1500</v>
      </c>
    </row>
    <row r="3575" spans="1:6" x14ac:dyDescent="0.15">
      <c r="A3575" s="5" t="s">
        <v>37</v>
      </c>
      <c r="B3575" s="5" t="s">
        <v>1157</v>
      </c>
      <c r="C3575" s="9">
        <v>43810</v>
      </c>
      <c r="D3575" s="5" t="s">
        <v>16</v>
      </c>
      <c r="E3575" s="5" t="s">
        <v>260</v>
      </c>
      <c r="F3575" s="6">
        <v>975</v>
      </c>
    </row>
    <row r="3576" spans="1:6" x14ac:dyDescent="0.15">
      <c r="A3576" s="5" t="s">
        <v>61</v>
      </c>
      <c r="B3576" s="5" t="s">
        <v>1158</v>
      </c>
      <c r="C3576" s="9">
        <v>43810</v>
      </c>
      <c r="D3576" s="5" t="s">
        <v>16</v>
      </c>
      <c r="E3576" s="5" t="s">
        <v>260</v>
      </c>
      <c r="F3576" s="6">
        <v>150</v>
      </c>
    </row>
    <row r="3577" spans="1:6" x14ac:dyDescent="0.15">
      <c r="A3577" s="5" t="s">
        <v>42</v>
      </c>
      <c r="B3577" s="5" t="s">
        <v>1159</v>
      </c>
      <c r="C3577" s="9">
        <v>43810</v>
      </c>
      <c r="D3577" s="5" t="s">
        <v>16</v>
      </c>
      <c r="E3577" s="5" t="s">
        <v>260</v>
      </c>
      <c r="F3577" s="6">
        <v>450</v>
      </c>
    </row>
    <row r="3578" spans="1:6" x14ac:dyDescent="0.15">
      <c r="A3578" s="5" t="s">
        <v>35</v>
      </c>
      <c r="B3578" s="5" t="s">
        <v>1160</v>
      </c>
      <c r="C3578" s="9">
        <v>43810</v>
      </c>
      <c r="D3578" s="5" t="s">
        <v>16</v>
      </c>
      <c r="E3578" s="5" t="s">
        <v>261</v>
      </c>
      <c r="F3578" s="6">
        <v>14040</v>
      </c>
    </row>
    <row r="3579" spans="1:6" x14ac:dyDescent="0.15">
      <c r="A3579" s="5" t="s">
        <v>37</v>
      </c>
      <c r="B3579" s="5" t="s">
        <v>1161</v>
      </c>
      <c r="C3579" s="9">
        <v>43810</v>
      </c>
      <c r="D3579" s="5" t="s">
        <v>16</v>
      </c>
      <c r="E3579" s="5" t="s">
        <v>262</v>
      </c>
      <c r="F3579" s="6">
        <v>780</v>
      </c>
    </row>
    <row r="3580" spans="1:6" x14ac:dyDescent="0.15">
      <c r="A3580" s="5" t="s">
        <v>37</v>
      </c>
      <c r="B3580" s="5" t="s">
        <v>1162</v>
      </c>
      <c r="C3580" s="9">
        <v>43810</v>
      </c>
      <c r="D3580" s="5" t="s">
        <v>16</v>
      </c>
      <c r="E3580" s="5" t="s">
        <v>263</v>
      </c>
      <c r="F3580" s="6">
        <v>-780</v>
      </c>
    </row>
    <row r="3581" spans="1:6" x14ac:dyDescent="0.15">
      <c r="A3581" s="5" t="s">
        <v>37</v>
      </c>
      <c r="B3581" s="5" t="s">
        <v>1163</v>
      </c>
      <c r="C3581" s="9">
        <v>43810</v>
      </c>
      <c r="D3581" s="5" t="s">
        <v>16</v>
      </c>
      <c r="E3581" s="5" t="s">
        <v>264</v>
      </c>
      <c r="F3581" s="6">
        <v>780</v>
      </c>
    </row>
    <row r="3582" spans="1:6" x14ac:dyDescent="0.15">
      <c r="A3582" s="5" t="s">
        <v>35</v>
      </c>
      <c r="B3582" s="5" t="s">
        <v>1164</v>
      </c>
      <c r="C3582" s="9">
        <v>43810</v>
      </c>
      <c r="D3582" s="5" t="s">
        <v>16</v>
      </c>
      <c r="E3582" s="5" t="s">
        <v>265</v>
      </c>
      <c r="F3582" s="6">
        <v>292.5</v>
      </c>
    </row>
    <row r="3583" spans="1:6" x14ac:dyDescent="0.15">
      <c r="A3583" s="5" t="s">
        <v>158</v>
      </c>
      <c r="B3583" s="5" t="s">
        <v>1165</v>
      </c>
      <c r="C3583" s="9">
        <v>43811</v>
      </c>
      <c r="D3583" s="5" t="s">
        <v>16</v>
      </c>
      <c r="E3583" s="5" t="s">
        <v>266</v>
      </c>
      <c r="F3583" s="6">
        <v>-156</v>
      </c>
    </row>
    <row r="3584" spans="1:6" x14ac:dyDescent="0.15">
      <c r="A3584" s="5" t="s">
        <v>158</v>
      </c>
      <c r="B3584" s="5" t="s">
        <v>1166</v>
      </c>
      <c r="C3584" s="9">
        <v>43811</v>
      </c>
      <c r="D3584" s="5" t="s">
        <v>16</v>
      </c>
      <c r="E3584" s="5" t="s">
        <v>267</v>
      </c>
      <c r="F3584" s="6">
        <v>78</v>
      </c>
    </row>
    <row r="3585" spans="1:6" x14ac:dyDescent="0.15">
      <c r="A3585" s="5" t="s">
        <v>37</v>
      </c>
      <c r="B3585" s="5" t="s">
        <v>1167</v>
      </c>
      <c r="C3585" s="9">
        <v>43811</v>
      </c>
      <c r="D3585" s="5" t="s">
        <v>16</v>
      </c>
      <c r="E3585" s="5" t="s">
        <v>268</v>
      </c>
      <c r="F3585" s="6">
        <v>1072.5</v>
      </c>
    </row>
    <row r="3586" spans="1:6" x14ac:dyDescent="0.15">
      <c r="A3586" s="5" t="s">
        <v>35</v>
      </c>
      <c r="B3586" s="5" t="s">
        <v>1168</v>
      </c>
      <c r="C3586" s="9">
        <v>43815</v>
      </c>
      <c r="D3586" s="5" t="s">
        <v>16</v>
      </c>
      <c r="E3586" s="5" t="s">
        <v>269</v>
      </c>
      <c r="F3586" s="6">
        <v>3997.5</v>
      </c>
    </row>
    <row r="3587" spans="1:6" x14ac:dyDescent="0.15">
      <c r="A3587" s="5" t="s">
        <v>51</v>
      </c>
      <c r="B3587" s="5" t="s">
        <v>1169</v>
      </c>
      <c r="C3587" s="9">
        <v>43815</v>
      </c>
      <c r="D3587" s="5" t="s">
        <v>16</v>
      </c>
      <c r="E3587" s="5" t="s">
        <v>269</v>
      </c>
      <c r="F3587" s="6">
        <v>3022.5</v>
      </c>
    </row>
    <row r="3588" spans="1:6" x14ac:dyDescent="0.15">
      <c r="A3588" s="5" t="s">
        <v>35</v>
      </c>
      <c r="B3588" s="5" t="s">
        <v>1170</v>
      </c>
      <c r="C3588" s="9">
        <v>43815</v>
      </c>
      <c r="D3588" s="5" t="s">
        <v>16</v>
      </c>
      <c r="E3588" s="5" t="s">
        <v>270</v>
      </c>
      <c r="F3588" s="6">
        <v>7995</v>
      </c>
    </row>
    <row r="3589" spans="1:6" x14ac:dyDescent="0.15">
      <c r="A3589" s="5" t="s">
        <v>35</v>
      </c>
      <c r="B3589" s="5" t="s">
        <v>1172</v>
      </c>
      <c r="C3589" s="9">
        <v>43816</v>
      </c>
      <c r="D3589" s="5" t="s">
        <v>16</v>
      </c>
      <c r="E3589" s="5" t="s">
        <v>1171</v>
      </c>
      <c r="F3589" s="6">
        <v>195</v>
      </c>
    </row>
    <row r="3590" spans="1:6" x14ac:dyDescent="0.15">
      <c r="A3590" s="5" t="s">
        <v>37</v>
      </c>
      <c r="B3590" s="5" t="s">
        <v>1173</v>
      </c>
      <c r="C3590" s="9">
        <v>43816</v>
      </c>
      <c r="D3590" s="5" t="s">
        <v>16</v>
      </c>
      <c r="E3590" s="5" t="s">
        <v>1171</v>
      </c>
      <c r="F3590" s="6">
        <v>12675</v>
      </c>
    </row>
    <row r="3591" spans="1:6" x14ac:dyDescent="0.15">
      <c r="A3591" s="5" t="s">
        <v>37</v>
      </c>
      <c r="B3591" s="5" t="s">
        <v>1174</v>
      </c>
      <c r="C3591" s="9">
        <v>43819</v>
      </c>
      <c r="D3591" s="5" t="s">
        <v>16</v>
      </c>
      <c r="E3591" s="5" t="s">
        <v>271</v>
      </c>
      <c r="F3591" s="6">
        <v>-780</v>
      </c>
    </row>
    <row r="3592" spans="1:6" x14ac:dyDescent="0.15">
      <c r="A3592" s="5" t="s">
        <v>43</v>
      </c>
      <c r="B3592" s="5" t="s">
        <v>5196</v>
      </c>
      <c r="C3592" s="9">
        <v>43838</v>
      </c>
      <c r="D3592" s="5" t="s">
        <v>16</v>
      </c>
      <c r="E3592" s="5" t="s">
        <v>5197</v>
      </c>
      <c r="F3592" s="6">
        <v>3395</v>
      </c>
    </row>
    <row r="3593" spans="1:6" x14ac:dyDescent="0.15">
      <c r="A3593" s="5" t="s">
        <v>37</v>
      </c>
      <c r="B3593" s="5" t="s">
        <v>7609</v>
      </c>
      <c r="C3593" s="9">
        <v>43838</v>
      </c>
      <c r="D3593" s="5" t="s">
        <v>16</v>
      </c>
      <c r="E3593" s="5" t="s">
        <v>5197</v>
      </c>
      <c r="F3593" s="6">
        <v>11700</v>
      </c>
    </row>
    <row r="3594" spans="1:6" x14ac:dyDescent="0.15">
      <c r="A3594" s="5" t="s">
        <v>37</v>
      </c>
      <c r="B3594" s="5" t="s">
        <v>7610</v>
      </c>
      <c r="C3594" s="9">
        <v>43843</v>
      </c>
      <c r="D3594" s="5" t="s">
        <v>16</v>
      </c>
      <c r="E3594" s="5" t="s">
        <v>7611</v>
      </c>
      <c r="F3594" s="6">
        <v>25350</v>
      </c>
    </row>
    <row r="3595" spans="1:6" x14ac:dyDescent="0.15">
      <c r="A3595" s="5" t="s">
        <v>37</v>
      </c>
      <c r="B3595" s="5" t="s">
        <v>7612</v>
      </c>
      <c r="C3595" s="9">
        <v>43843</v>
      </c>
      <c r="D3595" s="5" t="s">
        <v>16</v>
      </c>
      <c r="E3595" s="5" t="s">
        <v>5199</v>
      </c>
      <c r="F3595" s="6">
        <v>1950</v>
      </c>
    </row>
    <row r="3596" spans="1:6" x14ac:dyDescent="0.15">
      <c r="A3596" s="5" t="s">
        <v>42</v>
      </c>
      <c r="B3596" s="5" t="s">
        <v>5936</v>
      </c>
      <c r="C3596" s="9">
        <v>43843</v>
      </c>
      <c r="D3596" s="5" t="s">
        <v>16</v>
      </c>
      <c r="E3596" s="5" t="s">
        <v>5199</v>
      </c>
      <c r="F3596" s="6">
        <v>4500</v>
      </c>
    </row>
    <row r="3597" spans="1:6" x14ac:dyDescent="0.15">
      <c r="A3597" s="5" t="s">
        <v>43</v>
      </c>
      <c r="B3597" s="5" t="s">
        <v>5198</v>
      </c>
      <c r="C3597" s="9">
        <v>43843</v>
      </c>
      <c r="D3597" s="5" t="s">
        <v>16</v>
      </c>
      <c r="E3597" s="5" t="s">
        <v>5199</v>
      </c>
      <c r="F3597" s="6">
        <v>7760</v>
      </c>
    </row>
    <row r="3598" spans="1:6" x14ac:dyDescent="0.15">
      <c r="A3598" s="5" t="s">
        <v>53</v>
      </c>
      <c r="B3598" s="5" t="s">
        <v>8495</v>
      </c>
      <c r="C3598" s="9">
        <v>43843</v>
      </c>
      <c r="D3598" s="5" t="s">
        <v>16</v>
      </c>
      <c r="E3598" s="5" t="s">
        <v>5199</v>
      </c>
      <c r="F3598" s="6">
        <v>9750</v>
      </c>
    </row>
    <row r="3599" spans="1:6" x14ac:dyDescent="0.15">
      <c r="A3599" s="5" t="s">
        <v>53</v>
      </c>
      <c r="B3599" s="5" t="s">
        <v>8496</v>
      </c>
      <c r="C3599" s="9">
        <v>43843</v>
      </c>
      <c r="D3599" s="5" t="s">
        <v>16</v>
      </c>
      <c r="E3599" s="5" t="s">
        <v>3724</v>
      </c>
      <c r="F3599" s="6">
        <v>7800</v>
      </c>
    </row>
    <row r="3600" spans="1:6" x14ac:dyDescent="0.15">
      <c r="A3600" s="5" t="s">
        <v>64</v>
      </c>
      <c r="B3600" s="5" t="s">
        <v>6134</v>
      </c>
      <c r="C3600" s="9">
        <v>43843</v>
      </c>
      <c r="D3600" s="5" t="s">
        <v>16</v>
      </c>
      <c r="E3600" s="5" t="s">
        <v>3724</v>
      </c>
      <c r="F3600" s="6">
        <v>3000</v>
      </c>
    </row>
    <row r="3601" spans="1:6" x14ac:dyDescent="0.15">
      <c r="A3601" s="5" t="s">
        <v>57</v>
      </c>
      <c r="B3601" s="5" t="s">
        <v>5604</v>
      </c>
      <c r="C3601" s="9">
        <v>43843</v>
      </c>
      <c r="D3601" s="5" t="s">
        <v>16</v>
      </c>
      <c r="E3601" s="5" t="s">
        <v>3724</v>
      </c>
      <c r="F3601" s="6">
        <v>7760</v>
      </c>
    </row>
    <row r="3602" spans="1:6" x14ac:dyDescent="0.15">
      <c r="A3602" s="5" t="s">
        <v>35</v>
      </c>
      <c r="B3602" s="5" t="s">
        <v>3723</v>
      </c>
      <c r="C3602" s="9">
        <v>43843</v>
      </c>
      <c r="D3602" s="5" t="s">
        <v>16</v>
      </c>
      <c r="E3602" s="5" t="s">
        <v>3724</v>
      </c>
      <c r="F3602" s="6">
        <v>5850</v>
      </c>
    </row>
    <row r="3603" spans="1:6" x14ac:dyDescent="0.15">
      <c r="A3603" s="5" t="s">
        <v>35</v>
      </c>
      <c r="B3603" s="5" t="s">
        <v>3725</v>
      </c>
      <c r="C3603" s="9">
        <v>43844</v>
      </c>
      <c r="D3603" s="5" t="s">
        <v>16</v>
      </c>
      <c r="E3603" s="5" t="s">
        <v>2021</v>
      </c>
      <c r="F3603" s="6">
        <v>7800</v>
      </c>
    </row>
    <row r="3604" spans="1:6" x14ac:dyDescent="0.15">
      <c r="A3604" s="5" t="s">
        <v>41</v>
      </c>
      <c r="B3604" s="5" t="s">
        <v>2020</v>
      </c>
      <c r="C3604" s="9">
        <v>43844</v>
      </c>
      <c r="D3604" s="5" t="s">
        <v>16</v>
      </c>
      <c r="E3604" s="5" t="s">
        <v>2021</v>
      </c>
      <c r="F3604" s="6">
        <v>3880</v>
      </c>
    </row>
    <row r="3605" spans="1:6" x14ac:dyDescent="0.15">
      <c r="A3605" s="5" t="s">
        <v>51</v>
      </c>
      <c r="B3605" s="5" t="s">
        <v>4245</v>
      </c>
      <c r="C3605" s="9">
        <v>43844</v>
      </c>
      <c r="D3605" s="5" t="s">
        <v>16</v>
      </c>
      <c r="E3605" s="5" t="s">
        <v>2021</v>
      </c>
      <c r="F3605" s="6">
        <v>13650</v>
      </c>
    </row>
    <row r="3606" spans="1:6" x14ac:dyDescent="0.15">
      <c r="A3606" s="5" t="s">
        <v>37</v>
      </c>
      <c r="B3606" s="5" t="s">
        <v>7615</v>
      </c>
      <c r="C3606" s="9">
        <v>43847</v>
      </c>
      <c r="D3606" s="5" t="s">
        <v>16</v>
      </c>
      <c r="E3606" s="5" t="s">
        <v>4247</v>
      </c>
      <c r="F3606" s="6">
        <v>15015</v>
      </c>
    </row>
    <row r="3607" spans="1:6" x14ac:dyDescent="0.15">
      <c r="A3607" s="5" t="s">
        <v>51</v>
      </c>
      <c r="B3607" s="5" t="s">
        <v>4246</v>
      </c>
      <c r="C3607" s="9">
        <v>43847</v>
      </c>
      <c r="D3607" s="5" t="s">
        <v>16</v>
      </c>
      <c r="E3607" s="5" t="s">
        <v>4247</v>
      </c>
      <c r="F3607" s="6">
        <v>6435</v>
      </c>
    </row>
    <row r="3608" spans="1:6" x14ac:dyDescent="0.15">
      <c r="A3608" s="5" t="s">
        <v>57</v>
      </c>
      <c r="B3608" s="5" t="s">
        <v>5606</v>
      </c>
      <c r="C3608" s="9">
        <v>43847</v>
      </c>
      <c r="D3608" s="5" t="s">
        <v>16</v>
      </c>
      <c r="E3608" s="5" t="s">
        <v>4247</v>
      </c>
      <c r="F3608" s="6">
        <v>6402</v>
      </c>
    </row>
    <row r="3609" spans="1:6" x14ac:dyDescent="0.15">
      <c r="A3609" s="5" t="s">
        <v>43</v>
      </c>
      <c r="B3609" s="5" t="s">
        <v>5200</v>
      </c>
      <c r="C3609" s="9">
        <v>43845</v>
      </c>
      <c r="D3609" s="5" t="s">
        <v>16</v>
      </c>
      <c r="E3609" s="5" t="s">
        <v>2023</v>
      </c>
      <c r="F3609" s="6">
        <v>48.5</v>
      </c>
    </row>
    <row r="3610" spans="1:6" x14ac:dyDescent="0.15">
      <c r="A3610" s="5" t="s">
        <v>41</v>
      </c>
      <c r="B3610" s="5" t="s">
        <v>2022</v>
      </c>
      <c r="C3610" s="9">
        <v>43845</v>
      </c>
      <c r="D3610" s="5" t="s">
        <v>16</v>
      </c>
      <c r="E3610" s="5" t="s">
        <v>2023</v>
      </c>
      <c r="F3610" s="6">
        <v>48.5</v>
      </c>
    </row>
    <row r="3611" spans="1:6" x14ac:dyDescent="0.15">
      <c r="A3611" s="5" t="s">
        <v>46</v>
      </c>
      <c r="B3611" s="5" t="s">
        <v>2210</v>
      </c>
      <c r="C3611" s="9">
        <v>43845</v>
      </c>
      <c r="D3611" s="5" t="s">
        <v>16</v>
      </c>
      <c r="E3611" s="5" t="s">
        <v>2023</v>
      </c>
      <c r="F3611" s="6">
        <v>48.5</v>
      </c>
    </row>
    <row r="3612" spans="1:6" x14ac:dyDescent="0.15">
      <c r="A3612" s="5" t="s">
        <v>66</v>
      </c>
      <c r="B3612" s="5" t="s">
        <v>5712</v>
      </c>
      <c r="C3612" s="9">
        <v>43845</v>
      </c>
      <c r="D3612" s="5" t="s">
        <v>16</v>
      </c>
      <c r="E3612" s="5" t="s">
        <v>2023</v>
      </c>
      <c r="F3612" s="6">
        <v>48.5</v>
      </c>
    </row>
    <row r="3613" spans="1:6" x14ac:dyDescent="0.15">
      <c r="A3613" s="5" t="s">
        <v>57</v>
      </c>
      <c r="B3613" s="5" t="s">
        <v>5605</v>
      </c>
      <c r="C3613" s="9">
        <v>43845</v>
      </c>
      <c r="D3613" s="5" t="s">
        <v>16</v>
      </c>
      <c r="E3613" s="5" t="s">
        <v>2023</v>
      </c>
      <c r="F3613" s="6">
        <v>48.5</v>
      </c>
    </row>
    <row r="3614" spans="1:6" x14ac:dyDescent="0.15">
      <c r="A3614" s="5" t="s">
        <v>37</v>
      </c>
      <c r="B3614" s="5" t="s">
        <v>7613</v>
      </c>
      <c r="C3614" s="9">
        <v>43846</v>
      </c>
      <c r="D3614" s="5" t="s">
        <v>16</v>
      </c>
      <c r="E3614" s="5" t="s">
        <v>7614</v>
      </c>
      <c r="F3614" s="6">
        <v>780</v>
      </c>
    </row>
    <row r="3615" spans="1:6" x14ac:dyDescent="0.15">
      <c r="A3615" s="5" t="s">
        <v>51</v>
      </c>
      <c r="B3615" s="5" t="s">
        <v>4248</v>
      </c>
      <c r="C3615" s="9">
        <v>43850</v>
      </c>
      <c r="D3615" s="5" t="s">
        <v>16</v>
      </c>
      <c r="E3615" s="5" t="s">
        <v>2280</v>
      </c>
      <c r="F3615" s="6">
        <v>3900</v>
      </c>
    </row>
    <row r="3616" spans="1:6" x14ac:dyDescent="0.15">
      <c r="A3616" s="5" t="s">
        <v>35</v>
      </c>
      <c r="B3616" s="5" t="s">
        <v>3726</v>
      </c>
      <c r="C3616" s="9">
        <v>43850</v>
      </c>
      <c r="D3616" s="5" t="s">
        <v>16</v>
      </c>
      <c r="E3616" s="5" t="s">
        <v>2280</v>
      </c>
      <c r="F3616" s="6">
        <v>1950</v>
      </c>
    </row>
    <row r="3617" spans="1:6" x14ac:dyDescent="0.15">
      <c r="A3617" s="5" t="s">
        <v>174</v>
      </c>
      <c r="B3617" s="5" t="s">
        <v>2673</v>
      </c>
      <c r="C3617" s="9">
        <v>43850</v>
      </c>
      <c r="D3617" s="5" t="s">
        <v>16</v>
      </c>
      <c r="E3617" s="5" t="s">
        <v>2280</v>
      </c>
      <c r="F3617" s="6">
        <v>3000</v>
      </c>
    </row>
    <row r="3618" spans="1:6" x14ac:dyDescent="0.15">
      <c r="A3618" s="5" t="s">
        <v>63</v>
      </c>
      <c r="B3618" s="5" t="s">
        <v>2279</v>
      </c>
      <c r="C3618" s="9">
        <v>43850</v>
      </c>
      <c r="D3618" s="5" t="s">
        <v>16</v>
      </c>
      <c r="E3618" s="5" t="s">
        <v>2280</v>
      </c>
      <c r="F3618" s="6">
        <v>3880</v>
      </c>
    </row>
    <row r="3619" spans="1:6" x14ac:dyDescent="0.15">
      <c r="A3619" s="5" t="s">
        <v>158</v>
      </c>
      <c r="B3619" s="5" t="s">
        <v>8564</v>
      </c>
      <c r="C3619" s="9">
        <v>43850</v>
      </c>
      <c r="D3619" s="5" t="s">
        <v>16</v>
      </c>
      <c r="E3619" s="5" t="s">
        <v>2280</v>
      </c>
      <c r="F3619" s="6">
        <v>2340</v>
      </c>
    </row>
    <row r="3620" spans="1:6" x14ac:dyDescent="0.15">
      <c r="A3620" s="5" t="s">
        <v>148</v>
      </c>
      <c r="B3620" s="5" t="s">
        <v>5690</v>
      </c>
      <c r="C3620" s="9">
        <v>43850</v>
      </c>
      <c r="D3620" s="5" t="s">
        <v>16</v>
      </c>
      <c r="E3620" s="5" t="s">
        <v>2280</v>
      </c>
      <c r="F3620" s="6">
        <v>5820</v>
      </c>
    </row>
    <row r="3621" spans="1:6" x14ac:dyDescent="0.15">
      <c r="A3621" s="5" t="s">
        <v>35</v>
      </c>
      <c r="B3621" s="5" t="s">
        <v>3727</v>
      </c>
      <c r="C3621" s="9">
        <v>43864</v>
      </c>
      <c r="D3621" s="5" t="s">
        <v>16</v>
      </c>
      <c r="E3621" s="5" t="s">
        <v>2025</v>
      </c>
      <c r="F3621" s="6">
        <v>1950</v>
      </c>
    </row>
    <row r="3622" spans="1:6" x14ac:dyDescent="0.15">
      <c r="A3622" s="5" t="s">
        <v>41</v>
      </c>
      <c r="B3622" s="5" t="s">
        <v>2024</v>
      </c>
      <c r="C3622" s="9">
        <v>43864</v>
      </c>
      <c r="D3622" s="5" t="s">
        <v>16</v>
      </c>
      <c r="E3622" s="5" t="s">
        <v>2025</v>
      </c>
      <c r="F3622" s="6">
        <v>5868.5</v>
      </c>
    </row>
    <row r="3623" spans="1:6" x14ac:dyDescent="0.15">
      <c r="A3623" s="5" t="s">
        <v>37</v>
      </c>
      <c r="B3623" s="5" t="s">
        <v>7618</v>
      </c>
      <c r="C3623" s="9">
        <v>43864</v>
      </c>
      <c r="D3623" s="5" t="s">
        <v>16</v>
      </c>
      <c r="E3623" s="5" t="s">
        <v>2025</v>
      </c>
      <c r="F3623" s="6">
        <v>9750</v>
      </c>
    </row>
    <row r="3624" spans="1:6" x14ac:dyDescent="0.15">
      <c r="A3624" s="5" t="s">
        <v>43</v>
      </c>
      <c r="B3624" s="5" t="s">
        <v>5203</v>
      </c>
      <c r="C3624" s="9">
        <v>43864</v>
      </c>
      <c r="D3624" s="5" t="s">
        <v>16</v>
      </c>
      <c r="E3624" s="5" t="s">
        <v>2025</v>
      </c>
      <c r="F3624" s="6">
        <v>3734.5</v>
      </c>
    </row>
    <row r="3625" spans="1:6" x14ac:dyDescent="0.15">
      <c r="A3625" s="5" t="s">
        <v>43</v>
      </c>
      <c r="B3625" s="5" t="s">
        <v>5201</v>
      </c>
      <c r="C3625" s="9">
        <v>43854</v>
      </c>
      <c r="D3625" s="5" t="s">
        <v>16</v>
      </c>
      <c r="E3625" s="5" t="s">
        <v>5202</v>
      </c>
      <c r="F3625" s="6">
        <v>2667.5</v>
      </c>
    </row>
    <row r="3626" spans="1:6" x14ac:dyDescent="0.15">
      <c r="A3626" s="5" t="s">
        <v>37</v>
      </c>
      <c r="B3626" s="5" t="s">
        <v>7616</v>
      </c>
      <c r="C3626" s="9">
        <v>43854</v>
      </c>
      <c r="D3626" s="5" t="s">
        <v>16</v>
      </c>
      <c r="E3626" s="5" t="s">
        <v>5202</v>
      </c>
      <c r="F3626" s="6">
        <v>6337.5</v>
      </c>
    </row>
    <row r="3627" spans="1:6" x14ac:dyDescent="0.15">
      <c r="A3627" s="5" t="s">
        <v>37</v>
      </c>
      <c r="B3627" s="5" t="s">
        <v>7617</v>
      </c>
      <c r="C3627" s="9">
        <v>43857</v>
      </c>
      <c r="D3627" s="5" t="s">
        <v>16</v>
      </c>
      <c r="E3627" s="5" t="s">
        <v>5202</v>
      </c>
      <c r="F3627" s="6">
        <v>-195</v>
      </c>
    </row>
    <row r="3628" spans="1:6" x14ac:dyDescent="0.15">
      <c r="A3628" s="5" t="s">
        <v>43</v>
      </c>
      <c r="B3628" s="5" t="s">
        <v>5204</v>
      </c>
      <c r="C3628" s="9">
        <v>43864</v>
      </c>
      <c r="D3628" s="5" t="s">
        <v>16</v>
      </c>
      <c r="E3628" s="5" t="s">
        <v>3729</v>
      </c>
      <c r="F3628" s="6">
        <v>10039.5</v>
      </c>
    </row>
    <row r="3629" spans="1:6" x14ac:dyDescent="0.15">
      <c r="A3629" s="5" t="s">
        <v>37</v>
      </c>
      <c r="B3629" s="5" t="s">
        <v>7619</v>
      </c>
      <c r="C3629" s="9">
        <v>43864</v>
      </c>
      <c r="D3629" s="5" t="s">
        <v>16</v>
      </c>
      <c r="E3629" s="5" t="s">
        <v>3729</v>
      </c>
      <c r="F3629" s="6">
        <v>5070</v>
      </c>
    </row>
    <row r="3630" spans="1:6" x14ac:dyDescent="0.15">
      <c r="A3630" s="5" t="s">
        <v>35</v>
      </c>
      <c r="B3630" s="5" t="s">
        <v>3728</v>
      </c>
      <c r="C3630" s="9">
        <v>43864</v>
      </c>
      <c r="D3630" s="5" t="s">
        <v>16</v>
      </c>
      <c r="E3630" s="5" t="s">
        <v>3729</v>
      </c>
      <c r="F3630" s="6">
        <v>5070</v>
      </c>
    </row>
    <row r="3631" spans="1:6" x14ac:dyDescent="0.15">
      <c r="A3631" s="5" t="s">
        <v>42</v>
      </c>
      <c r="B3631" s="5" t="s">
        <v>5937</v>
      </c>
      <c r="C3631" s="9">
        <v>43864</v>
      </c>
      <c r="D3631" s="5" t="s">
        <v>16</v>
      </c>
      <c r="E3631" s="5" t="s">
        <v>5938</v>
      </c>
      <c r="F3631" s="6">
        <v>9000</v>
      </c>
    </row>
    <row r="3632" spans="1:6" x14ac:dyDescent="0.15">
      <c r="A3632" s="5" t="s">
        <v>37</v>
      </c>
      <c r="B3632" s="5" t="s">
        <v>7620</v>
      </c>
      <c r="C3632" s="9">
        <v>43864</v>
      </c>
      <c r="D3632" s="5" t="s">
        <v>16</v>
      </c>
      <c r="E3632" s="5" t="s">
        <v>7621</v>
      </c>
      <c r="F3632" s="6">
        <v>7020</v>
      </c>
    </row>
    <row r="3633" spans="1:6" x14ac:dyDescent="0.15">
      <c r="A3633" s="5" t="s">
        <v>37</v>
      </c>
      <c r="B3633" s="5" t="s">
        <v>7622</v>
      </c>
      <c r="C3633" s="9">
        <v>43865</v>
      </c>
      <c r="D3633" s="5" t="s">
        <v>16</v>
      </c>
      <c r="E3633" s="5" t="s">
        <v>7623</v>
      </c>
      <c r="F3633" s="6">
        <v>682.5</v>
      </c>
    </row>
    <row r="3634" spans="1:6" x14ac:dyDescent="0.15">
      <c r="A3634" s="5" t="s">
        <v>49</v>
      </c>
      <c r="B3634" s="5" t="s">
        <v>8683</v>
      </c>
      <c r="C3634" s="9">
        <v>43867</v>
      </c>
      <c r="D3634" s="5" t="s">
        <v>16</v>
      </c>
      <c r="E3634" s="5" t="s">
        <v>8684</v>
      </c>
      <c r="F3634" s="6">
        <v>97.5</v>
      </c>
    </row>
    <row r="3635" spans="1:6" x14ac:dyDescent="0.15">
      <c r="A3635" s="5" t="s">
        <v>46</v>
      </c>
      <c r="B3635" s="5" t="s">
        <v>2211</v>
      </c>
      <c r="C3635" s="9">
        <v>43871</v>
      </c>
      <c r="D3635" s="5" t="s">
        <v>16</v>
      </c>
      <c r="E3635" s="5" t="s">
        <v>2212</v>
      </c>
      <c r="F3635" s="6">
        <v>1940</v>
      </c>
    </row>
    <row r="3636" spans="1:6" x14ac:dyDescent="0.15">
      <c r="A3636" s="5" t="s">
        <v>37</v>
      </c>
      <c r="B3636" s="5" t="s">
        <v>7624</v>
      </c>
      <c r="C3636" s="9">
        <v>43871</v>
      </c>
      <c r="D3636" s="5" t="s">
        <v>16</v>
      </c>
      <c r="E3636" s="5" t="s">
        <v>2212</v>
      </c>
      <c r="F3636" s="6">
        <v>3900</v>
      </c>
    </row>
    <row r="3637" spans="1:6" x14ac:dyDescent="0.15">
      <c r="A3637" s="5" t="s">
        <v>158</v>
      </c>
      <c r="B3637" s="5" t="s">
        <v>8565</v>
      </c>
      <c r="C3637" s="9">
        <v>43879</v>
      </c>
      <c r="D3637" s="5" t="s">
        <v>16</v>
      </c>
      <c r="E3637" s="5" t="s">
        <v>8566</v>
      </c>
      <c r="F3637" s="6">
        <v>15210</v>
      </c>
    </row>
    <row r="3638" spans="1:6" x14ac:dyDescent="0.15">
      <c r="A3638" s="5" t="s">
        <v>37</v>
      </c>
      <c r="B3638" s="5" t="s">
        <v>7625</v>
      </c>
      <c r="C3638" s="9">
        <v>43878</v>
      </c>
      <c r="D3638" s="5" t="s">
        <v>16</v>
      </c>
      <c r="E3638" s="5" t="s">
        <v>7626</v>
      </c>
      <c r="F3638" s="6">
        <v>7020</v>
      </c>
    </row>
    <row r="3639" spans="1:6" x14ac:dyDescent="0.15">
      <c r="A3639" s="5" t="s">
        <v>35</v>
      </c>
      <c r="B3639" s="5" t="s">
        <v>3734</v>
      </c>
      <c r="C3639" s="9">
        <v>43885</v>
      </c>
      <c r="D3639" s="5" t="s">
        <v>16</v>
      </c>
      <c r="E3639" s="5" t="s">
        <v>3735</v>
      </c>
      <c r="F3639" s="6">
        <v>25350</v>
      </c>
    </row>
    <row r="3640" spans="1:6" x14ac:dyDescent="0.15">
      <c r="A3640" s="5" t="s">
        <v>37</v>
      </c>
      <c r="B3640" s="5" t="s">
        <v>7631</v>
      </c>
      <c r="C3640" s="9">
        <v>43886</v>
      </c>
      <c r="D3640" s="5" t="s">
        <v>16</v>
      </c>
      <c r="E3640" s="5" t="s">
        <v>7632</v>
      </c>
      <c r="F3640" s="6">
        <v>25350</v>
      </c>
    </row>
    <row r="3641" spans="1:6" x14ac:dyDescent="0.15">
      <c r="A3641" s="5" t="s">
        <v>41</v>
      </c>
      <c r="B3641" s="5" t="s">
        <v>2026</v>
      </c>
      <c r="C3641" s="9">
        <v>43892</v>
      </c>
      <c r="D3641" s="5" t="s">
        <v>16</v>
      </c>
      <c r="E3641" s="5" t="s">
        <v>2027</v>
      </c>
      <c r="F3641" s="6">
        <v>5820</v>
      </c>
    </row>
    <row r="3642" spans="1:6" x14ac:dyDescent="0.15">
      <c r="A3642" s="5" t="s">
        <v>40</v>
      </c>
      <c r="B3642" s="5" t="s">
        <v>2503</v>
      </c>
      <c r="C3642" s="9">
        <v>43892</v>
      </c>
      <c r="D3642" s="5" t="s">
        <v>16</v>
      </c>
      <c r="E3642" s="5" t="s">
        <v>2027</v>
      </c>
      <c r="F3642" s="6">
        <v>4500</v>
      </c>
    </row>
    <row r="3643" spans="1:6" x14ac:dyDescent="0.15">
      <c r="A3643" s="5" t="s">
        <v>43</v>
      </c>
      <c r="B3643" s="5" t="s">
        <v>5207</v>
      </c>
      <c r="C3643" s="9">
        <v>43892</v>
      </c>
      <c r="D3643" s="5" t="s">
        <v>16</v>
      </c>
      <c r="E3643" s="5" t="s">
        <v>2027</v>
      </c>
      <c r="F3643" s="6">
        <v>7760</v>
      </c>
    </row>
    <row r="3644" spans="1:6" x14ac:dyDescent="0.15">
      <c r="A3644" s="5" t="s">
        <v>42</v>
      </c>
      <c r="B3644" s="5" t="s">
        <v>5941</v>
      </c>
      <c r="C3644" s="9">
        <v>43892</v>
      </c>
      <c r="D3644" s="5" t="s">
        <v>16</v>
      </c>
      <c r="E3644" s="5" t="s">
        <v>2027</v>
      </c>
      <c r="F3644" s="6">
        <v>4500</v>
      </c>
    </row>
    <row r="3645" spans="1:6" x14ac:dyDescent="0.15">
      <c r="A3645" s="5" t="s">
        <v>37</v>
      </c>
      <c r="B3645" s="5" t="s">
        <v>7627</v>
      </c>
      <c r="C3645" s="9">
        <v>43882</v>
      </c>
      <c r="D3645" s="5" t="s">
        <v>16</v>
      </c>
      <c r="E3645" s="5" t="s">
        <v>5940</v>
      </c>
      <c r="F3645" s="6">
        <v>2535</v>
      </c>
    </row>
    <row r="3646" spans="1:6" x14ac:dyDescent="0.15">
      <c r="A3646" s="5" t="s">
        <v>42</v>
      </c>
      <c r="B3646" s="5" t="s">
        <v>5939</v>
      </c>
      <c r="C3646" s="9">
        <v>43882</v>
      </c>
      <c r="D3646" s="5" t="s">
        <v>16</v>
      </c>
      <c r="E3646" s="5" t="s">
        <v>5940</v>
      </c>
      <c r="F3646" s="6">
        <v>975</v>
      </c>
    </row>
    <row r="3647" spans="1:6" x14ac:dyDescent="0.15">
      <c r="A3647" s="5" t="s">
        <v>37</v>
      </c>
      <c r="B3647" s="5" t="s">
        <v>7628</v>
      </c>
      <c r="C3647" s="9">
        <v>43882</v>
      </c>
      <c r="D3647" s="5" t="s">
        <v>16</v>
      </c>
      <c r="E3647" s="5" t="s">
        <v>3731</v>
      </c>
      <c r="F3647" s="6">
        <v>975</v>
      </c>
    </row>
    <row r="3648" spans="1:6" x14ac:dyDescent="0.15">
      <c r="A3648" s="5" t="s">
        <v>35</v>
      </c>
      <c r="B3648" s="5" t="s">
        <v>3730</v>
      </c>
      <c r="C3648" s="9">
        <v>43882</v>
      </c>
      <c r="D3648" s="5" t="s">
        <v>16</v>
      </c>
      <c r="E3648" s="5" t="s">
        <v>3731</v>
      </c>
      <c r="F3648" s="6">
        <v>975</v>
      </c>
    </row>
    <row r="3649" spans="1:6" x14ac:dyDescent="0.15">
      <c r="A3649" s="5" t="s">
        <v>35</v>
      </c>
      <c r="B3649" s="5" t="s">
        <v>3732</v>
      </c>
      <c r="C3649" s="9">
        <v>43882</v>
      </c>
      <c r="D3649" s="5" t="s">
        <v>16</v>
      </c>
      <c r="E3649" s="5" t="s">
        <v>3733</v>
      </c>
      <c r="F3649" s="6">
        <v>195</v>
      </c>
    </row>
    <row r="3650" spans="1:6" x14ac:dyDescent="0.15">
      <c r="A3650" s="5" t="s">
        <v>37</v>
      </c>
      <c r="B3650" s="5" t="s">
        <v>7629</v>
      </c>
      <c r="C3650" s="9">
        <v>43885</v>
      </c>
      <c r="D3650" s="5" t="s">
        <v>16</v>
      </c>
      <c r="E3650" s="5" t="s">
        <v>7630</v>
      </c>
      <c r="F3650" s="6">
        <v>15015</v>
      </c>
    </row>
    <row r="3651" spans="1:6" x14ac:dyDescent="0.15">
      <c r="A3651" s="5" t="s">
        <v>43</v>
      </c>
      <c r="B3651" s="5" t="s">
        <v>5205</v>
      </c>
      <c r="C3651" s="9">
        <v>43889</v>
      </c>
      <c r="D3651" s="5" t="s">
        <v>16</v>
      </c>
      <c r="E3651" s="5" t="s">
        <v>5206</v>
      </c>
      <c r="F3651" s="6">
        <v>339.5</v>
      </c>
    </row>
    <row r="3652" spans="1:6" x14ac:dyDescent="0.15">
      <c r="A3652" s="5" t="s">
        <v>37</v>
      </c>
      <c r="B3652" s="5" t="s">
        <v>7633</v>
      </c>
      <c r="C3652" s="9">
        <v>43889</v>
      </c>
      <c r="D3652" s="5" t="s">
        <v>16</v>
      </c>
      <c r="E3652" s="5" t="s">
        <v>7634</v>
      </c>
      <c r="F3652" s="6">
        <v>-11505</v>
      </c>
    </row>
    <row r="3653" spans="1:6" x14ac:dyDescent="0.15">
      <c r="A3653" s="5" t="s">
        <v>37</v>
      </c>
      <c r="B3653" s="5" t="s">
        <v>7633</v>
      </c>
      <c r="C3653" s="9">
        <v>43889</v>
      </c>
      <c r="D3653" s="5" t="s">
        <v>16</v>
      </c>
      <c r="E3653" s="5" t="s">
        <v>7634</v>
      </c>
      <c r="F3653" s="6">
        <v>-3510</v>
      </c>
    </row>
    <row r="3654" spans="1:6" x14ac:dyDescent="0.15">
      <c r="A3654" s="5" t="s">
        <v>37</v>
      </c>
      <c r="B3654" s="5" t="s">
        <v>7635</v>
      </c>
      <c r="C3654" s="9">
        <v>43889</v>
      </c>
      <c r="D3654" s="5" t="s">
        <v>16</v>
      </c>
      <c r="E3654" s="5" t="s">
        <v>7634</v>
      </c>
      <c r="F3654" s="6">
        <v>11505</v>
      </c>
    </row>
    <row r="3655" spans="1:6" x14ac:dyDescent="0.15">
      <c r="A3655" s="5" t="s">
        <v>37</v>
      </c>
      <c r="B3655" s="5" t="s">
        <v>7636</v>
      </c>
      <c r="C3655" s="9">
        <v>43893</v>
      </c>
      <c r="D3655" s="5" t="s">
        <v>16</v>
      </c>
      <c r="E3655" s="5" t="s">
        <v>7637</v>
      </c>
      <c r="F3655" s="6">
        <v>4095</v>
      </c>
    </row>
    <row r="3656" spans="1:6" x14ac:dyDescent="0.15">
      <c r="A3656" s="5" t="s">
        <v>37</v>
      </c>
      <c r="B3656" s="5" t="s">
        <v>7638</v>
      </c>
      <c r="C3656" s="9">
        <v>43893</v>
      </c>
      <c r="D3656" s="5" t="s">
        <v>16</v>
      </c>
      <c r="E3656" s="5" t="s">
        <v>7639</v>
      </c>
      <c r="F3656" s="6">
        <v>2340</v>
      </c>
    </row>
    <row r="3657" spans="1:6" x14ac:dyDescent="0.15">
      <c r="A3657" s="5" t="s">
        <v>37</v>
      </c>
      <c r="B3657" s="5" t="s">
        <v>7640</v>
      </c>
      <c r="C3657" s="9">
        <v>43893</v>
      </c>
      <c r="D3657" s="5" t="s">
        <v>16</v>
      </c>
      <c r="E3657" s="5" t="s">
        <v>7641</v>
      </c>
      <c r="F3657" s="6">
        <v>6630</v>
      </c>
    </row>
    <row r="3658" spans="1:6" x14ac:dyDescent="0.15">
      <c r="A3658" s="5" t="s">
        <v>37</v>
      </c>
      <c r="B3658" s="5" t="s">
        <v>7642</v>
      </c>
      <c r="C3658" s="9">
        <v>43893</v>
      </c>
      <c r="D3658" s="5" t="s">
        <v>16</v>
      </c>
      <c r="E3658" s="5" t="s">
        <v>5943</v>
      </c>
      <c r="F3658" s="6">
        <v>585</v>
      </c>
    </row>
    <row r="3659" spans="1:6" x14ac:dyDescent="0.15">
      <c r="A3659" s="5" t="s">
        <v>42</v>
      </c>
      <c r="B3659" s="5" t="s">
        <v>5942</v>
      </c>
      <c r="C3659" s="9">
        <v>43893</v>
      </c>
      <c r="D3659" s="5" t="s">
        <v>16</v>
      </c>
      <c r="E3659" s="5" t="s">
        <v>5943</v>
      </c>
      <c r="F3659" s="6">
        <v>1050</v>
      </c>
    </row>
    <row r="3660" spans="1:6" x14ac:dyDescent="0.15">
      <c r="A3660" s="5" t="s">
        <v>174</v>
      </c>
      <c r="B3660" s="5" t="s">
        <v>2674</v>
      </c>
      <c r="C3660" s="9">
        <v>43899</v>
      </c>
      <c r="D3660" s="5" t="s">
        <v>16</v>
      </c>
      <c r="E3660" s="5" t="s">
        <v>2675</v>
      </c>
      <c r="F3660" s="6">
        <v>10500</v>
      </c>
    </row>
    <row r="3661" spans="1:6" x14ac:dyDescent="0.15">
      <c r="A3661" s="5" t="s">
        <v>64</v>
      </c>
      <c r="B3661" s="5" t="s">
        <v>6135</v>
      </c>
      <c r="C3661" s="9">
        <v>43899</v>
      </c>
      <c r="D3661" s="5" t="s">
        <v>16</v>
      </c>
      <c r="E3661" s="5" t="s">
        <v>2675</v>
      </c>
      <c r="F3661" s="6">
        <v>9000</v>
      </c>
    </row>
    <row r="3662" spans="1:6" x14ac:dyDescent="0.15">
      <c r="A3662" s="5" t="s">
        <v>37</v>
      </c>
      <c r="B3662" s="5" t="s">
        <v>7656</v>
      </c>
      <c r="C3662" s="9">
        <v>43913</v>
      </c>
      <c r="D3662" s="5" t="s">
        <v>16</v>
      </c>
      <c r="E3662" s="5" t="s">
        <v>7657</v>
      </c>
      <c r="F3662" s="6">
        <v>25350</v>
      </c>
    </row>
    <row r="3663" spans="1:6" x14ac:dyDescent="0.15">
      <c r="A3663" s="5" t="s">
        <v>37</v>
      </c>
      <c r="B3663" s="5" t="s">
        <v>7658</v>
      </c>
      <c r="C3663" s="9">
        <v>43913</v>
      </c>
      <c r="D3663" s="5" t="s">
        <v>16</v>
      </c>
      <c r="E3663" s="5" t="s">
        <v>7659</v>
      </c>
      <c r="F3663" s="6">
        <v>25350</v>
      </c>
    </row>
    <row r="3664" spans="1:6" x14ac:dyDescent="0.15">
      <c r="A3664" s="5" t="s">
        <v>43</v>
      </c>
      <c r="B3664" s="5" t="s">
        <v>5216</v>
      </c>
      <c r="C3664" s="9">
        <v>43920</v>
      </c>
      <c r="D3664" s="5" t="s">
        <v>16</v>
      </c>
      <c r="E3664" s="5" t="s">
        <v>5217</v>
      </c>
      <c r="F3664" s="6">
        <v>17072</v>
      </c>
    </row>
    <row r="3665" spans="1:6" x14ac:dyDescent="0.15">
      <c r="A3665" s="5" t="s">
        <v>37</v>
      </c>
      <c r="B3665" s="5" t="s">
        <v>7664</v>
      </c>
      <c r="C3665" s="9">
        <v>43917</v>
      </c>
      <c r="D3665" s="5" t="s">
        <v>16</v>
      </c>
      <c r="E3665" s="5" t="s">
        <v>7665</v>
      </c>
      <c r="F3665" s="6">
        <v>25350</v>
      </c>
    </row>
    <row r="3666" spans="1:6" x14ac:dyDescent="0.15">
      <c r="A3666" s="5" t="s">
        <v>37</v>
      </c>
      <c r="B3666" s="5" t="s">
        <v>7666</v>
      </c>
      <c r="C3666" s="9">
        <v>43922</v>
      </c>
      <c r="D3666" s="5" t="s">
        <v>16</v>
      </c>
      <c r="E3666" s="5" t="s">
        <v>7667</v>
      </c>
      <c r="F3666" s="6">
        <v>25350</v>
      </c>
    </row>
    <row r="3667" spans="1:6" x14ac:dyDescent="0.15">
      <c r="A3667" s="5" t="s">
        <v>35</v>
      </c>
      <c r="B3667" s="5" t="s">
        <v>3736</v>
      </c>
      <c r="C3667" s="9">
        <v>43896</v>
      </c>
      <c r="D3667" s="5" t="s">
        <v>16</v>
      </c>
      <c r="E3667" s="5" t="s">
        <v>3737</v>
      </c>
      <c r="F3667" s="6">
        <v>6825</v>
      </c>
    </row>
    <row r="3668" spans="1:6" x14ac:dyDescent="0.15">
      <c r="A3668" s="5" t="s">
        <v>43</v>
      </c>
      <c r="B3668" s="5" t="s">
        <v>5208</v>
      </c>
      <c r="C3668" s="9">
        <v>43896</v>
      </c>
      <c r="D3668" s="5" t="s">
        <v>16</v>
      </c>
      <c r="E3668" s="5" t="s">
        <v>5209</v>
      </c>
      <c r="F3668" s="6">
        <v>2522</v>
      </c>
    </row>
    <row r="3669" spans="1:6" x14ac:dyDescent="0.15">
      <c r="A3669" s="5" t="s">
        <v>37</v>
      </c>
      <c r="B3669" s="5" t="s">
        <v>7643</v>
      </c>
      <c r="C3669" s="9">
        <v>43896</v>
      </c>
      <c r="D3669" s="5" t="s">
        <v>16</v>
      </c>
      <c r="E3669" s="5" t="s">
        <v>5209</v>
      </c>
      <c r="F3669" s="6">
        <v>195</v>
      </c>
    </row>
    <row r="3670" spans="1:6" x14ac:dyDescent="0.15">
      <c r="A3670" s="5" t="s">
        <v>43</v>
      </c>
      <c r="B3670" s="5" t="s">
        <v>5210</v>
      </c>
      <c r="C3670" s="9">
        <v>43896</v>
      </c>
      <c r="D3670" s="5" t="s">
        <v>16</v>
      </c>
      <c r="E3670" s="5" t="s">
        <v>5211</v>
      </c>
      <c r="F3670" s="6">
        <v>48.5</v>
      </c>
    </row>
    <row r="3671" spans="1:6" x14ac:dyDescent="0.15">
      <c r="A3671" s="5" t="s">
        <v>43</v>
      </c>
      <c r="B3671" s="5" t="s">
        <v>5212</v>
      </c>
      <c r="C3671" s="9">
        <v>43902</v>
      </c>
      <c r="D3671" s="5" t="s">
        <v>16</v>
      </c>
      <c r="E3671" s="5" t="s">
        <v>5213</v>
      </c>
      <c r="F3671" s="6">
        <v>4753</v>
      </c>
    </row>
    <row r="3672" spans="1:6" x14ac:dyDescent="0.15">
      <c r="A3672" s="5" t="s">
        <v>37</v>
      </c>
      <c r="B3672" s="5" t="s">
        <v>7648</v>
      </c>
      <c r="C3672" s="9">
        <v>43902</v>
      </c>
      <c r="D3672" s="5" t="s">
        <v>16</v>
      </c>
      <c r="E3672" s="5" t="s">
        <v>5213</v>
      </c>
      <c r="F3672" s="6">
        <v>975</v>
      </c>
    </row>
    <row r="3673" spans="1:6" x14ac:dyDescent="0.15">
      <c r="A3673" s="5" t="s">
        <v>37</v>
      </c>
      <c r="B3673" s="5" t="s">
        <v>7649</v>
      </c>
      <c r="C3673" s="9">
        <v>43902</v>
      </c>
      <c r="D3673" s="5" t="s">
        <v>16</v>
      </c>
      <c r="E3673" s="5" t="s">
        <v>7650</v>
      </c>
      <c r="F3673" s="6">
        <v>14917.5</v>
      </c>
    </row>
    <row r="3674" spans="1:6" x14ac:dyDescent="0.15">
      <c r="A3674" s="5" t="s">
        <v>49</v>
      </c>
      <c r="B3674" s="5" t="s">
        <v>8685</v>
      </c>
      <c r="C3674" s="9">
        <v>43902</v>
      </c>
      <c r="D3674" s="5" t="s">
        <v>16</v>
      </c>
      <c r="E3674" s="5" t="s">
        <v>7650</v>
      </c>
      <c r="F3674" s="6">
        <v>1250</v>
      </c>
    </row>
    <row r="3675" spans="1:6" x14ac:dyDescent="0.15">
      <c r="A3675" s="5" t="s">
        <v>37</v>
      </c>
      <c r="B3675" s="5" t="s">
        <v>7644</v>
      </c>
      <c r="C3675" s="9">
        <v>43900</v>
      </c>
      <c r="D3675" s="5" t="s">
        <v>16</v>
      </c>
      <c r="E3675" s="5" t="s">
        <v>7645</v>
      </c>
      <c r="F3675" s="6">
        <v>3510</v>
      </c>
    </row>
    <row r="3676" spans="1:6" x14ac:dyDescent="0.15">
      <c r="A3676" s="5" t="s">
        <v>37</v>
      </c>
      <c r="B3676" s="5" t="s">
        <v>7646</v>
      </c>
      <c r="C3676" s="9">
        <v>43900</v>
      </c>
      <c r="D3676" s="5" t="s">
        <v>16</v>
      </c>
      <c r="E3676" s="5" t="s">
        <v>7647</v>
      </c>
      <c r="F3676" s="6">
        <v>7800</v>
      </c>
    </row>
    <row r="3677" spans="1:6" x14ac:dyDescent="0.15">
      <c r="A3677" s="5" t="s">
        <v>35</v>
      </c>
      <c r="B3677" s="5" t="s">
        <v>3738</v>
      </c>
      <c r="C3677" s="9">
        <v>43903</v>
      </c>
      <c r="D3677" s="5" t="s">
        <v>16</v>
      </c>
      <c r="E3677" s="5" t="s">
        <v>3739</v>
      </c>
      <c r="F3677" s="6">
        <v>672.5</v>
      </c>
    </row>
    <row r="3678" spans="1:6" x14ac:dyDescent="0.15">
      <c r="A3678" s="5" t="s">
        <v>35</v>
      </c>
      <c r="B3678" s="5" t="s">
        <v>3740</v>
      </c>
      <c r="C3678" s="9">
        <v>43906</v>
      </c>
      <c r="D3678" s="5" t="s">
        <v>16</v>
      </c>
      <c r="E3678" s="5" t="s">
        <v>2505</v>
      </c>
      <c r="F3678" s="6">
        <v>7020</v>
      </c>
    </row>
    <row r="3679" spans="1:6" x14ac:dyDescent="0.15">
      <c r="A3679" s="5" t="s">
        <v>40</v>
      </c>
      <c r="B3679" s="5" t="s">
        <v>2504</v>
      </c>
      <c r="C3679" s="9">
        <v>43906</v>
      </c>
      <c r="D3679" s="5" t="s">
        <v>16</v>
      </c>
      <c r="E3679" s="5" t="s">
        <v>2505</v>
      </c>
      <c r="F3679" s="6">
        <v>1800</v>
      </c>
    </row>
    <row r="3680" spans="1:6" x14ac:dyDescent="0.15">
      <c r="A3680" s="5" t="s">
        <v>41</v>
      </c>
      <c r="B3680" s="5" t="s">
        <v>2028</v>
      </c>
      <c r="C3680" s="9">
        <v>43906</v>
      </c>
      <c r="D3680" s="5" t="s">
        <v>16</v>
      </c>
      <c r="E3680" s="5" t="s">
        <v>2029</v>
      </c>
      <c r="F3680" s="6">
        <v>4074</v>
      </c>
    </row>
    <row r="3681" spans="1:6" x14ac:dyDescent="0.15">
      <c r="A3681" s="5" t="s">
        <v>37</v>
      </c>
      <c r="B3681" s="5" t="s">
        <v>7651</v>
      </c>
      <c r="C3681" s="9">
        <v>43906</v>
      </c>
      <c r="D3681" s="5" t="s">
        <v>16</v>
      </c>
      <c r="E3681" s="5" t="s">
        <v>7652</v>
      </c>
      <c r="F3681" s="6">
        <v>3705</v>
      </c>
    </row>
    <row r="3682" spans="1:6" x14ac:dyDescent="0.15">
      <c r="A3682" s="5" t="s">
        <v>40</v>
      </c>
      <c r="B3682" s="5" t="s">
        <v>2506</v>
      </c>
      <c r="C3682" s="9">
        <v>43906</v>
      </c>
      <c r="D3682" s="5" t="s">
        <v>16</v>
      </c>
      <c r="E3682" s="5" t="s">
        <v>2507</v>
      </c>
      <c r="F3682" s="6">
        <v>900</v>
      </c>
    </row>
    <row r="3683" spans="1:6" x14ac:dyDescent="0.15">
      <c r="A3683" s="5" t="s">
        <v>37</v>
      </c>
      <c r="B3683" s="5" t="s">
        <v>7653</v>
      </c>
      <c r="C3683" s="9">
        <v>43907</v>
      </c>
      <c r="D3683" s="5" t="s">
        <v>16</v>
      </c>
      <c r="E3683" s="5" t="s">
        <v>7654</v>
      </c>
      <c r="F3683" s="6">
        <v>2047.5</v>
      </c>
    </row>
    <row r="3684" spans="1:6" x14ac:dyDescent="0.15">
      <c r="A3684" s="5" t="s">
        <v>37</v>
      </c>
      <c r="B3684" s="5" t="s">
        <v>7655</v>
      </c>
      <c r="C3684" s="9">
        <v>43908</v>
      </c>
      <c r="D3684" s="5" t="s">
        <v>16</v>
      </c>
      <c r="E3684" s="5" t="s">
        <v>5215</v>
      </c>
      <c r="F3684" s="6">
        <v>10920</v>
      </c>
    </row>
    <row r="3685" spans="1:6" x14ac:dyDescent="0.15">
      <c r="A3685" s="5" t="s">
        <v>43</v>
      </c>
      <c r="B3685" s="5" t="s">
        <v>5214</v>
      </c>
      <c r="C3685" s="9">
        <v>43908</v>
      </c>
      <c r="D3685" s="5" t="s">
        <v>16</v>
      </c>
      <c r="E3685" s="5" t="s">
        <v>5215</v>
      </c>
      <c r="F3685" s="6">
        <v>1067</v>
      </c>
    </row>
    <row r="3686" spans="1:6" x14ac:dyDescent="0.15">
      <c r="A3686" s="5" t="s">
        <v>49</v>
      </c>
      <c r="B3686" s="5" t="s">
        <v>8686</v>
      </c>
      <c r="C3686" s="9">
        <v>43909</v>
      </c>
      <c r="D3686" s="5" t="s">
        <v>16</v>
      </c>
      <c r="E3686" s="5" t="s">
        <v>8687</v>
      </c>
      <c r="F3686" s="6">
        <v>1000</v>
      </c>
    </row>
    <row r="3687" spans="1:6" x14ac:dyDescent="0.15">
      <c r="A3687" s="5" t="s">
        <v>37</v>
      </c>
      <c r="B3687" s="5" t="s">
        <v>7660</v>
      </c>
      <c r="C3687" s="9">
        <v>43913</v>
      </c>
      <c r="D3687" s="5" t="s">
        <v>16</v>
      </c>
      <c r="E3687" s="5" t="s">
        <v>7661</v>
      </c>
      <c r="F3687" s="6">
        <v>975</v>
      </c>
    </row>
    <row r="3688" spans="1:6" x14ac:dyDescent="0.15">
      <c r="A3688" s="5" t="s">
        <v>37</v>
      </c>
      <c r="B3688" s="5" t="s">
        <v>7662</v>
      </c>
      <c r="C3688" s="9">
        <v>43913</v>
      </c>
      <c r="D3688" s="5" t="s">
        <v>16</v>
      </c>
      <c r="E3688" s="5" t="s">
        <v>7663</v>
      </c>
      <c r="F3688" s="6">
        <v>11310</v>
      </c>
    </row>
    <row r="3689" spans="1:6" x14ac:dyDescent="0.15">
      <c r="A3689" s="5" t="s">
        <v>51</v>
      </c>
      <c r="B3689" s="5" t="s">
        <v>4249</v>
      </c>
      <c r="C3689" s="9">
        <v>43915</v>
      </c>
      <c r="D3689" s="5" t="s">
        <v>16</v>
      </c>
      <c r="E3689" s="5" t="s">
        <v>2282</v>
      </c>
      <c r="F3689" s="6">
        <v>-3900</v>
      </c>
    </row>
    <row r="3690" spans="1:6" x14ac:dyDescent="0.15">
      <c r="A3690" s="5" t="s">
        <v>35</v>
      </c>
      <c r="B3690" s="5" t="s">
        <v>3741</v>
      </c>
      <c r="C3690" s="9">
        <v>43915</v>
      </c>
      <c r="D3690" s="5" t="s">
        <v>16</v>
      </c>
      <c r="E3690" s="5" t="s">
        <v>2282</v>
      </c>
      <c r="F3690" s="6">
        <v>-1950</v>
      </c>
    </row>
    <row r="3691" spans="1:6" x14ac:dyDescent="0.15">
      <c r="A3691" s="5" t="s">
        <v>174</v>
      </c>
      <c r="B3691" s="5" t="s">
        <v>2676</v>
      </c>
      <c r="C3691" s="9">
        <v>43915</v>
      </c>
      <c r="D3691" s="5" t="s">
        <v>16</v>
      </c>
      <c r="E3691" s="5" t="s">
        <v>2282</v>
      </c>
      <c r="F3691" s="6">
        <v>-3000</v>
      </c>
    </row>
    <row r="3692" spans="1:6" x14ac:dyDescent="0.15">
      <c r="A3692" s="5" t="s">
        <v>63</v>
      </c>
      <c r="B3692" s="5" t="s">
        <v>2281</v>
      </c>
      <c r="C3692" s="9">
        <v>43915</v>
      </c>
      <c r="D3692" s="5" t="s">
        <v>16</v>
      </c>
      <c r="E3692" s="5" t="s">
        <v>2282</v>
      </c>
      <c r="F3692" s="6">
        <v>-1843</v>
      </c>
    </row>
    <row r="3693" spans="1:6" x14ac:dyDescent="0.15">
      <c r="A3693" s="5" t="s">
        <v>63</v>
      </c>
      <c r="B3693" s="5" t="s">
        <v>2281</v>
      </c>
      <c r="C3693" s="9">
        <v>43915</v>
      </c>
      <c r="D3693" s="5" t="s">
        <v>16</v>
      </c>
      <c r="E3693" s="5" t="s">
        <v>2282</v>
      </c>
      <c r="F3693" s="6">
        <v>-1552</v>
      </c>
    </row>
    <row r="3694" spans="1:6" x14ac:dyDescent="0.15">
      <c r="A3694" s="5" t="s">
        <v>63</v>
      </c>
      <c r="B3694" s="5" t="s">
        <v>2281</v>
      </c>
      <c r="C3694" s="9">
        <v>43915</v>
      </c>
      <c r="D3694" s="5" t="s">
        <v>16</v>
      </c>
      <c r="E3694" s="5" t="s">
        <v>2282</v>
      </c>
      <c r="F3694" s="6">
        <v>-194</v>
      </c>
    </row>
    <row r="3695" spans="1:6" x14ac:dyDescent="0.15">
      <c r="A3695" s="5" t="s">
        <v>63</v>
      </c>
      <c r="B3695" s="5" t="s">
        <v>2281</v>
      </c>
      <c r="C3695" s="9">
        <v>43915</v>
      </c>
      <c r="D3695" s="5" t="s">
        <v>16</v>
      </c>
      <c r="E3695" s="5" t="s">
        <v>2282</v>
      </c>
      <c r="F3695" s="6">
        <v>-194</v>
      </c>
    </row>
    <row r="3696" spans="1:6" x14ac:dyDescent="0.15">
      <c r="A3696" s="5" t="s">
        <v>63</v>
      </c>
      <c r="B3696" s="5" t="s">
        <v>2281</v>
      </c>
      <c r="C3696" s="9">
        <v>43915</v>
      </c>
      <c r="D3696" s="5" t="s">
        <v>16</v>
      </c>
      <c r="E3696" s="5" t="s">
        <v>2282</v>
      </c>
      <c r="F3696" s="6">
        <v>-97</v>
      </c>
    </row>
    <row r="3697" spans="1:6" x14ac:dyDescent="0.15">
      <c r="A3697" s="5" t="s">
        <v>158</v>
      </c>
      <c r="B3697" s="5" t="s">
        <v>8567</v>
      </c>
      <c r="C3697" s="9">
        <v>43915</v>
      </c>
      <c r="D3697" s="5" t="s">
        <v>16</v>
      </c>
      <c r="E3697" s="5" t="s">
        <v>2282</v>
      </c>
      <c r="F3697" s="6">
        <v>-2028</v>
      </c>
    </row>
    <row r="3698" spans="1:6" x14ac:dyDescent="0.15">
      <c r="A3698" s="5" t="s">
        <v>158</v>
      </c>
      <c r="B3698" s="5" t="s">
        <v>8567</v>
      </c>
      <c r="C3698" s="9">
        <v>43915</v>
      </c>
      <c r="D3698" s="5" t="s">
        <v>16</v>
      </c>
      <c r="E3698" s="5" t="s">
        <v>2282</v>
      </c>
      <c r="F3698" s="6">
        <v>-312</v>
      </c>
    </row>
    <row r="3699" spans="1:6" x14ac:dyDescent="0.15">
      <c r="A3699" s="5" t="s">
        <v>148</v>
      </c>
      <c r="B3699" s="5" t="s">
        <v>5691</v>
      </c>
      <c r="C3699" s="9">
        <v>43915</v>
      </c>
      <c r="D3699" s="5" t="s">
        <v>16</v>
      </c>
      <c r="E3699" s="5" t="s">
        <v>2282</v>
      </c>
      <c r="F3699" s="6">
        <v>-5771.5</v>
      </c>
    </row>
    <row r="3700" spans="1:6" x14ac:dyDescent="0.15">
      <c r="A3700" s="5" t="s">
        <v>148</v>
      </c>
      <c r="B3700" s="5" t="s">
        <v>5691</v>
      </c>
      <c r="C3700" s="9">
        <v>43915</v>
      </c>
      <c r="D3700" s="5" t="s">
        <v>16</v>
      </c>
      <c r="E3700" s="5" t="s">
        <v>2282</v>
      </c>
      <c r="F3700" s="6">
        <v>-48.5</v>
      </c>
    </row>
    <row r="3701" spans="1:6" x14ac:dyDescent="0.15">
      <c r="A3701" s="5" t="s">
        <v>158</v>
      </c>
      <c r="B3701" s="5" t="s">
        <v>8568</v>
      </c>
      <c r="C3701" s="9">
        <v>43915</v>
      </c>
      <c r="D3701" s="5" t="s">
        <v>16</v>
      </c>
      <c r="E3701" s="5" t="s">
        <v>8569</v>
      </c>
      <c r="F3701" s="6">
        <v>-15210</v>
      </c>
    </row>
    <row r="3702" spans="1:6" x14ac:dyDescent="0.15">
      <c r="A3702" s="5" t="s">
        <v>158</v>
      </c>
      <c r="B3702" s="5" t="s">
        <v>8570</v>
      </c>
      <c r="C3702" s="9">
        <v>43917</v>
      </c>
      <c r="D3702" s="5" t="s">
        <v>16</v>
      </c>
      <c r="E3702" s="5" t="s">
        <v>8571</v>
      </c>
      <c r="F3702" s="6">
        <v>15210</v>
      </c>
    </row>
    <row r="3703" spans="1:6" x14ac:dyDescent="0.15">
      <c r="A3703" s="5" t="s">
        <v>51</v>
      </c>
      <c r="B3703" s="5" t="s">
        <v>4250</v>
      </c>
      <c r="C3703" s="9">
        <v>43917</v>
      </c>
      <c r="D3703" s="5" t="s">
        <v>16</v>
      </c>
      <c r="E3703" s="5" t="s">
        <v>2284</v>
      </c>
      <c r="F3703" s="6">
        <v>3900</v>
      </c>
    </row>
    <row r="3704" spans="1:6" x14ac:dyDescent="0.15">
      <c r="A3704" s="5" t="s">
        <v>35</v>
      </c>
      <c r="B3704" s="5" t="s">
        <v>3742</v>
      </c>
      <c r="C3704" s="9">
        <v>43917</v>
      </c>
      <c r="D3704" s="5" t="s">
        <v>16</v>
      </c>
      <c r="E3704" s="5" t="s">
        <v>2284</v>
      </c>
      <c r="F3704" s="6">
        <v>1950</v>
      </c>
    </row>
    <row r="3705" spans="1:6" x14ac:dyDescent="0.15">
      <c r="A3705" s="5" t="s">
        <v>174</v>
      </c>
      <c r="B3705" s="5" t="s">
        <v>2677</v>
      </c>
      <c r="C3705" s="9">
        <v>43917</v>
      </c>
      <c r="D3705" s="5" t="s">
        <v>16</v>
      </c>
      <c r="E3705" s="5" t="s">
        <v>2284</v>
      </c>
      <c r="F3705" s="6">
        <v>3000</v>
      </c>
    </row>
    <row r="3706" spans="1:6" x14ac:dyDescent="0.15">
      <c r="A3706" s="5" t="s">
        <v>63</v>
      </c>
      <c r="B3706" s="5" t="s">
        <v>2283</v>
      </c>
      <c r="C3706" s="9">
        <v>43917</v>
      </c>
      <c r="D3706" s="5" t="s">
        <v>16</v>
      </c>
      <c r="E3706" s="5" t="s">
        <v>2284</v>
      </c>
      <c r="F3706" s="6">
        <v>3880</v>
      </c>
    </row>
    <row r="3707" spans="1:6" x14ac:dyDescent="0.15">
      <c r="A3707" s="5" t="s">
        <v>158</v>
      </c>
      <c r="B3707" s="5" t="s">
        <v>8572</v>
      </c>
      <c r="C3707" s="9">
        <v>43917</v>
      </c>
      <c r="D3707" s="5" t="s">
        <v>16</v>
      </c>
      <c r="E3707" s="5" t="s">
        <v>2284</v>
      </c>
      <c r="F3707" s="6">
        <v>2340</v>
      </c>
    </row>
    <row r="3708" spans="1:6" x14ac:dyDescent="0.15">
      <c r="A3708" s="5" t="s">
        <v>148</v>
      </c>
      <c r="B3708" s="5" t="s">
        <v>5692</v>
      </c>
      <c r="C3708" s="9">
        <v>43917</v>
      </c>
      <c r="D3708" s="5" t="s">
        <v>16</v>
      </c>
      <c r="E3708" s="5" t="s">
        <v>2284</v>
      </c>
      <c r="F3708" s="6">
        <v>5820</v>
      </c>
    </row>
    <row r="3709" spans="1:6" x14ac:dyDescent="0.15">
      <c r="A3709" s="5" t="s">
        <v>44</v>
      </c>
      <c r="B3709" s="5" t="s">
        <v>4415</v>
      </c>
      <c r="C3709" s="9">
        <v>43931</v>
      </c>
      <c r="D3709" s="5" t="s">
        <v>16</v>
      </c>
      <c r="E3709" s="5" t="s">
        <v>4416</v>
      </c>
      <c r="F3709" s="6">
        <v>23530</v>
      </c>
    </row>
    <row r="3710" spans="1:6" x14ac:dyDescent="0.15">
      <c r="A3710" s="5" t="s">
        <v>43</v>
      </c>
      <c r="B3710" s="5" t="s">
        <v>5226</v>
      </c>
      <c r="C3710" s="9">
        <v>43924</v>
      </c>
      <c r="D3710" s="5" t="s">
        <v>16</v>
      </c>
      <c r="E3710" s="5" t="s">
        <v>2214</v>
      </c>
      <c r="F3710" s="6">
        <v>1940</v>
      </c>
    </row>
    <row r="3711" spans="1:6" x14ac:dyDescent="0.15">
      <c r="A3711" s="5" t="s">
        <v>37</v>
      </c>
      <c r="B3711" s="5" t="s">
        <v>7676</v>
      </c>
      <c r="C3711" s="9">
        <v>43924</v>
      </c>
      <c r="D3711" s="5" t="s">
        <v>16</v>
      </c>
      <c r="E3711" s="5" t="s">
        <v>2214</v>
      </c>
      <c r="F3711" s="6">
        <v>15600</v>
      </c>
    </row>
    <row r="3712" spans="1:6" x14ac:dyDescent="0.15">
      <c r="A3712" s="5" t="s">
        <v>46</v>
      </c>
      <c r="B3712" s="5" t="s">
        <v>2213</v>
      </c>
      <c r="C3712" s="9">
        <v>43924</v>
      </c>
      <c r="D3712" s="5" t="s">
        <v>16</v>
      </c>
      <c r="E3712" s="5" t="s">
        <v>2214</v>
      </c>
      <c r="F3712" s="6">
        <v>1940</v>
      </c>
    </row>
    <row r="3713" spans="1:6" x14ac:dyDescent="0.15">
      <c r="A3713" s="5" t="s">
        <v>44</v>
      </c>
      <c r="B3713" s="5" t="s">
        <v>4414</v>
      </c>
      <c r="C3713" s="9">
        <v>43924</v>
      </c>
      <c r="D3713" s="5" t="s">
        <v>16</v>
      </c>
      <c r="E3713" s="5" t="s">
        <v>2214</v>
      </c>
      <c r="F3713" s="6">
        <v>5850</v>
      </c>
    </row>
    <row r="3714" spans="1:6" x14ac:dyDescent="0.15">
      <c r="A3714" s="5" t="s">
        <v>35</v>
      </c>
      <c r="B3714" s="5" t="s">
        <v>3755</v>
      </c>
      <c r="C3714" s="9">
        <v>43941</v>
      </c>
      <c r="D3714" s="5" t="s">
        <v>16</v>
      </c>
      <c r="E3714" s="5" t="s">
        <v>2514</v>
      </c>
      <c r="F3714" s="6">
        <v>11700</v>
      </c>
    </row>
    <row r="3715" spans="1:6" x14ac:dyDescent="0.15">
      <c r="A3715" s="5" t="s">
        <v>40</v>
      </c>
      <c r="B3715" s="5" t="s">
        <v>2513</v>
      </c>
      <c r="C3715" s="9">
        <v>43941</v>
      </c>
      <c r="D3715" s="5" t="s">
        <v>16</v>
      </c>
      <c r="E3715" s="5" t="s">
        <v>2514</v>
      </c>
      <c r="F3715" s="6">
        <v>1500</v>
      </c>
    </row>
    <row r="3716" spans="1:6" x14ac:dyDescent="0.15">
      <c r="A3716" s="5" t="s">
        <v>37</v>
      </c>
      <c r="B3716" s="5" t="s">
        <v>7693</v>
      </c>
      <c r="C3716" s="9">
        <v>43941</v>
      </c>
      <c r="D3716" s="5" t="s">
        <v>16</v>
      </c>
      <c r="E3716" s="5" t="s">
        <v>2514</v>
      </c>
      <c r="F3716" s="6">
        <v>9750</v>
      </c>
    </row>
    <row r="3717" spans="1:6" x14ac:dyDescent="0.15">
      <c r="A3717" s="5" t="s">
        <v>42</v>
      </c>
      <c r="B3717" s="5" t="s">
        <v>5944</v>
      </c>
      <c r="C3717" s="9">
        <v>43941</v>
      </c>
      <c r="D3717" s="5" t="s">
        <v>16</v>
      </c>
      <c r="E3717" s="5" t="s">
        <v>2514</v>
      </c>
      <c r="F3717" s="6">
        <v>1500</v>
      </c>
    </row>
    <row r="3718" spans="1:6" x14ac:dyDescent="0.15">
      <c r="A3718" s="5" t="s">
        <v>37</v>
      </c>
      <c r="B3718" s="5" t="s">
        <v>7677</v>
      </c>
      <c r="C3718" s="9">
        <v>43927</v>
      </c>
      <c r="D3718" s="5" t="s">
        <v>16</v>
      </c>
      <c r="E3718" s="5" t="s">
        <v>7678</v>
      </c>
      <c r="F3718" s="6">
        <v>25350</v>
      </c>
    </row>
    <row r="3719" spans="1:6" x14ac:dyDescent="0.15">
      <c r="A3719" s="5" t="s">
        <v>35</v>
      </c>
      <c r="B3719" s="5" t="s">
        <v>3743</v>
      </c>
      <c r="C3719" s="9">
        <v>43920</v>
      </c>
      <c r="D3719" s="5" t="s">
        <v>16</v>
      </c>
      <c r="E3719" s="5" t="s">
        <v>3744</v>
      </c>
      <c r="F3719" s="6">
        <v>780</v>
      </c>
    </row>
    <row r="3720" spans="1:6" x14ac:dyDescent="0.15">
      <c r="A3720" s="5" t="s">
        <v>40</v>
      </c>
      <c r="B3720" s="5" t="s">
        <v>2508</v>
      </c>
      <c r="C3720" s="9">
        <v>43927</v>
      </c>
      <c r="D3720" s="5" t="s">
        <v>16</v>
      </c>
      <c r="E3720" s="5" t="s">
        <v>2509</v>
      </c>
      <c r="F3720" s="6">
        <v>3000</v>
      </c>
    </row>
    <row r="3721" spans="1:6" x14ac:dyDescent="0.15">
      <c r="A3721" s="5" t="s">
        <v>35</v>
      </c>
      <c r="B3721" s="5" t="s">
        <v>3747</v>
      </c>
      <c r="C3721" s="9">
        <v>43927</v>
      </c>
      <c r="D3721" s="5" t="s">
        <v>16</v>
      </c>
      <c r="E3721" s="5" t="s">
        <v>2509</v>
      </c>
      <c r="F3721" s="6">
        <v>17550</v>
      </c>
    </row>
    <row r="3722" spans="1:6" x14ac:dyDescent="0.15">
      <c r="A3722" s="5" t="s">
        <v>174</v>
      </c>
      <c r="B3722" s="5" t="s">
        <v>2678</v>
      </c>
      <c r="C3722" s="9">
        <v>43927</v>
      </c>
      <c r="D3722" s="5" t="s">
        <v>16</v>
      </c>
      <c r="E3722" s="5" t="s">
        <v>2509</v>
      </c>
      <c r="F3722" s="6">
        <v>3000</v>
      </c>
    </row>
    <row r="3723" spans="1:6" x14ac:dyDescent="0.15">
      <c r="A3723" s="5" t="s">
        <v>37</v>
      </c>
      <c r="B3723" s="5" t="s">
        <v>7679</v>
      </c>
      <c r="C3723" s="9">
        <v>43927</v>
      </c>
      <c r="D3723" s="5" t="s">
        <v>16</v>
      </c>
      <c r="E3723" s="5" t="s">
        <v>7680</v>
      </c>
      <c r="F3723" s="6">
        <v>25350</v>
      </c>
    </row>
    <row r="3724" spans="1:6" x14ac:dyDescent="0.15">
      <c r="A3724" s="5" t="s">
        <v>64</v>
      </c>
      <c r="B3724" s="5" t="s">
        <v>6136</v>
      </c>
      <c r="C3724" s="9">
        <v>43935</v>
      </c>
      <c r="D3724" s="5" t="s">
        <v>16</v>
      </c>
      <c r="E3724" s="5" t="s">
        <v>6137</v>
      </c>
      <c r="F3724" s="6">
        <v>3000</v>
      </c>
    </row>
    <row r="3725" spans="1:6" x14ac:dyDescent="0.15">
      <c r="A3725" s="5" t="s">
        <v>58</v>
      </c>
      <c r="B3725" s="5" t="s">
        <v>6190</v>
      </c>
      <c r="C3725" s="9">
        <v>43935</v>
      </c>
      <c r="D3725" s="5" t="s">
        <v>16</v>
      </c>
      <c r="E3725" s="5" t="s">
        <v>6137</v>
      </c>
      <c r="F3725" s="6">
        <v>2250</v>
      </c>
    </row>
    <row r="3726" spans="1:6" x14ac:dyDescent="0.15">
      <c r="A3726" s="5" t="s">
        <v>158</v>
      </c>
      <c r="B3726" s="5" t="s">
        <v>8573</v>
      </c>
      <c r="C3726" s="9">
        <v>43935</v>
      </c>
      <c r="D3726" s="5" t="s">
        <v>16</v>
      </c>
      <c r="E3726" s="5" t="s">
        <v>6137</v>
      </c>
      <c r="F3726" s="6">
        <v>10530</v>
      </c>
    </row>
    <row r="3727" spans="1:6" x14ac:dyDescent="0.15">
      <c r="A3727" s="5" t="s">
        <v>44</v>
      </c>
      <c r="B3727" s="5" t="s">
        <v>4419</v>
      </c>
      <c r="C3727" s="9">
        <v>43941</v>
      </c>
      <c r="D3727" s="5" t="s">
        <v>16</v>
      </c>
      <c r="E3727" s="5" t="s">
        <v>4420</v>
      </c>
      <c r="F3727" s="6">
        <v>19500</v>
      </c>
    </row>
    <row r="3728" spans="1:6" x14ac:dyDescent="0.15">
      <c r="A3728" s="5" t="s">
        <v>37</v>
      </c>
      <c r="B3728" s="5" t="s">
        <v>7674</v>
      </c>
      <c r="C3728" s="9">
        <v>43923</v>
      </c>
      <c r="D3728" s="5" t="s">
        <v>16</v>
      </c>
      <c r="E3728" s="5" t="s">
        <v>7675</v>
      </c>
      <c r="F3728" s="6">
        <v>585</v>
      </c>
    </row>
    <row r="3729" spans="1:6" x14ac:dyDescent="0.15">
      <c r="A3729" s="5" t="s">
        <v>43</v>
      </c>
      <c r="B3729" s="5" t="s">
        <v>5224</v>
      </c>
      <c r="C3729" s="9">
        <v>43923</v>
      </c>
      <c r="D3729" s="5" t="s">
        <v>16</v>
      </c>
      <c r="E3729" s="5" t="s">
        <v>5225</v>
      </c>
      <c r="F3729" s="6">
        <v>97</v>
      </c>
    </row>
    <row r="3730" spans="1:6" x14ac:dyDescent="0.15">
      <c r="A3730" s="5" t="s">
        <v>37</v>
      </c>
      <c r="B3730" s="5" t="s">
        <v>7668</v>
      </c>
      <c r="C3730" s="9">
        <v>43922</v>
      </c>
      <c r="D3730" s="5" t="s">
        <v>16</v>
      </c>
      <c r="E3730" s="5" t="s">
        <v>5219</v>
      </c>
      <c r="F3730" s="6">
        <v>5460</v>
      </c>
    </row>
    <row r="3731" spans="1:6" x14ac:dyDescent="0.15">
      <c r="A3731" s="5" t="s">
        <v>43</v>
      </c>
      <c r="B3731" s="5" t="s">
        <v>5218</v>
      </c>
      <c r="C3731" s="9">
        <v>43922</v>
      </c>
      <c r="D3731" s="5" t="s">
        <v>16</v>
      </c>
      <c r="E3731" s="5" t="s">
        <v>5219</v>
      </c>
      <c r="F3731" s="6">
        <v>485</v>
      </c>
    </row>
    <row r="3732" spans="1:6" x14ac:dyDescent="0.15">
      <c r="A3732" s="5" t="s">
        <v>43</v>
      </c>
      <c r="B3732" s="5" t="s">
        <v>5220</v>
      </c>
      <c r="C3732" s="9">
        <v>43922</v>
      </c>
      <c r="D3732" s="5" t="s">
        <v>16</v>
      </c>
      <c r="E3732" s="5" t="s">
        <v>5221</v>
      </c>
      <c r="F3732" s="6">
        <v>3201</v>
      </c>
    </row>
    <row r="3733" spans="1:6" x14ac:dyDescent="0.15">
      <c r="A3733" s="5" t="s">
        <v>37</v>
      </c>
      <c r="B3733" s="5" t="s">
        <v>7669</v>
      </c>
      <c r="C3733" s="9">
        <v>43922</v>
      </c>
      <c r="D3733" s="5" t="s">
        <v>16</v>
      </c>
      <c r="E3733" s="5" t="s">
        <v>7670</v>
      </c>
      <c r="F3733" s="6">
        <v>4485</v>
      </c>
    </row>
    <row r="3734" spans="1:6" x14ac:dyDescent="0.15">
      <c r="A3734" s="5" t="s">
        <v>37</v>
      </c>
      <c r="B3734" s="5" t="s">
        <v>7671</v>
      </c>
      <c r="C3734" s="9">
        <v>43922</v>
      </c>
      <c r="D3734" s="5" t="s">
        <v>16</v>
      </c>
      <c r="E3734" s="5" t="s">
        <v>7672</v>
      </c>
      <c r="F3734" s="6">
        <v>5557.5</v>
      </c>
    </row>
    <row r="3735" spans="1:6" x14ac:dyDescent="0.15">
      <c r="A3735" s="5" t="s">
        <v>37</v>
      </c>
      <c r="B3735" s="5" t="s">
        <v>7681</v>
      </c>
      <c r="C3735" s="9">
        <v>43927</v>
      </c>
      <c r="D3735" s="5" t="s">
        <v>16</v>
      </c>
      <c r="E3735" s="5" t="s">
        <v>3749</v>
      </c>
      <c r="F3735" s="6">
        <v>3900</v>
      </c>
    </row>
    <row r="3736" spans="1:6" x14ac:dyDescent="0.15">
      <c r="A3736" s="5" t="s">
        <v>35</v>
      </c>
      <c r="B3736" s="5" t="s">
        <v>3748</v>
      </c>
      <c r="C3736" s="9">
        <v>43927</v>
      </c>
      <c r="D3736" s="5" t="s">
        <v>16</v>
      </c>
      <c r="E3736" s="5" t="s">
        <v>3749</v>
      </c>
      <c r="F3736" s="6">
        <v>3900</v>
      </c>
    </row>
    <row r="3737" spans="1:6" x14ac:dyDescent="0.15">
      <c r="A3737" s="5" t="s">
        <v>44</v>
      </c>
      <c r="B3737" s="5" t="s">
        <v>4413</v>
      </c>
      <c r="C3737" s="9">
        <v>43923</v>
      </c>
      <c r="D3737" s="5" t="s">
        <v>16</v>
      </c>
      <c r="E3737" s="5" t="s">
        <v>3746</v>
      </c>
      <c r="F3737" s="6">
        <v>7312.5</v>
      </c>
    </row>
    <row r="3738" spans="1:6" x14ac:dyDescent="0.15">
      <c r="A3738" s="5" t="s">
        <v>35</v>
      </c>
      <c r="B3738" s="5" t="s">
        <v>3745</v>
      </c>
      <c r="C3738" s="9">
        <v>43923</v>
      </c>
      <c r="D3738" s="5" t="s">
        <v>16</v>
      </c>
      <c r="E3738" s="5" t="s">
        <v>3746</v>
      </c>
      <c r="F3738" s="6">
        <v>2437.5</v>
      </c>
    </row>
    <row r="3739" spans="1:6" x14ac:dyDescent="0.15">
      <c r="A3739" s="5" t="s">
        <v>37</v>
      </c>
      <c r="B3739" s="5" t="s">
        <v>7682</v>
      </c>
      <c r="C3739" s="9">
        <v>43928</v>
      </c>
      <c r="D3739" s="5" t="s">
        <v>16</v>
      </c>
      <c r="E3739" s="5" t="s">
        <v>5228</v>
      </c>
      <c r="F3739" s="6">
        <v>-5460</v>
      </c>
    </row>
    <row r="3740" spans="1:6" x14ac:dyDescent="0.15">
      <c r="A3740" s="5" t="s">
        <v>43</v>
      </c>
      <c r="B3740" s="5" t="s">
        <v>5227</v>
      </c>
      <c r="C3740" s="9">
        <v>43928</v>
      </c>
      <c r="D3740" s="5" t="s">
        <v>16</v>
      </c>
      <c r="E3740" s="5" t="s">
        <v>5228</v>
      </c>
      <c r="F3740" s="6">
        <v>-485</v>
      </c>
    </row>
    <row r="3741" spans="1:6" x14ac:dyDescent="0.15">
      <c r="A3741" s="5" t="s">
        <v>43</v>
      </c>
      <c r="B3741" s="5" t="s">
        <v>5222</v>
      </c>
      <c r="C3741" s="9">
        <v>43922</v>
      </c>
      <c r="D3741" s="5" t="s">
        <v>16</v>
      </c>
      <c r="E3741" s="5" t="s">
        <v>5223</v>
      </c>
      <c r="F3741" s="6">
        <v>485</v>
      </c>
    </row>
    <row r="3742" spans="1:6" x14ac:dyDescent="0.15">
      <c r="A3742" s="5" t="s">
        <v>37</v>
      </c>
      <c r="B3742" s="5" t="s">
        <v>7673</v>
      </c>
      <c r="C3742" s="9">
        <v>43922</v>
      </c>
      <c r="D3742" s="5" t="s">
        <v>16</v>
      </c>
      <c r="E3742" s="5" t="s">
        <v>5223</v>
      </c>
      <c r="F3742" s="6">
        <v>5460</v>
      </c>
    </row>
    <row r="3743" spans="1:6" x14ac:dyDescent="0.15">
      <c r="A3743" s="5" t="s">
        <v>37</v>
      </c>
      <c r="B3743" s="5" t="s">
        <v>7683</v>
      </c>
      <c r="C3743" s="9">
        <v>43928</v>
      </c>
      <c r="D3743" s="5" t="s">
        <v>16</v>
      </c>
      <c r="E3743" s="5" t="s">
        <v>7684</v>
      </c>
      <c r="F3743" s="6">
        <v>4875</v>
      </c>
    </row>
    <row r="3744" spans="1:6" x14ac:dyDescent="0.15">
      <c r="A3744" s="5" t="s">
        <v>40</v>
      </c>
      <c r="B3744" s="5" t="s">
        <v>2510</v>
      </c>
      <c r="C3744" s="9">
        <v>43928</v>
      </c>
      <c r="D3744" s="5" t="s">
        <v>16</v>
      </c>
      <c r="E3744" s="5" t="s">
        <v>2031</v>
      </c>
      <c r="F3744" s="6">
        <v>300</v>
      </c>
    </row>
    <row r="3745" spans="1:6" x14ac:dyDescent="0.15">
      <c r="A3745" s="5" t="s">
        <v>41</v>
      </c>
      <c r="B3745" s="5" t="s">
        <v>2030</v>
      </c>
      <c r="C3745" s="9">
        <v>43928</v>
      </c>
      <c r="D3745" s="5" t="s">
        <v>16</v>
      </c>
      <c r="E3745" s="5" t="s">
        <v>2031</v>
      </c>
      <c r="F3745" s="6">
        <v>242.5</v>
      </c>
    </row>
    <row r="3746" spans="1:6" x14ac:dyDescent="0.15">
      <c r="A3746" s="5" t="s">
        <v>43</v>
      </c>
      <c r="B3746" s="5" t="s">
        <v>5229</v>
      </c>
      <c r="C3746" s="9">
        <v>43928</v>
      </c>
      <c r="D3746" s="5" t="s">
        <v>16</v>
      </c>
      <c r="E3746" s="5" t="s">
        <v>5230</v>
      </c>
      <c r="F3746" s="6">
        <v>3443.5</v>
      </c>
    </row>
    <row r="3747" spans="1:6" x14ac:dyDescent="0.15">
      <c r="A3747" s="5" t="s">
        <v>37</v>
      </c>
      <c r="B3747" s="5" t="s">
        <v>7685</v>
      </c>
      <c r="C3747" s="9">
        <v>43929</v>
      </c>
      <c r="D3747" s="5" t="s">
        <v>16</v>
      </c>
      <c r="E3747" s="5" t="s">
        <v>7686</v>
      </c>
      <c r="F3747" s="6">
        <v>13065</v>
      </c>
    </row>
    <row r="3748" spans="1:6" x14ac:dyDescent="0.15">
      <c r="A3748" s="5" t="s">
        <v>37</v>
      </c>
      <c r="B3748" s="5" t="s">
        <v>7687</v>
      </c>
      <c r="C3748" s="9">
        <v>43929</v>
      </c>
      <c r="D3748" s="5" t="s">
        <v>16</v>
      </c>
      <c r="E3748" s="5" t="s">
        <v>5232</v>
      </c>
      <c r="F3748" s="6">
        <v>97.5</v>
      </c>
    </row>
    <row r="3749" spans="1:6" x14ac:dyDescent="0.15">
      <c r="A3749" s="5" t="s">
        <v>43</v>
      </c>
      <c r="B3749" s="5" t="s">
        <v>5231</v>
      </c>
      <c r="C3749" s="9">
        <v>43929</v>
      </c>
      <c r="D3749" s="5" t="s">
        <v>16</v>
      </c>
      <c r="E3749" s="5" t="s">
        <v>5232</v>
      </c>
      <c r="F3749" s="6">
        <v>48.5</v>
      </c>
    </row>
    <row r="3750" spans="1:6" x14ac:dyDescent="0.15">
      <c r="A3750" s="5" t="s">
        <v>37</v>
      </c>
      <c r="B3750" s="5" t="s">
        <v>7688</v>
      </c>
      <c r="C3750" s="9">
        <v>43930</v>
      </c>
      <c r="D3750" s="5" t="s">
        <v>16</v>
      </c>
      <c r="E3750" s="5" t="s">
        <v>7689</v>
      </c>
      <c r="F3750" s="6">
        <v>7507.5</v>
      </c>
    </row>
    <row r="3751" spans="1:6" x14ac:dyDescent="0.15">
      <c r="A3751" s="5" t="s">
        <v>35</v>
      </c>
      <c r="B3751" s="5" t="s">
        <v>3750</v>
      </c>
      <c r="C3751" s="9">
        <v>43930</v>
      </c>
      <c r="D3751" s="5" t="s">
        <v>16</v>
      </c>
      <c r="E3751" s="5" t="s">
        <v>3751</v>
      </c>
      <c r="F3751" s="6">
        <v>292.5</v>
      </c>
    </row>
    <row r="3752" spans="1:6" x14ac:dyDescent="0.15">
      <c r="A3752" s="5" t="s">
        <v>35</v>
      </c>
      <c r="B3752" s="5" t="s">
        <v>3752</v>
      </c>
      <c r="C3752" s="9">
        <v>43931</v>
      </c>
      <c r="D3752" s="5" t="s">
        <v>16</v>
      </c>
      <c r="E3752" s="5" t="s">
        <v>2512</v>
      </c>
      <c r="F3752" s="6">
        <v>390</v>
      </c>
    </row>
    <row r="3753" spans="1:6" x14ac:dyDescent="0.15">
      <c r="A3753" s="5" t="s">
        <v>35</v>
      </c>
      <c r="B3753" s="5" t="s">
        <v>3752</v>
      </c>
      <c r="C3753" s="9">
        <v>43931</v>
      </c>
      <c r="D3753" s="5" t="s">
        <v>16</v>
      </c>
      <c r="E3753" s="5" t="s">
        <v>2512</v>
      </c>
      <c r="F3753" s="6">
        <v>585</v>
      </c>
    </row>
    <row r="3754" spans="1:6" x14ac:dyDescent="0.15">
      <c r="A3754" s="5" t="s">
        <v>40</v>
      </c>
      <c r="B3754" s="5" t="s">
        <v>2511</v>
      </c>
      <c r="C3754" s="9">
        <v>43931</v>
      </c>
      <c r="D3754" s="5" t="s">
        <v>16</v>
      </c>
      <c r="E3754" s="5" t="s">
        <v>2512</v>
      </c>
      <c r="F3754" s="6">
        <v>75</v>
      </c>
    </row>
    <row r="3755" spans="1:6" x14ac:dyDescent="0.15">
      <c r="A3755" s="5" t="s">
        <v>40</v>
      </c>
      <c r="B3755" s="5" t="s">
        <v>2511</v>
      </c>
      <c r="C3755" s="9">
        <v>43931</v>
      </c>
      <c r="D3755" s="5" t="s">
        <v>16</v>
      </c>
      <c r="E3755" s="5" t="s">
        <v>2512</v>
      </c>
      <c r="F3755" s="6">
        <v>375</v>
      </c>
    </row>
    <row r="3756" spans="1:6" x14ac:dyDescent="0.15">
      <c r="A3756" s="5" t="s">
        <v>40</v>
      </c>
      <c r="B3756" s="5" t="s">
        <v>2511</v>
      </c>
      <c r="C3756" s="9">
        <v>43931</v>
      </c>
      <c r="D3756" s="5" t="s">
        <v>16</v>
      </c>
      <c r="E3756" s="5" t="s">
        <v>2512</v>
      </c>
      <c r="F3756" s="6">
        <v>150</v>
      </c>
    </row>
    <row r="3757" spans="1:6" x14ac:dyDescent="0.15">
      <c r="A3757" s="5" t="s">
        <v>37</v>
      </c>
      <c r="B3757" s="5" t="s">
        <v>7690</v>
      </c>
      <c r="C3757" s="9">
        <v>43931</v>
      </c>
      <c r="D3757" s="5" t="s">
        <v>16</v>
      </c>
      <c r="E3757" s="5" t="s">
        <v>7691</v>
      </c>
      <c r="F3757" s="6">
        <v>8677.5</v>
      </c>
    </row>
    <row r="3758" spans="1:6" x14ac:dyDescent="0.15">
      <c r="A3758" s="5" t="s">
        <v>49</v>
      </c>
      <c r="B3758" s="5" t="s">
        <v>8688</v>
      </c>
      <c r="C3758" s="9">
        <v>43931</v>
      </c>
      <c r="D3758" s="5" t="s">
        <v>16</v>
      </c>
      <c r="E3758" s="5" t="s">
        <v>8689</v>
      </c>
      <c r="F3758" s="6">
        <v>14</v>
      </c>
    </row>
    <row r="3759" spans="1:6" x14ac:dyDescent="0.15">
      <c r="A3759" s="5" t="s">
        <v>37</v>
      </c>
      <c r="B3759" s="5" t="s">
        <v>7692</v>
      </c>
      <c r="C3759" s="9">
        <v>43935</v>
      </c>
      <c r="D3759" s="5" t="s">
        <v>16</v>
      </c>
      <c r="E3759" s="5" t="s">
        <v>2033</v>
      </c>
      <c r="F3759" s="6">
        <v>2632.5</v>
      </c>
    </row>
    <row r="3760" spans="1:6" x14ac:dyDescent="0.15">
      <c r="A3760" s="5" t="s">
        <v>41</v>
      </c>
      <c r="B3760" s="5" t="s">
        <v>2032</v>
      </c>
      <c r="C3760" s="9">
        <v>43935</v>
      </c>
      <c r="D3760" s="5" t="s">
        <v>16</v>
      </c>
      <c r="E3760" s="5" t="s">
        <v>2033</v>
      </c>
      <c r="F3760" s="6">
        <v>291</v>
      </c>
    </row>
    <row r="3761" spans="1:6" x14ac:dyDescent="0.15">
      <c r="A3761" s="5" t="s">
        <v>41</v>
      </c>
      <c r="B3761" s="5" t="s">
        <v>2034</v>
      </c>
      <c r="C3761" s="9">
        <v>43935</v>
      </c>
      <c r="D3761" s="5" t="s">
        <v>16</v>
      </c>
      <c r="E3761" s="5" t="s">
        <v>2035</v>
      </c>
      <c r="F3761" s="6">
        <v>388</v>
      </c>
    </row>
    <row r="3762" spans="1:6" x14ac:dyDescent="0.15">
      <c r="A3762" s="5" t="s">
        <v>35</v>
      </c>
      <c r="B3762" s="5" t="s">
        <v>3753</v>
      </c>
      <c r="C3762" s="9">
        <v>43936</v>
      </c>
      <c r="D3762" s="5" t="s">
        <v>16</v>
      </c>
      <c r="E3762" s="5" t="s">
        <v>3754</v>
      </c>
      <c r="F3762" s="6">
        <v>5850</v>
      </c>
    </row>
    <row r="3763" spans="1:6" x14ac:dyDescent="0.15">
      <c r="A3763" s="5" t="s">
        <v>44</v>
      </c>
      <c r="B3763" s="5" t="s">
        <v>4417</v>
      </c>
      <c r="C3763" s="9">
        <v>43936</v>
      </c>
      <c r="D3763" s="5" t="s">
        <v>16</v>
      </c>
      <c r="E3763" s="5" t="s">
        <v>4418</v>
      </c>
      <c r="F3763" s="6">
        <v>1820</v>
      </c>
    </row>
    <row r="3764" spans="1:6" x14ac:dyDescent="0.15">
      <c r="A3764" s="5" t="s">
        <v>41</v>
      </c>
      <c r="B3764" s="5" t="s">
        <v>2036</v>
      </c>
      <c r="C3764" s="9">
        <v>43936</v>
      </c>
      <c r="D3764" s="5" t="s">
        <v>16</v>
      </c>
      <c r="E3764" s="5" t="s">
        <v>2037</v>
      </c>
      <c r="F3764" s="6">
        <v>-388</v>
      </c>
    </row>
    <row r="3765" spans="1:6" x14ac:dyDescent="0.15">
      <c r="A3765" s="5" t="s">
        <v>41</v>
      </c>
      <c r="B3765" s="5" t="s">
        <v>2038</v>
      </c>
      <c r="C3765" s="9">
        <v>43936</v>
      </c>
      <c r="D3765" s="5" t="s">
        <v>16</v>
      </c>
      <c r="E3765" s="5" t="s">
        <v>2039</v>
      </c>
      <c r="F3765" s="6">
        <v>388</v>
      </c>
    </row>
    <row r="3766" spans="1:6" x14ac:dyDescent="0.15">
      <c r="A3766" s="5" t="s">
        <v>43</v>
      </c>
      <c r="B3766" s="5" t="s">
        <v>5233</v>
      </c>
      <c r="C3766" s="9">
        <v>43936</v>
      </c>
      <c r="D3766" s="5" t="s">
        <v>16</v>
      </c>
      <c r="E3766" s="5" t="s">
        <v>5234</v>
      </c>
      <c r="F3766" s="6">
        <v>2473.5</v>
      </c>
    </row>
    <row r="3767" spans="1:6" x14ac:dyDescent="0.15">
      <c r="A3767" s="5" t="s">
        <v>43</v>
      </c>
      <c r="B3767" s="5" t="s">
        <v>5235</v>
      </c>
      <c r="C3767" s="9">
        <v>43937</v>
      </c>
      <c r="D3767" s="5" t="s">
        <v>16</v>
      </c>
      <c r="E3767" s="5" t="s">
        <v>5236</v>
      </c>
      <c r="F3767" s="6">
        <v>1406.5</v>
      </c>
    </row>
    <row r="3768" spans="1:6" x14ac:dyDescent="0.15">
      <c r="A3768" s="5" t="s">
        <v>58</v>
      </c>
      <c r="B3768" s="5" t="s">
        <v>6191</v>
      </c>
      <c r="C3768" s="9">
        <v>43945</v>
      </c>
      <c r="D3768" s="5" t="s">
        <v>16</v>
      </c>
      <c r="E3768" s="5" t="s">
        <v>6192</v>
      </c>
      <c r="F3768" s="6">
        <v>3375</v>
      </c>
    </row>
    <row r="3769" spans="1:6" x14ac:dyDescent="0.15">
      <c r="A3769" s="5" t="s">
        <v>158</v>
      </c>
      <c r="B3769" s="5" t="s">
        <v>8574</v>
      </c>
      <c r="C3769" s="9">
        <v>43945</v>
      </c>
      <c r="D3769" s="5" t="s">
        <v>16</v>
      </c>
      <c r="E3769" s="5" t="s">
        <v>6192</v>
      </c>
      <c r="F3769" s="6">
        <v>11700</v>
      </c>
    </row>
    <row r="3770" spans="1:6" x14ac:dyDescent="0.15">
      <c r="A3770" s="5" t="s">
        <v>43</v>
      </c>
      <c r="B3770" s="5" t="s">
        <v>5237</v>
      </c>
      <c r="C3770" s="9">
        <v>43941</v>
      </c>
      <c r="D3770" s="5" t="s">
        <v>16</v>
      </c>
      <c r="E3770" s="5" t="s">
        <v>5238</v>
      </c>
      <c r="F3770" s="6">
        <v>3443.5</v>
      </c>
    </row>
    <row r="3771" spans="1:6" x14ac:dyDescent="0.15">
      <c r="A3771" s="5" t="s">
        <v>35</v>
      </c>
      <c r="B3771" s="5" t="s">
        <v>3756</v>
      </c>
      <c r="C3771" s="9">
        <v>43941</v>
      </c>
      <c r="D3771" s="5" t="s">
        <v>16</v>
      </c>
      <c r="E3771" s="5" t="s">
        <v>2041</v>
      </c>
      <c r="F3771" s="6">
        <v>975</v>
      </c>
    </row>
    <row r="3772" spans="1:6" x14ac:dyDescent="0.15">
      <c r="A3772" s="5" t="s">
        <v>40</v>
      </c>
      <c r="B3772" s="5" t="s">
        <v>2515</v>
      </c>
      <c r="C3772" s="9">
        <v>43941</v>
      </c>
      <c r="D3772" s="5" t="s">
        <v>16</v>
      </c>
      <c r="E3772" s="5" t="s">
        <v>2041</v>
      </c>
      <c r="F3772" s="6">
        <v>225</v>
      </c>
    </row>
    <row r="3773" spans="1:6" x14ac:dyDescent="0.15">
      <c r="A3773" s="5" t="s">
        <v>41</v>
      </c>
      <c r="B3773" s="5" t="s">
        <v>2040</v>
      </c>
      <c r="C3773" s="9">
        <v>43941</v>
      </c>
      <c r="D3773" s="5" t="s">
        <v>16</v>
      </c>
      <c r="E3773" s="5" t="s">
        <v>2041</v>
      </c>
      <c r="F3773" s="6">
        <v>194</v>
      </c>
    </row>
    <row r="3774" spans="1:6" x14ac:dyDescent="0.15">
      <c r="A3774" s="5" t="s">
        <v>43</v>
      </c>
      <c r="B3774" s="5" t="s">
        <v>5239</v>
      </c>
      <c r="C3774" s="9">
        <v>43941</v>
      </c>
      <c r="D3774" s="5" t="s">
        <v>16</v>
      </c>
      <c r="E3774" s="5" t="s">
        <v>5240</v>
      </c>
      <c r="F3774" s="6">
        <v>339.5</v>
      </c>
    </row>
    <row r="3775" spans="1:6" x14ac:dyDescent="0.15">
      <c r="A3775" s="5" t="s">
        <v>37</v>
      </c>
      <c r="B3775" s="5" t="s">
        <v>7694</v>
      </c>
      <c r="C3775" s="9">
        <v>43941</v>
      </c>
      <c r="D3775" s="5" t="s">
        <v>16</v>
      </c>
      <c r="E3775" s="5" t="s">
        <v>5240</v>
      </c>
      <c r="F3775" s="6">
        <v>1560</v>
      </c>
    </row>
    <row r="3776" spans="1:6" x14ac:dyDescent="0.15">
      <c r="A3776" s="5" t="s">
        <v>49</v>
      </c>
      <c r="B3776" s="5" t="s">
        <v>8690</v>
      </c>
      <c r="C3776" s="9">
        <v>43941</v>
      </c>
      <c r="D3776" s="5" t="s">
        <v>16</v>
      </c>
      <c r="E3776" s="5" t="s">
        <v>8691</v>
      </c>
      <c r="F3776" s="6">
        <v>150</v>
      </c>
    </row>
    <row r="3777" spans="1:6" x14ac:dyDescent="0.15">
      <c r="A3777" s="5" t="s">
        <v>37</v>
      </c>
      <c r="B3777" s="5" t="s">
        <v>7695</v>
      </c>
      <c r="C3777" s="9">
        <v>43941</v>
      </c>
      <c r="D3777" s="5" t="s">
        <v>16</v>
      </c>
      <c r="E3777" s="5" t="s">
        <v>7696</v>
      </c>
      <c r="F3777" s="6">
        <v>11700</v>
      </c>
    </row>
    <row r="3778" spans="1:6" x14ac:dyDescent="0.15">
      <c r="A3778" s="5" t="s">
        <v>37</v>
      </c>
      <c r="B3778" s="5" t="s">
        <v>7698</v>
      </c>
      <c r="C3778" s="9">
        <v>43942</v>
      </c>
      <c r="D3778" s="5" t="s">
        <v>16</v>
      </c>
      <c r="E3778" s="5" t="s">
        <v>5244</v>
      </c>
      <c r="F3778" s="6">
        <v>15990</v>
      </c>
    </row>
    <row r="3779" spans="1:6" x14ac:dyDescent="0.15">
      <c r="A3779" s="5" t="s">
        <v>42</v>
      </c>
      <c r="B3779" s="5" t="s">
        <v>5945</v>
      </c>
      <c r="C3779" s="9">
        <v>43942</v>
      </c>
      <c r="D3779" s="5" t="s">
        <v>16</v>
      </c>
      <c r="E3779" s="5" t="s">
        <v>5244</v>
      </c>
      <c r="F3779" s="6">
        <v>6150</v>
      </c>
    </row>
    <row r="3780" spans="1:6" x14ac:dyDescent="0.15">
      <c r="A3780" s="5" t="s">
        <v>43</v>
      </c>
      <c r="B3780" s="5" t="s">
        <v>5243</v>
      </c>
      <c r="C3780" s="9">
        <v>43942</v>
      </c>
      <c r="D3780" s="5" t="s">
        <v>16</v>
      </c>
      <c r="E3780" s="5" t="s">
        <v>5244</v>
      </c>
      <c r="F3780" s="6">
        <v>3977</v>
      </c>
    </row>
    <row r="3781" spans="1:6" x14ac:dyDescent="0.15">
      <c r="A3781" s="5" t="s">
        <v>43</v>
      </c>
      <c r="B3781" s="5" t="s">
        <v>5241</v>
      </c>
      <c r="C3781" s="9">
        <v>43941</v>
      </c>
      <c r="D3781" s="5" t="s">
        <v>16</v>
      </c>
      <c r="E3781" s="5" t="s">
        <v>5242</v>
      </c>
      <c r="F3781" s="6">
        <v>291</v>
      </c>
    </row>
    <row r="3782" spans="1:6" x14ac:dyDescent="0.15">
      <c r="A3782" s="5" t="s">
        <v>37</v>
      </c>
      <c r="B3782" s="5" t="s">
        <v>7697</v>
      </c>
      <c r="C3782" s="9">
        <v>43941</v>
      </c>
      <c r="D3782" s="5" t="s">
        <v>16</v>
      </c>
      <c r="E3782" s="5" t="s">
        <v>5242</v>
      </c>
      <c r="F3782" s="6">
        <v>195</v>
      </c>
    </row>
    <row r="3783" spans="1:6" x14ac:dyDescent="0.15">
      <c r="A3783" s="5" t="s">
        <v>35</v>
      </c>
      <c r="B3783" s="5" t="s">
        <v>3762</v>
      </c>
      <c r="C3783" s="9">
        <v>43948</v>
      </c>
      <c r="D3783" s="5" t="s">
        <v>16</v>
      </c>
      <c r="E3783" s="5" t="s">
        <v>2045</v>
      </c>
      <c r="F3783" s="6">
        <v>8190</v>
      </c>
    </row>
    <row r="3784" spans="1:6" x14ac:dyDescent="0.15">
      <c r="A3784" s="5" t="s">
        <v>40</v>
      </c>
      <c r="B3784" s="5" t="s">
        <v>2522</v>
      </c>
      <c r="C3784" s="9">
        <v>43948</v>
      </c>
      <c r="D3784" s="5" t="s">
        <v>16</v>
      </c>
      <c r="E3784" s="5" t="s">
        <v>2045</v>
      </c>
      <c r="F3784" s="6">
        <v>3375</v>
      </c>
    </row>
    <row r="3785" spans="1:6" x14ac:dyDescent="0.15">
      <c r="A3785" s="5" t="s">
        <v>41</v>
      </c>
      <c r="B3785" s="5" t="s">
        <v>2044</v>
      </c>
      <c r="C3785" s="9">
        <v>43948</v>
      </c>
      <c r="D3785" s="5" t="s">
        <v>16</v>
      </c>
      <c r="E3785" s="5" t="s">
        <v>2045</v>
      </c>
      <c r="F3785" s="6">
        <v>1988.5</v>
      </c>
    </row>
    <row r="3786" spans="1:6" x14ac:dyDescent="0.15">
      <c r="A3786" s="5" t="s">
        <v>35</v>
      </c>
      <c r="B3786" s="5" t="s">
        <v>3757</v>
      </c>
      <c r="C3786" s="9">
        <v>43942</v>
      </c>
      <c r="D3786" s="5" t="s">
        <v>16</v>
      </c>
      <c r="E3786" s="5" t="s">
        <v>3758</v>
      </c>
      <c r="F3786" s="6">
        <v>1072.5</v>
      </c>
    </row>
    <row r="3787" spans="1:6" x14ac:dyDescent="0.15">
      <c r="A3787" s="5" t="s">
        <v>51</v>
      </c>
      <c r="B3787" s="5" t="s">
        <v>4251</v>
      </c>
      <c r="C3787" s="9">
        <v>43938</v>
      </c>
      <c r="D3787" s="5" t="s">
        <v>16</v>
      </c>
      <c r="E3787" s="5" t="s">
        <v>4252</v>
      </c>
      <c r="F3787" s="6">
        <v>1950</v>
      </c>
    </row>
    <row r="3788" spans="1:6" x14ac:dyDescent="0.15">
      <c r="A3788" s="5" t="s">
        <v>53</v>
      </c>
      <c r="B3788" s="5" t="s">
        <v>8497</v>
      </c>
      <c r="C3788" s="9">
        <v>43938</v>
      </c>
      <c r="D3788" s="5" t="s">
        <v>16</v>
      </c>
      <c r="E3788" s="5" t="s">
        <v>4252</v>
      </c>
      <c r="F3788" s="6">
        <v>23400</v>
      </c>
    </row>
    <row r="3789" spans="1:6" x14ac:dyDescent="0.15">
      <c r="A3789" s="5" t="s">
        <v>35</v>
      </c>
      <c r="B3789" s="5" t="s">
        <v>3759</v>
      </c>
      <c r="C3789" s="9">
        <v>43942</v>
      </c>
      <c r="D3789" s="5" t="s">
        <v>16</v>
      </c>
      <c r="E3789" s="5" t="s">
        <v>3760</v>
      </c>
      <c r="F3789" s="6">
        <v>19500</v>
      </c>
    </row>
    <row r="3790" spans="1:6" x14ac:dyDescent="0.15">
      <c r="A3790" s="5" t="s">
        <v>40</v>
      </c>
      <c r="B3790" s="5" t="s">
        <v>2516</v>
      </c>
      <c r="C3790" s="9">
        <v>43943</v>
      </c>
      <c r="D3790" s="5" t="s">
        <v>16</v>
      </c>
      <c r="E3790" s="5" t="s">
        <v>2517</v>
      </c>
      <c r="F3790" s="6">
        <v>9300</v>
      </c>
    </row>
    <row r="3791" spans="1:6" x14ac:dyDescent="0.15">
      <c r="A3791" s="5" t="s">
        <v>55</v>
      </c>
      <c r="B3791" s="5" t="s">
        <v>4502</v>
      </c>
      <c r="C3791" s="9">
        <v>43943</v>
      </c>
      <c r="D3791" s="5" t="s">
        <v>16</v>
      </c>
      <c r="E3791" s="5" t="s">
        <v>2517</v>
      </c>
      <c r="F3791" s="6">
        <v>500</v>
      </c>
    </row>
    <row r="3792" spans="1:6" x14ac:dyDescent="0.15">
      <c r="A3792" s="5" t="s">
        <v>40</v>
      </c>
      <c r="B3792" s="5" t="s">
        <v>2518</v>
      </c>
      <c r="C3792" s="9">
        <v>43943</v>
      </c>
      <c r="D3792" s="5" t="s">
        <v>16</v>
      </c>
      <c r="E3792" s="5" t="s">
        <v>2519</v>
      </c>
      <c r="F3792" s="6">
        <v>9225</v>
      </c>
    </row>
    <row r="3793" spans="1:6" x14ac:dyDescent="0.15">
      <c r="A3793" s="5" t="s">
        <v>55</v>
      </c>
      <c r="B3793" s="5" t="s">
        <v>4503</v>
      </c>
      <c r="C3793" s="9">
        <v>43943</v>
      </c>
      <c r="D3793" s="5" t="s">
        <v>16</v>
      </c>
      <c r="E3793" s="5" t="s">
        <v>2519</v>
      </c>
      <c r="F3793" s="6">
        <v>500</v>
      </c>
    </row>
    <row r="3794" spans="1:6" x14ac:dyDescent="0.15">
      <c r="A3794" s="5" t="s">
        <v>37</v>
      </c>
      <c r="B3794" s="5" t="s">
        <v>7699</v>
      </c>
      <c r="C3794" s="9">
        <v>43944</v>
      </c>
      <c r="D3794" s="5" t="s">
        <v>16</v>
      </c>
      <c r="E3794" s="5" t="s">
        <v>5246</v>
      </c>
      <c r="F3794" s="6">
        <v>8775</v>
      </c>
    </row>
    <row r="3795" spans="1:6" x14ac:dyDescent="0.15">
      <c r="A3795" s="5" t="s">
        <v>42</v>
      </c>
      <c r="B3795" s="5" t="s">
        <v>5946</v>
      </c>
      <c r="C3795" s="9">
        <v>43944</v>
      </c>
      <c r="D3795" s="5" t="s">
        <v>16</v>
      </c>
      <c r="E3795" s="5" t="s">
        <v>5246</v>
      </c>
      <c r="F3795" s="6">
        <v>150</v>
      </c>
    </row>
    <row r="3796" spans="1:6" x14ac:dyDescent="0.15">
      <c r="A3796" s="5" t="s">
        <v>43</v>
      </c>
      <c r="B3796" s="5" t="s">
        <v>5245</v>
      </c>
      <c r="C3796" s="9">
        <v>43944</v>
      </c>
      <c r="D3796" s="5" t="s">
        <v>16</v>
      </c>
      <c r="E3796" s="5" t="s">
        <v>5246</v>
      </c>
      <c r="F3796" s="6">
        <v>873</v>
      </c>
    </row>
    <row r="3797" spans="1:6" x14ac:dyDescent="0.15">
      <c r="A3797" s="5" t="s">
        <v>37</v>
      </c>
      <c r="B3797" s="5" t="s">
        <v>7700</v>
      </c>
      <c r="C3797" s="9">
        <v>43944</v>
      </c>
      <c r="D3797" s="5" t="s">
        <v>16</v>
      </c>
      <c r="E3797" s="5" t="s">
        <v>7701</v>
      </c>
      <c r="F3797" s="6">
        <v>3217.5</v>
      </c>
    </row>
    <row r="3798" spans="1:6" x14ac:dyDescent="0.15">
      <c r="A3798" s="5" t="s">
        <v>37</v>
      </c>
      <c r="B3798" s="5" t="s">
        <v>7702</v>
      </c>
      <c r="C3798" s="9">
        <v>43944</v>
      </c>
      <c r="D3798" s="5" t="s">
        <v>16</v>
      </c>
      <c r="E3798" s="5" t="s">
        <v>5248</v>
      </c>
      <c r="F3798" s="6">
        <v>5655</v>
      </c>
    </row>
    <row r="3799" spans="1:6" x14ac:dyDescent="0.15">
      <c r="A3799" s="5" t="s">
        <v>43</v>
      </c>
      <c r="B3799" s="5" t="s">
        <v>5247</v>
      </c>
      <c r="C3799" s="9">
        <v>43944</v>
      </c>
      <c r="D3799" s="5" t="s">
        <v>16</v>
      </c>
      <c r="E3799" s="5" t="s">
        <v>5248</v>
      </c>
      <c r="F3799" s="6">
        <v>485</v>
      </c>
    </row>
    <row r="3800" spans="1:6" x14ac:dyDescent="0.15">
      <c r="A3800" s="5" t="s">
        <v>41</v>
      </c>
      <c r="B3800" s="5" t="s">
        <v>2042</v>
      </c>
      <c r="C3800" s="9">
        <v>43944</v>
      </c>
      <c r="D3800" s="5" t="s">
        <v>16</v>
      </c>
      <c r="E3800" s="5" t="s">
        <v>2043</v>
      </c>
      <c r="F3800" s="6">
        <v>388</v>
      </c>
    </row>
    <row r="3801" spans="1:6" x14ac:dyDescent="0.15">
      <c r="A3801" s="5" t="s">
        <v>35</v>
      </c>
      <c r="B3801" s="5" t="s">
        <v>3761</v>
      </c>
      <c r="C3801" s="9">
        <v>43944</v>
      </c>
      <c r="D3801" s="5" t="s">
        <v>16</v>
      </c>
      <c r="E3801" s="5" t="s">
        <v>2521</v>
      </c>
      <c r="F3801" s="6">
        <v>4485</v>
      </c>
    </row>
    <row r="3802" spans="1:6" x14ac:dyDescent="0.15">
      <c r="A3802" s="5" t="s">
        <v>40</v>
      </c>
      <c r="B3802" s="5" t="s">
        <v>2520</v>
      </c>
      <c r="C3802" s="9">
        <v>43944</v>
      </c>
      <c r="D3802" s="5" t="s">
        <v>16</v>
      </c>
      <c r="E3802" s="5" t="s">
        <v>2521</v>
      </c>
      <c r="F3802" s="6">
        <v>3450</v>
      </c>
    </row>
    <row r="3803" spans="1:6" x14ac:dyDescent="0.15">
      <c r="A3803" s="5" t="s">
        <v>37</v>
      </c>
      <c r="B3803" s="5" t="s">
        <v>7703</v>
      </c>
      <c r="C3803" s="9">
        <v>43945</v>
      </c>
      <c r="D3803" s="5" t="s">
        <v>16</v>
      </c>
      <c r="E3803" s="5" t="s">
        <v>7704</v>
      </c>
      <c r="F3803" s="6">
        <v>2047.5</v>
      </c>
    </row>
    <row r="3804" spans="1:6" x14ac:dyDescent="0.15">
      <c r="A3804" s="5" t="s">
        <v>37</v>
      </c>
      <c r="B3804" s="5" t="s">
        <v>7705</v>
      </c>
      <c r="C3804" s="9">
        <v>43948</v>
      </c>
      <c r="D3804" s="5" t="s">
        <v>16</v>
      </c>
      <c r="E3804" s="5" t="s">
        <v>5250</v>
      </c>
      <c r="F3804" s="6">
        <v>-97.5</v>
      </c>
    </row>
    <row r="3805" spans="1:6" x14ac:dyDescent="0.15">
      <c r="A3805" s="5" t="s">
        <v>43</v>
      </c>
      <c r="B3805" s="5" t="s">
        <v>5249</v>
      </c>
      <c r="C3805" s="9">
        <v>43948</v>
      </c>
      <c r="D3805" s="5" t="s">
        <v>16</v>
      </c>
      <c r="E3805" s="5" t="s">
        <v>5250</v>
      </c>
      <c r="F3805" s="6">
        <v>-48.5</v>
      </c>
    </row>
    <row r="3806" spans="1:6" x14ac:dyDescent="0.15">
      <c r="A3806" s="5" t="s">
        <v>43</v>
      </c>
      <c r="B3806" s="5" t="s">
        <v>5251</v>
      </c>
      <c r="C3806" s="9">
        <v>43948</v>
      </c>
      <c r="D3806" s="5" t="s">
        <v>16</v>
      </c>
      <c r="E3806" s="5" t="s">
        <v>5252</v>
      </c>
      <c r="F3806" s="6">
        <v>48.5</v>
      </c>
    </row>
    <row r="3807" spans="1:6" x14ac:dyDescent="0.15">
      <c r="A3807" s="5" t="s">
        <v>37</v>
      </c>
      <c r="B3807" s="5" t="s">
        <v>7706</v>
      </c>
      <c r="C3807" s="9">
        <v>43948</v>
      </c>
      <c r="D3807" s="5" t="s">
        <v>16</v>
      </c>
      <c r="E3807" s="5" t="s">
        <v>5252</v>
      </c>
      <c r="F3807" s="6">
        <v>97.5</v>
      </c>
    </row>
    <row r="3808" spans="1:6" x14ac:dyDescent="0.15">
      <c r="A3808" s="5" t="s">
        <v>43</v>
      </c>
      <c r="B3808" s="5" t="s">
        <v>5253</v>
      </c>
      <c r="C3808" s="9">
        <v>43949</v>
      </c>
      <c r="D3808" s="5" t="s">
        <v>16</v>
      </c>
      <c r="E3808" s="5" t="s">
        <v>5254</v>
      </c>
      <c r="F3808" s="6">
        <v>2037</v>
      </c>
    </row>
    <row r="3809" spans="1:6" x14ac:dyDescent="0.15">
      <c r="A3809" s="5" t="s">
        <v>42</v>
      </c>
      <c r="B3809" s="5" t="s">
        <v>5947</v>
      </c>
      <c r="C3809" s="9">
        <v>43949</v>
      </c>
      <c r="D3809" s="5" t="s">
        <v>16</v>
      </c>
      <c r="E3809" s="5" t="s">
        <v>5948</v>
      </c>
      <c r="F3809" s="6">
        <v>1425</v>
      </c>
    </row>
    <row r="3810" spans="1:6" x14ac:dyDescent="0.15">
      <c r="A3810" s="5" t="s">
        <v>53</v>
      </c>
      <c r="B3810" s="5" t="s">
        <v>8498</v>
      </c>
      <c r="C3810" s="9">
        <v>43950</v>
      </c>
      <c r="D3810" s="5" t="s">
        <v>16</v>
      </c>
      <c r="E3810" s="5" t="s">
        <v>8499</v>
      </c>
      <c r="F3810" s="6">
        <v>97.5</v>
      </c>
    </row>
    <row r="3811" spans="1:6" x14ac:dyDescent="0.15">
      <c r="A3811" s="5" t="s">
        <v>35</v>
      </c>
      <c r="B3811" s="5" t="s">
        <v>3763</v>
      </c>
      <c r="C3811" s="9">
        <v>43951</v>
      </c>
      <c r="D3811" s="5" t="s">
        <v>16</v>
      </c>
      <c r="E3811" s="5" t="s">
        <v>2524</v>
      </c>
      <c r="F3811" s="6">
        <v>-390</v>
      </c>
    </row>
    <row r="3812" spans="1:6" x14ac:dyDescent="0.15">
      <c r="A3812" s="5" t="s">
        <v>40</v>
      </c>
      <c r="B3812" s="5" t="s">
        <v>2523</v>
      </c>
      <c r="C3812" s="9">
        <v>43951</v>
      </c>
      <c r="D3812" s="5" t="s">
        <v>16</v>
      </c>
      <c r="E3812" s="5" t="s">
        <v>2524</v>
      </c>
      <c r="F3812" s="6">
        <v>-375</v>
      </c>
    </row>
    <row r="3813" spans="1:6" x14ac:dyDescent="0.15">
      <c r="A3813" s="5" t="s">
        <v>43</v>
      </c>
      <c r="B3813" s="5" t="s">
        <v>5255</v>
      </c>
      <c r="C3813" s="9">
        <v>43951</v>
      </c>
      <c r="D3813" s="5" t="s">
        <v>16</v>
      </c>
      <c r="E3813" s="5" t="s">
        <v>5256</v>
      </c>
      <c r="F3813" s="6">
        <v>2037</v>
      </c>
    </row>
    <row r="3814" spans="1:6" x14ac:dyDescent="0.15">
      <c r="A3814" s="5" t="s">
        <v>43</v>
      </c>
      <c r="B3814" s="5" t="s">
        <v>5257</v>
      </c>
      <c r="C3814" s="9">
        <v>43951</v>
      </c>
      <c r="D3814" s="5" t="s">
        <v>16</v>
      </c>
      <c r="E3814" s="5" t="s">
        <v>5258</v>
      </c>
      <c r="F3814" s="6">
        <v>3492</v>
      </c>
    </row>
    <row r="3815" spans="1:6" x14ac:dyDescent="0.15">
      <c r="A3815" s="5" t="s">
        <v>37</v>
      </c>
      <c r="B3815" s="5" t="s">
        <v>7707</v>
      </c>
      <c r="C3815" s="9">
        <v>43955</v>
      </c>
      <c r="D3815" s="5" t="s">
        <v>16</v>
      </c>
      <c r="E3815" s="5" t="s">
        <v>7708</v>
      </c>
      <c r="F3815" s="6">
        <v>3802.5</v>
      </c>
    </row>
    <row r="3816" spans="1:6" x14ac:dyDescent="0.15">
      <c r="A3816" s="5" t="s">
        <v>37</v>
      </c>
      <c r="B3816" s="5" t="s">
        <v>7709</v>
      </c>
      <c r="C3816" s="9">
        <v>43955</v>
      </c>
      <c r="D3816" s="5" t="s">
        <v>16</v>
      </c>
      <c r="E3816" s="5" t="s">
        <v>7710</v>
      </c>
      <c r="F3816" s="6">
        <v>3900</v>
      </c>
    </row>
    <row r="3817" spans="1:6" x14ac:dyDescent="0.15">
      <c r="A3817" s="5" t="s">
        <v>37</v>
      </c>
      <c r="B3817" s="5" t="s">
        <v>7711</v>
      </c>
      <c r="C3817" s="9">
        <v>43955</v>
      </c>
      <c r="D3817" s="5" t="s">
        <v>16</v>
      </c>
      <c r="E3817" s="5" t="s">
        <v>7712</v>
      </c>
      <c r="F3817" s="6">
        <v>3315</v>
      </c>
    </row>
    <row r="3818" spans="1:6" x14ac:dyDescent="0.15">
      <c r="A3818" s="5" t="s">
        <v>42</v>
      </c>
      <c r="B3818" s="5" t="s">
        <v>5949</v>
      </c>
      <c r="C3818" s="9">
        <v>43955</v>
      </c>
      <c r="D3818" s="5" t="s">
        <v>16</v>
      </c>
      <c r="E3818" s="5" t="s">
        <v>5950</v>
      </c>
      <c r="F3818" s="6">
        <v>3825</v>
      </c>
    </row>
    <row r="3819" spans="1:6" x14ac:dyDescent="0.15">
      <c r="A3819" s="5" t="s">
        <v>37</v>
      </c>
      <c r="B3819" s="5" t="s">
        <v>7713</v>
      </c>
      <c r="C3819" s="9">
        <v>43955</v>
      </c>
      <c r="D3819" s="5" t="s">
        <v>16</v>
      </c>
      <c r="E3819" s="5" t="s">
        <v>5950</v>
      </c>
      <c r="F3819" s="6">
        <v>4972.5</v>
      </c>
    </row>
    <row r="3820" spans="1:6" x14ac:dyDescent="0.15">
      <c r="A3820" s="5" t="s">
        <v>41</v>
      </c>
      <c r="B3820" s="5" t="s">
        <v>2046</v>
      </c>
      <c r="C3820" s="9">
        <v>43955</v>
      </c>
      <c r="D3820" s="5" t="s">
        <v>16</v>
      </c>
      <c r="E3820" s="5" t="s">
        <v>2047</v>
      </c>
      <c r="F3820" s="6">
        <v>5820</v>
      </c>
    </row>
    <row r="3821" spans="1:6" x14ac:dyDescent="0.15">
      <c r="A3821" s="5" t="s">
        <v>42</v>
      </c>
      <c r="B3821" s="5" t="s">
        <v>5951</v>
      </c>
      <c r="C3821" s="9">
        <v>43955</v>
      </c>
      <c r="D3821" s="5" t="s">
        <v>16</v>
      </c>
      <c r="E3821" s="5" t="s">
        <v>5260</v>
      </c>
      <c r="F3821" s="6">
        <v>4050</v>
      </c>
    </row>
    <row r="3822" spans="1:6" x14ac:dyDescent="0.15">
      <c r="A3822" s="5" t="s">
        <v>43</v>
      </c>
      <c r="B3822" s="5" t="s">
        <v>5259</v>
      </c>
      <c r="C3822" s="9">
        <v>43955</v>
      </c>
      <c r="D3822" s="5" t="s">
        <v>16</v>
      </c>
      <c r="E3822" s="5" t="s">
        <v>5260</v>
      </c>
      <c r="F3822" s="6">
        <v>873</v>
      </c>
    </row>
    <row r="3823" spans="1:6" x14ac:dyDescent="0.15">
      <c r="A3823" s="5" t="s">
        <v>42</v>
      </c>
      <c r="B3823" s="5" t="s">
        <v>5952</v>
      </c>
      <c r="C3823" s="9">
        <v>43955</v>
      </c>
      <c r="D3823" s="5" t="s">
        <v>16</v>
      </c>
      <c r="E3823" s="5" t="s">
        <v>5260</v>
      </c>
      <c r="F3823" s="6">
        <v>-4050</v>
      </c>
    </row>
    <row r="3824" spans="1:6" x14ac:dyDescent="0.15">
      <c r="A3824" s="5" t="s">
        <v>43</v>
      </c>
      <c r="B3824" s="5" t="s">
        <v>5261</v>
      </c>
      <c r="C3824" s="9">
        <v>43955</v>
      </c>
      <c r="D3824" s="5" t="s">
        <v>16</v>
      </c>
      <c r="E3824" s="5" t="s">
        <v>5260</v>
      </c>
      <c r="F3824" s="6">
        <v>-873</v>
      </c>
    </row>
    <row r="3825" spans="1:6" x14ac:dyDescent="0.15">
      <c r="A3825" s="5" t="s">
        <v>43</v>
      </c>
      <c r="B3825" s="5" t="s">
        <v>5262</v>
      </c>
      <c r="C3825" s="9">
        <v>43955</v>
      </c>
      <c r="D3825" s="5" t="s">
        <v>16</v>
      </c>
      <c r="E3825" s="5" t="s">
        <v>5263</v>
      </c>
      <c r="F3825" s="6">
        <v>436.5</v>
      </c>
    </row>
    <row r="3826" spans="1:6" x14ac:dyDescent="0.15">
      <c r="A3826" s="5" t="s">
        <v>42</v>
      </c>
      <c r="B3826" s="5" t="s">
        <v>5953</v>
      </c>
      <c r="C3826" s="9">
        <v>43955</v>
      </c>
      <c r="D3826" s="5" t="s">
        <v>16</v>
      </c>
      <c r="E3826" s="5" t="s">
        <v>5263</v>
      </c>
      <c r="F3826" s="6">
        <v>2025</v>
      </c>
    </row>
    <row r="3827" spans="1:6" x14ac:dyDescent="0.15">
      <c r="A3827" s="5" t="s">
        <v>43</v>
      </c>
      <c r="B3827" s="5" t="s">
        <v>5264</v>
      </c>
      <c r="C3827" s="9">
        <v>43955</v>
      </c>
      <c r="D3827" s="5" t="s">
        <v>16</v>
      </c>
      <c r="E3827" s="5" t="s">
        <v>5263</v>
      </c>
      <c r="F3827" s="6">
        <v>436.5</v>
      </c>
    </row>
    <row r="3828" spans="1:6" x14ac:dyDescent="0.15">
      <c r="A3828" s="5" t="s">
        <v>42</v>
      </c>
      <c r="B3828" s="5" t="s">
        <v>5954</v>
      </c>
      <c r="C3828" s="9">
        <v>43955</v>
      </c>
      <c r="D3828" s="5" t="s">
        <v>16</v>
      </c>
      <c r="E3828" s="5" t="s">
        <v>5263</v>
      </c>
      <c r="F3828" s="6">
        <v>2025</v>
      </c>
    </row>
    <row r="3829" spans="1:6" x14ac:dyDescent="0.15">
      <c r="A3829" s="5" t="s">
        <v>49</v>
      </c>
      <c r="B3829" s="5" t="s">
        <v>8692</v>
      </c>
      <c r="C3829" s="9">
        <v>43956</v>
      </c>
      <c r="D3829" s="5" t="s">
        <v>16</v>
      </c>
      <c r="E3829" s="5" t="s">
        <v>8693</v>
      </c>
      <c r="F3829" s="6">
        <v>650</v>
      </c>
    </row>
    <row r="3830" spans="1:6" x14ac:dyDescent="0.15">
      <c r="A3830" s="5" t="s">
        <v>35</v>
      </c>
      <c r="B3830" s="5" t="s">
        <v>3764</v>
      </c>
      <c r="C3830" s="9">
        <v>43957</v>
      </c>
      <c r="D3830" s="5" t="s">
        <v>16</v>
      </c>
      <c r="E3830" s="5" t="s">
        <v>3765</v>
      </c>
      <c r="F3830" s="6">
        <v>6240</v>
      </c>
    </row>
    <row r="3831" spans="1:6" x14ac:dyDescent="0.15">
      <c r="A3831" s="5" t="s">
        <v>37</v>
      </c>
      <c r="B3831" s="5" t="s">
        <v>7714</v>
      </c>
      <c r="C3831" s="9">
        <v>43957</v>
      </c>
      <c r="D3831" s="5" t="s">
        <v>16</v>
      </c>
      <c r="E3831" s="5" t="s">
        <v>7715</v>
      </c>
      <c r="F3831" s="6">
        <v>2047.5</v>
      </c>
    </row>
    <row r="3832" spans="1:6" x14ac:dyDescent="0.15">
      <c r="A3832" s="5" t="s">
        <v>40</v>
      </c>
      <c r="B3832" s="5" t="s">
        <v>2525</v>
      </c>
      <c r="C3832" s="9">
        <v>43958</v>
      </c>
      <c r="D3832" s="5" t="s">
        <v>16</v>
      </c>
      <c r="E3832" s="5" t="s">
        <v>2526</v>
      </c>
      <c r="F3832" s="6">
        <v>3000</v>
      </c>
    </row>
    <row r="3833" spans="1:6" x14ac:dyDescent="0.15">
      <c r="A3833" s="5" t="s">
        <v>35</v>
      </c>
      <c r="B3833" s="5" t="s">
        <v>3768</v>
      </c>
      <c r="C3833" s="9">
        <v>43958</v>
      </c>
      <c r="D3833" s="5" t="s">
        <v>16</v>
      </c>
      <c r="E3833" s="5" t="s">
        <v>2526</v>
      </c>
      <c r="F3833" s="6">
        <v>3900</v>
      </c>
    </row>
    <row r="3834" spans="1:6" x14ac:dyDescent="0.15">
      <c r="A3834" s="5" t="s">
        <v>35</v>
      </c>
      <c r="B3834" s="5" t="s">
        <v>3766</v>
      </c>
      <c r="C3834" s="9">
        <v>43957</v>
      </c>
      <c r="D3834" s="5" t="s">
        <v>16</v>
      </c>
      <c r="E3834" s="5" t="s">
        <v>3767</v>
      </c>
      <c r="F3834" s="6">
        <v>292.5</v>
      </c>
    </row>
    <row r="3835" spans="1:6" x14ac:dyDescent="0.15">
      <c r="A3835" s="5" t="s">
        <v>41</v>
      </c>
      <c r="B3835" s="5" t="s">
        <v>2048</v>
      </c>
      <c r="C3835" s="9">
        <v>43962</v>
      </c>
      <c r="D3835" s="5" t="s">
        <v>16</v>
      </c>
      <c r="E3835" s="5" t="s">
        <v>2049</v>
      </c>
      <c r="F3835" s="6">
        <v>1940</v>
      </c>
    </row>
    <row r="3836" spans="1:6" x14ac:dyDescent="0.15">
      <c r="A3836" s="5" t="s">
        <v>41</v>
      </c>
      <c r="B3836" s="5" t="s">
        <v>2050</v>
      </c>
      <c r="C3836" s="9">
        <v>43962</v>
      </c>
      <c r="D3836" s="5" t="s">
        <v>16</v>
      </c>
      <c r="E3836" s="5" t="s">
        <v>2051</v>
      </c>
      <c r="F3836" s="6">
        <v>5820</v>
      </c>
    </row>
    <row r="3837" spans="1:6" x14ac:dyDescent="0.15">
      <c r="A3837" s="5" t="s">
        <v>43</v>
      </c>
      <c r="B3837" s="5" t="s">
        <v>5265</v>
      </c>
      <c r="C3837" s="9">
        <v>43959</v>
      </c>
      <c r="D3837" s="5" t="s">
        <v>16</v>
      </c>
      <c r="E3837" s="5" t="s">
        <v>5266</v>
      </c>
      <c r="F3837" s="6">
        <v>291</v>
      </c>
    </row>
    <row r="3838" spans="1:6" x14ac:dyDescent="0.15">
      <c r="A3838" s="5" t="s">
        <v>37</v>
      </c>
      <c r="B3838" s="5" t="s">
        <v>7716</v>
      </c>
      <c r="C3838" s="9">
        <v>43959</v>
      </c>
      <c r="D3838" s="5" t="s">
        <v>16</v>
      </c>
      <c r="E3838" s="5" t="s">
        <v>5266</v>
      </c>
      <c r="F3838" s="6">
        <v>1072.5</v>
      </c>
    </row>
    <row r="3839" spans="1:6" x14ac:dyDescent="0.15">
      <c r="A3839" s="5" t="s">
        <v>37</v>
      </c>
      <c r="B3839" s="5" t="s">
        <v>7717</v>
      </c>
      <c r="C3839" s="9">
        <v>43959</v>
      </c>
      <c r="D3839" s="5" t="s">
        <v>16</v>
      </c>
      <c r="E3839" s="5" t="s">
        <v>7718</v>
      </c>
      <c r="F3839" s="6">
        <v>14235</v>
      </c>
    </row>
    <row r="3840" spans="1:6" x14ac:dyDescent="0.15">
      <c r="A3840" s="5" t="s">
        <v>43</v>
      </c>
      <c r="B3840" s="5" t="s">
        <v>5267</v>
      </c>
      <c r="C3840" s="9">
        <v>43959</v>
      </c>
      <c r="D3840" s="5" t="s">
        <v>16</v>
      </c>
      <c r="E3840" s="5" t="s">
        <v>5268</v>
      </c>
      <c r="F3840" s="6">
        <v>1503.5</v>
      </c>
    </row>
    <row r="3841" spans="1:6" x14ac:dyDescent="0.15">
      <c r="A3841" s="5" t="s">
        <v>37</v>
      </c>
      <c r="B3841" s="5" t="s">
        <v>7719</v>
      </c>
      <c r="C3841" s="9">
        <v>43959</v>
      </c>
      <c r="D3841" s="5" t="s">
        <v>16</v>
      </c>
      <c r="E3841" s="5" t="s">
        <v>7720</v>
      </c>
      <c r="F3841" s="6">
        <v>585</v>
      </c>
    </row>
    <row r="3842" spans="1:6" x14ac:dyDescent="0.15">
      <c r="A3842" s="5" t="s">
        <v>37</v>
      </c>
      <c r="B3842" s="5" t="s">
        <v>7721</v>
      </c>
      <c r="C3842" s="9">
        <v>43959</v>
      </c>
      <c r="D3842" s="5" t="s">
        <v>16</v>
      </c>
      <c r="E3842" s="5" t="s">
        <v>5956</v>
      </c>
      <c r="F3842" s="6">
        <v>4095</v>
      </c>
    </row>
    <row r="3843" spans="1:6" x14ac:dyDescent="0.15">
      <c r="A3843" s="5" t="s">
        <v>42</v>
      </c>
      <c r="B3843" s="5" t="s">
        <v>5955</v>
      </c>
      <c r="C3843" s="9">
        <v>43959</v>
      </c>
      <c r="D3843" s="5" t="s">
        <v>16</v>
      </c>
      <c r="E3843" s="5" t="s">
        <v>5956</v>
      </c>
      <c r="F3843" s="6">
        <v>450</v>
      </c>
    </row>
    <row r="3844" spans="1:6" x14ac:dyDescent="0.15">
      <c r="A3844" s="5" t="s">
        <v>37</v>
      </c>
      <c r="B3844" s="5" t="s">
        <v>7722</v>
      </c>
      <c r="C3844" s="9">
        <v>43959</v>
      </c>
      <c r="D3844" s="5" t="s">
        <v>16</v>
      </c>
      <c r="E3844" s="5" t="s">
        <v>7723</v>
      </c>
      <c r="F3844" s="6">
        <v>487.5</v>
      </c>
    </row>
    <row r="3845" spans="1:6" x14ac:dyDescent="0.15">
      <c r="A3845" s="5" t="s">
        <v>40</v>
      </c>
      <c r="B3845" s="5" t="s">
        <v>2527</v>
      </c>
      <c r="C3845" s="9">
        <v>43962</v>
      </c>
      <c r="D3845" s="5" t="s">
        <v>16</v>
      </c>
      <c r="E3845" s="5" t="s">
        <v>2528</v>
      </c>
      <c r="F3845" s="6">
        <v>675</v>
      </c>
    </row>
    <row r="3846" spans="1:6" x14ac:dyDescent="0.15">
      <c r="A3846" s="5" t="s">
        <v>35</v>
      </c>
      <c r="B3846" s="5" t="s">
        <v>3769</v>
      </c>
      <c r="C3846" s="9">
        <v>43962</v>
      </c>
      <c r="D3846" s="5" t="s">
        <v>16</v>
      </c>
      <c r="E3846" s="5" t="s">
        <v>2528</v>
      </c>
      <c r="F3846" s="6">
        <v>12480</v>
      </c>
    </row>
    <row r="3847" spans="1:6" x14ac:dyDescent="0.15">
      <c r="A3847" s="5" t="s">
        <v>40</v>
      </c>
      <c r="B3847" s="5" t="s">
        <v>2529</v>
      </c>
      <c r="C3847" s="9">
        <v>43962</v>
      </c>
      <c r="D3847" s="5" t="s">
        <v>16</v>
      </c>
      <c r="E3847" s="5" t="s">
        <v>2530</v>
      </c>
      <c r="F3847" s="6">
        <v>3600</v>
      </c>
    </row>
    <row r="3848" spans="1:6" x14ac:dyDescent="0.15">
      <c r="A3848" s="5" t="s">
        <v>35</v>
      </c>
      <c r="B3848" s="5" t="s">
        <v>3770</v>
      </c>
      <c r="C3848" s="9">
        <v>43962</v>
      </c>
      <c r="D3848" s="5" t="s">
        <v>16</v>
      </c>
      <c r="E3848" s="5" t="s">
        <v>2530</v>
      </c>
      <c r="F3848" s="6">
        <v>4680</v>
      </c>
    </row>
    <row r="3849" spans="1:6" x14ac:dyDescent="0.15">
      <c r="A3849" s="5" t="s">
        <v>58</v>
      </c>
      <c r="B3849" s="5" t="s">
        <v>6193</v>
      </c>
      <c r="C3849" s="9">
        <v>43969</v>
      </c>
      <c r="D3849" s="5" t="s">
        <v>16</v>
      </c>
      <c r="E3849" s="5" t="s">
        <v>6194</v>
      </c>
      <c r="F3849" s="6">
        <v>2250</v>
      </c>
    </row>
    <row r="3850" spans="1:6" x14ac:dyDescent="0.15">
      <c r="A3850" s="5" t="s">
        <v>158</v>
      </c>
      <c r="B3850" s="5" t="s">
        <v>8575</v>
      </c>
      <c r="C3850" s="9">
        <v>43969</v>
      </c>
      <c r="D3850" s="5" t="s">
        <v>16</v>
      </c>
      <c r="E3850" s="5" t="s">
        <v>6194</v>
      </c>
      <c r="F3850" s="6">
        <v>12870</v>
      </c>
    </row>
    <row r="3851" spans="1:6" x14ac:dyDescent="0.15">
      <c r="A3851" s="5" t="s">
        <v>46</v>
      </c>
      <c r="B3851" s="5" t="s">
        <v>2215</v>
      </c>
      <c r="C3851" s="9">
        <v>43969</v>
      </c>
      <c r="D3851" s="5" t="s">
        <v>16</v>
      </c>
      <c r="E3851" s="5" t="s">
        <v>2216</v>
      </c>
      <c r="F3851" s="6">
        <v>3880</v>
      </c>
    </row>
    <row r="3852" spans="1:6" x14ac:dyDescent="0.15">
      <c r="A3852" s="5" t="s">
        <v>44</v>
      </c>
      <c r="B3852" s="5" t="s">
        <v>4421</v>
      </c>
      <c r="C3852" s="9">
        <v>43969</v>
      </c>
      <c r="D3852" s="5" t="s">
        <v>16</v>
      </c>
      <c r="E3852" s="5" t="s">
        <v>2216</v>
      </c>
      <c r="F3852" s="6">
        <v>5850</v>
      </c>
    </row>
    <row r="3853" spans="1:6" x14ac:dyDescent="0.15">
      <c r="A3853" s="5" t="s">
        <v>37</v>
      </c>
      <c r="B3853" s="5" t="s">
        <v>7729</v>
      </c>
      <c r="C3853" s="9">
        <v>43969</v>
      </c>
      <c r="D3853" s="5" t="s">
        <v>16</v>
      </c>
      <c r="E3853" s="5" t="s">
        <v>2216</v>
      </c>
      <c r="F3853" s="6">
        <v>15600</v>
      </c>
    </row>
    <row r="3854" spans="1:6" x14ac:dyDescent="0.15">
      <c r="A3854" s="5" t="s">
        <v>35</v>
      </c>
      <c r="B3854" s="5" t="s">
        <v>3771</v>
      </c>
      <c r="C3854" s="9">
        <v>43963</v>
      </c>
      <c r="D3854" s="5" t="s">
        <v>16</v>
      </c>
      <c r="E3854" s="5" t="s">
        <v>3772</v>
      </c>
      <c r="F3854" s="6">
        <v>3900</v>
      </c>
    </row>
    <row r="3855" spans="1:6" x14ac:dyDescent="0.15">
      <c r="A3855" s="5" t="s">
        <v>40</v>
      </c>
      <c r="B3855" s="5" t="s">
        <v>2531</v>
      </c>
      <c r="C3855" s="9">
        <v>43962</v>
      </c>
      <c r="D3855" s="5" t="s">
        <v>16</v>
      </c>
      <c r="E3855" s="5" t="s">
        <v>2532</v>
      </c>
      <c r="F3855" s="6">
        <v>225</v>
      </c>
    </row>
    <row r="3856" spans="1:6" x14ac:dyDescent="0.15">
      <c r="A3856" s="5" t="s">
        <v>43</v>
      </c>
      <c r="B3856" s="5" t="s">
        <v>5269</v>
      </c>
      <c r="C3856" s="9">
        <v>43964</v>
      </c>
      <c r="D3856" s="5" t="s">
        <v>16</v>
      </c>
      <c r="E3856" s="5" t="s">
        <v>5270</v>
      </c>
      <c r="F3856" s="6">
        <v>679</v>
      </c>
    </row>
    <row r="3857" spans="1:6" x14ac:dyDescent="0.15">
      <c r="A3857" s="5" t="s">
        <v>37</v>
      </c>
      <c r="B3857" s="5" t="s">
        <v>7724</v>
      </c>
      <c r="C3857" s="9">
        <v>43964</v>
      </c>
      <c r="D3857" s="5" t="s">
        <v>16</v>
      </c>
      <c r="E3857" s="5" t="s">
        <v>7725</v>
      </c>
      <c r="F3857" s="6">
        <v>3607.5</v>
      </c>
    </row>
    <row r="3858" spans="1:6" x14ac:dyDescent="0.15">
      <c r="A3858" s="5" t="s">
        <v>35</v>
      </c>
      <c r="B3858" s="5" t="s">
        <v>3775</v>
      </c>
      <c r="C3858" s="9">
        <v>43964</v>
      </c>
      <c r="D3858" s="5" t="s">
        <v>16</v>
      </c>
      <c r="E3858" s="5" t="s">
        <v>3776</v>
      </c>
      <c r="F3858" s="6">
        <v>20475</v>
      </c>
    </row>
    <row r="3859" spans="1:6" x14ac:dyDescent="0.15">
      <c r="A3859" s="5" t="s">
        <v>42</v>
      </c>
      <c r="B3859" s="5" t="s">
        <v>5957</v>
      </c>
      <c r="C3859" s="9">
        <v>43964</v>
      </c>
      <c r="D3859" s="5" t="s">
        <v>16</v>
      </c>
      <c r="E3859" s="5" t="s">
        <v>5272</v>
      </c>
      <c r="F3859" s="6">
        <v>2362.5</v>
      </c>
    </row>
    <row r="3860" spans="1:6" x14ac:dyDescent="0.15">
      <c r="A3860" s="5" t="s">
        <v>42</v>
      </c>
      <c r="B3860" s="5" t="s">
        <v>5958</v>
      </c>
      <c r="C3860" s="9">
        <v>43964</v>
      </c>
      <c r="D3860" s="5" t="s">
        <v>16</v>
      </c>
      <c r="E3860" s="5" t="s">
        <v>5272</v>
      </c>
      <c r="F3860" s="6">
        <v>2362.5</v>
      </c>
    </row>
    <row r="3861" spans="1:6" x14ac:dyDescent="0.15">
      <c r="A3861" s="5" t="s">
        <v>43</v>
      </c>
      <c r="B3861" s="5" t="s">
        <v>5271</v>
      </c>
      <c r="C3861" s="9">
        <v>43964</v>
      </c>
      <c r="D3861" s="5" t="s">
        <v>16</v>
      </c>
      <c r="E3861" s="5" t="s">
        <v>5272</v>
      </c>
      <c r="F3861" s="6">
        <v>509.25</v>
      </c>
    </row>
    <row r="3862" spans="1:6" x14ac:dyDescent="0.15">
      <c r="A3862" s="5" t="s">
        <v>43</v>
      </c>
      <c r="B3862" s="5" t="s">
        <v>5273</v>
      </c>
      <c r="C3862" s="9">
        <v>43964</v>
      </c>
      <c r="D3862" s="5" t="s">
        <v>16</v>
      </c>
      <c r="E3862" s="5" t="s">
        <v>5272</v>
      </c>
      <c r="F3862" s="6">
        <v>509.25</v>
      </c>
    </row>
    <row r="3863" spans="1:6" x14ac:dyDescent="0.15">
      <c r="A3863" s="5" t="s">
        <v>35</v>
      </c>
      <c r="B3863" s="5" t="s">
        <v>3777</v>
      </c>
      <c r="C3863" s="9">
        <v>43964</v>
      </c>
      <c r="D3863" s="5" t="s">
        <v>16</v>
      </c>
      <c r="E3863" s="5" t="s">
        <v>3778</v>
      </c>
      <c r="F3863" s="6">
        <v>-3900</v>
      </c>
    </row>
    <row r="3864" spans="1:6" x14ac:dyDescent="0.15">
      <c r="A3864" s="5" t="s">
        <v>35</v>
      </c>
      <c r="B3864" s="5" t="s">
        <v>3773</v>
      </c>
      <c r="C3864" s="9">
        <v>43963</v>
      </c>
      <c r="D3864" s="5" t="s">
        <v>16</v>
      </c>
      <c r="E3864" s="5" t="s">
        <v>3774</v>
      </c>
      <c r="F3864" s="6">
        <v>390</v>
      </c>
    </row>
    <row r="3865" spans="1:6" x14ac:dyDescent="0.15">
      <c r="A3865" s="5" t="s">
        <v>8588</v>
      </c>
      <c r="B3865" s="5" t="s">
        <v>8602</v>
      </c>
      <c r="C3865" s="9">
        <v>43976</v>
      </c>
      <c r="D3865" s="5" t="s">
        <v>16</v>
      </c>
      <c r="E3865" s="5" t="s">
        <v>5279</v>
      </c>
      <c r="F3865" s="6">
        <v>11700</v>
      </c>
    </row>
    <row r="3866" spans="1:6" x14ac:dyDescent="0.15">
      <c r="A3866" s="5" t="s">
        <v>66</v>
      </c>
      <c r="B3866" s="5" t="s">
        <v>5713</v>
      </c>
      <c r="C3866" s="9">
        <v>43976</v>
      </c>
      <c r="D3866" s="5" t="s">
        <v>16</v>
      </c>
      <c r="E3866" s="5" t="s">
        <v>5279</v>
      </c>
      <c r="F3866" s="6">
        <v>1940</v>
      </c>
    </row>
    <row r="3867" spans="1:6" x14ac:dyDescent="0.15">
      <c r="A3867" s="5" t="s">
        <v>43</v>
      </c>
      <c r="B3867" s="5" t="s">
        <v>5278</v>
      </c>
      <c r="C3867" s="9">
        <v>43976</v>
      </c>
      <c r="D3867" s="5" t="s">
        <v>16</v>
      </c>
      <c r="E3867" s="5" t="s">
        <v>5279</v>
      </c>
      <c r="F3867" s="6">
        <v>11640</v>
      </c>
    </row>
    <row r="3868" spans="1:6" x14ac:dyDescent="0.15">
      <c r="A3868" s="5" t="s">
        <v>43</v>
      </c>
      <c r="B3868" s="5" t="s">
        <v>5276</v>
      </c>
      <c r="C3868" s="9">
        <v>43973</v>
      </c>
      <c r="D3868" s="5" t="s">
        <v>16</v>
      </c>
      <c r="E3868" s="5" t="s">
        <v>5277</v>
      </c>
      <c r="F3868" s="6">
        <v>17072</v>
      </c>
    </row>
    <row r="3869" spans="1:6" x14ac:dyDescent="0.15">
      <c r="A3869" s="5" t="s">
        <v>37</v>
      </c>
      <c r="B3869" s="5" t="s">
        <v>7726</v>
      </c>
      <c r="C3869" s="9">
        <v>43965</v>
      </c>
      <c r="D3869" s="5" t="s">
        <v>16</v>
      </c>
      <c r="E3869" s="5" t="s">
        <v>7727</v>
      </c>
      <c r="F3869" s="6">
        <v>3022.5</v>
      </c>
    </row>
    <row r="3870" spans="1:6" x14ac:dyDescent="0.15">
      <c r="A3870" s="5" t="s">
        <v>43</v>
      </c>
      <c r="B3870" s="5" t="s">
        <v>5274</v>
      </c>
      <c r="C3870" s="9">
        <v>43965</v>
      </c>
      <c r="D3870" s="5" t="s">
        <v>16</v>
      </c>
      <c r="E3870" s="5" t="s">
        <v>5275</v>
      </c>
      <c r="F3870" s="6">
        <v>48.5</v>
      </c>
    </row>
    <row r="3871" spans="1:6" x14ac:dyDescent="0.15">
      <c r="A3871" s="5" t="s">
        <v>41</v>
      </c>
      <c r="B3871" s="5" t="s">
        <v>2052</v>
      </c>
      <c r="C3871" s="9">
        <v>43966</v>
      </c>
      <c r="D3871" s="5" t="s">
        <v>16</v>
      </c>
      <c r="E3871" s="5" t="s">
        <v>2053</v>
      </c>
      <c r="F3871" s="6">
        <v>485</v>
      </c>
    </row>
    <row r="3872" spans="1:6" x14ac:dyDescent="0.15">
      <c r="A3872" s="5" t="s">
        <v>35</v>
      </c>
      <c r="B3872" s="5" t="s">
        <v>3779</v>
      </c>
      <c r="C3872" s="9">
        <v>43966</v>
      </c>
      <c r="D3872" s="5" t="s">
        <v>16</v>
      </c>
      <c r="E3872" s="5" t="s">
        <v>2053</v>
      </c>
      <c r="F3872" s="6">
        <v>1950</v>
      </c>
    </row>
    <row r="3873" spans="1:6" x14ac:dyDescent="0.15">
      <c r="A3873" s="5" t="s">
        <v>37</v>
      </c>
      <c r="B3873" s="5" t="s">
        <v>7728</v>
      </c>
      <c r="C3873" s="9">
        <v>43966</v>
      </c>
      <c r="D3873" s="5" t="s">
        <v>16</v>
      </c>
      <c r="E3873" s="5" t="s">
        <v>3781</v>
      </c>
      <c r="F3873" s="6">
        <v>15600</v>
      </c>
    </row>
    <row r="3874" spans="1:6" x14ac:dyDescent="0.15">
      <c r="A3874" s="5" t="s">
        <v>35</v>
      </c>
      <c r="B3874" s="5" t="s">
        <v>3780</v>
      </c>
      <c r="C3874" s="9">
        <v>43966</v>
      </c>
      <c r="D3874" s="5" t="s">
        <v>16</v>
      </c>
      <c r="E3874" s="5" t="s">
        <v>3781</v>
      </c>
      <c r="F3874" s="6">
        <v>5850</v>
      </c>
    </row>
    <row r="3875" spans="1:6" x14ac:dyDescent="0.15">
      <c r="A3875" s="5" t="s">
        <v>35</v>
      </c>
      <c r="B3875" s="5" t="s">
        <v>3782</v>
      </c>
      <c r="C3875" s="9">
        <v>43966</v>
      </c>
      <c r="D3875" s="5" t="s">
        <v>16</v>
      </c>
      <c r="E3875" s="5" t="s">
        <v>3783</v>
      </c>
      <c r="F3875" s="6">
        <v>97.5</v>
      </c>
    </row>
    <row r="3876" spans="1:6" x14ac:dyDescent="0.15">
      <c r="A3876" s="5" t="s">
        <v>35</v>
      </c>
      <c r="B3876" s="5" t="s">
        <v>3784</v>
      </c>
      <c r="C3876" s="9">
        <v>43970</v>
      </c>
      <c r="D3876" s="5" t="s">
        <v>16</v>
      </c>
      <c r="E3876" s="5" t="s">
        <v>3785</v>
      </c>
      <c r="F3876" s="6">
        <v>6142.5</v>
      </c>
    </row>
    <row r="3877" spans="1:6" x14ac:dyDescent="0.15">
      <c r="A3877" s="5" t="s">
        <v>37</v>
      </c>
      <c r="B3877" s="5" t="s">
        <v>7730</v>
      </c>
      <c r="C3877" s="9">
        <v>43970</v>
      </c>
      <c r="D3877" s="5" t="s">
        <v>16</v>
      </c>
      <c r="E3877" s="5" t="s">
        <v>3785</v>
      </c>
      <c r="F3877" s="6">
        <v>8190</v>
      </c>
    </row>
    <row r="3878" spans="1:6" x14ac:dyDescent="0.15">
      <c r="A3878" s="5" t="s">
        <v>35</v>
      </c>
      <c r="B3878" s="5" t="s">
        <v>3786</v>
      </c>
      <c r="C3878" s="9">
        <v>43971</v>
      </c>
      <c r="D3878" s="5" t="s">
        <v>16</v>
      </c>
      <c r="E3878" s="5" t="s">
        <v>3787</v>
      </c>
      <c r="F3878" s="6">
        <v>682.5</v>
      </c>
    </row>
    <row r="3879" spans="1:6" x14ac:dyDescent="0.15">
      <c r="A3879" s="5" t="s">
        <v>37</v>
      </c>
      <c r="B3879" s="5" t="s">
        <v>7731</v>
      </c>
      <c r="C3879" s="9">
        <v>43971</v>
      </c>
      <c r="D3879" s="5" t="s">
        <v>16</v>
      </c>
      <c r="E3879" s="5" t="s">
        <v>7732</v>
      </c>
      <c r="F3879" s="6">
        <v>1755</v>
      </c>
    </row>
    <row r="3880" spans="1:6" x14ac:dyDescent="0.15">
      <c r="A3880" s="5" t="s">
        <v>37</v>
      </c>
      <c r="B3880" s="5" t="s">
        <v>7733</v>
      </c>
      <c r="C3880" s="9">
        <v>43971</v>
      </c>
      <c r="D3880" s="5" t="s">
        <v>16</v>
      </c>
      <c r="E3880" s="5" t="s">
        <v>7734</v>
      </c>
      <c r="F3880" s="6">
        <v>390</v>
      </c>
    </row>
    <row r="3881" spans="1:6" x14ac:dyDescent="0.15">
      <c r="A3881" s="5" t="s">
        <v>37</v>
      </c>
      <c r="B3881" s="5" t="s">
        <v>7735</v>
      </c>
      <c r="C3881" s="9">
        <v>43972</v>
      </c>
      <c r="D3881" s="5" t="s">
        <v>16</v>
      </c>
      <c r="E3881" s="5" t="s">
        <v>7736</v>
      </c>
      <c r="F3881" s="6">
        <v>12382.5</v>
      </c>
    </row>
    <row r="3882" spans="1:6" x14ac:dyDescent="0.15">
      <c r="A3882" s="5" t="s">
        <v>37</v>
      </c>
      <c r="B3882" s="5" t="s">
        <v>7737</v>
      </c>
      <c r="C3882" s="9">
        <v>43972</v>
      </c>
      <c r="D3882" s="5" t="s">
        <v>16</v>
      </c>
      <c r="E3882" s="5" t="s">
        <v>7738</v>
      </c>
      <c r="F3882" s="6">
        <v>390</v>
      </c>
    </row>
    <row r="3883" spans="1:6" x14ac:dyDescent="0.15">
      <c r="A3883" s="5" t="s">
        <v>35</v>
      </c>
      <c r="B3883" s="5" t="s">
        <v>3788</v>
      </c>
      <c r="C3883" s="9">
        <v>43971</v>
      </c>
      <c r="D3883" s="5" t="s">
        <v>16</v>
      </c>
      <c r="E3883" s="5" t="s">
        <v>3789</v>
      </c>
      <c r="F3883" s="6">
        <v>292.5</v>
      </c>
    </row>
    <row r="3884" spans="1:6" x14ac:dyDescent="0.15">
      <c r="A3884" s="5" t="s">
        <v>37</v>
      </c>
      <c r="B3884" s="5" t="s">
        <v>7739</v>
      </c>
      <c r="C3884" s="9">
        <v>43976</v>
      </c>
      <c r="D3884" s="5" t="s">
        <v>16</v>
      </c>
      <c r="E3884" s="5" t="s">
        <v>7740</v>
      </c>
      <c r="F3884" s="6">
        <v>975</v>
      </c>
    </row>
    <row r="3885" spans="1:6" x14ac:dyDescent="0.15">
      <c r="A3885" s="5" t="s">
        <v>37</v>
      </c>
      <c r="B3885" s="5" t="s">
        <v>7741</v>
      </c>
      <c r="C3885" s="9">
        <v>43976</v>
      </c>
      <c r="D3885" s="5" t="s">
        <v>16</v>
      </c>
      <c r="E3885" s="5" t="s">
        <v>7742</v>
      </c>
      <c r="F3885" s="6">
        <v>4095</v>
      </c>
    </row>
    <row r="3886" spans="1:6" x14ac:dyDescent="0.15">
      <c r="A3886" s="5" t="s">
        <v>35</v>
      </c>
      <c r="B3886" s="5" t="s">
        <v>3792</v>
      </c>
      <c r="C3886" s="9">
        <v>43976</v>
      </c>
      <c r="D3886" s="5" t="s">
        <v>16</v>
      </c>
      <c r="E3886" s="5" t="s">
        <v>3793</v>
      </c>
      <c r="F3886" s="6">
        <v>487.5</v>
      </c>
    </row>
    <row r="3887" spans="1:6" x14ac:dyDescent="0.15">
      <c r="A3887" s="5" t="s">
        <v>41</v>
      </c>
      <c r="B3887" s="5" t="s">
        <v>2054</v>
      </c>
      <c r="C3887" s="9">
        <v>43973</v>
      </c>
      <c r="D3887" s="5" t="s">
        <v>16</v>
      </c>
      <c r="E3887" s="5" t="s">
        <v>2055</v>
      </c>
      <c r="F3887" s="6">
        <v>1261</v>
      </c>
    </row>
    <row r="3888" spans="1:6" x14ac:dyDescent="0.15">
      <c r="A3888" s="5" t="s">
        <v>35</v>
      </c>
      <c r="B3888" s="5" t="s">
        <v>3794</v>
      </c>
      <c r="C3888" s="9">
        <v>43976</v>
      </c>
      <c r="D3888" s="5" t="s">
        <v>16</v>
      </c>
      <c r="E3888" s="5" t="s">
        <v>3795</v>
      </c>
      <c r="F3888" s="6">
        <v>-682.5</v>
      </c>
    </row>
    <row r="3889" spans="1:6" x14ac:dyDescent="0.15">
      <c r="A3889" s="5" t="s">
        <v>35</v>
      </c>
      <c r="B3889" s="5" t="s">
        <v>3790</v>
      </c>
      <c r="C3889" s="9">
        <v>43971</v>
      </c>
      <c r="D3889" s="5" t="s">
        <v>16</v>
      </c>
      <c r="E3889" s="5" t="s">
        <v>3791</v>
      </c>
      <c r="F3889" s="6">
        <v>682.5</v>
      </c>
    </row>
    <row r="3890" spans="1:6" x14ac:dyDescent="0.15">
      <c r="A3890" s="5" t="s">
        <v>37</v>
      </c>
      <c r="B3890" s="5" t="s">
        <v>7743</v>
      </c>
      <c r="C3890" s="9">
        <v>43978</v>
      </c>
      <c r="D3890" s="5" t="s">
        <v>16</v>
      </c>
      <c r="E3890" s="5" t="s">
        <v>7744</v>
      </c>
      <c r="F3890" s="6">
        <v>2047.5</v>
      </c>
    </row>
    <row r="3891" spans="1:6" x14ac:dyDescent="0.15">
      <c r="A3891" s="5" t="s">
        <v>37</v>
      </c>
      <c r="B3891" s="5" t="s">
        <v>7745</v>
      </c>
      <c r="C3891" s="9">
        <v>43983</v>
      </c>
      <c r="D3891" s="5" t="s">
        <v>16</v>
      </c>
      <c r="E3891" s="5" t="s">
        <v>7746</v>
      </c>
      <c r="F3891" s="6">
        <v>292.5</v>
      </c>
    </row>
    <row r="3892" spans="1:6" x14ac:dyDescent="0.15">
      <c r="A3892" s="5" t="s">
        <v>40</v>
      </c>
      <c r="B3892" s="5" t="s">
        <v>2533</v>
      </c>
      <c r="C3892" s="9">
        <v>43983</v>
      </c>
      <c r="D3892" s="5" t="s">
        <v>16</v>
      </c>
      <c r="E3892" s="5" t="s">
        <v>2534</v>
      </c>
      <c r="F3892" s="6">
        <v>3750</v>
      </c>
    </row>
    <row r="3893" spans="1:6" x14ac:dyDescent="0.15">
      <c r="A3893" s="5" t="s">
        <v>43</v>
      </c>
      <c r="B3893" s="5" t="s">
        <v>5280</v>
      </c>
      <c r="C3893" s="9">
        <v>43983</v>
      </c>
      <c r="D3893" s="5" t="s">
        <v>16</v>
      </c>
      <c r="E3893" s="5" t="s">
        <v>5281</v>
      </c>
      <c r="F3893" s="6">
        <v>72.75</v>
      </c>
    </row>
    <row r="3894" spans="1:6" x14ac:dyDescent="0.15">
      <c r="A3894" s="5" t="s">
        <v>43</v>
      </c>
      <c r="B3894" s="5" t="s">
        <v>5282</v>
      </c>
      <c r="C3894" s="9">
        <v>43983</v>
      </c>
      <c r="D3894" s="5" t="s">
        <v>16</v>
      </c>
      <c r="E3894" s="5" t="s">
        <v>5281</v>
      </c>
      <c r="F3894" s="6">
        <v>72.75</v>
      </c>
    </row>
    <row r="3895" spans="1:6" x14ac:dyDescent="0.15">
      <c r="A3895" s="5" t="s">
        <v>42</v>
      </c>
      <c r="B3895" s="5" t="s">
        <v>5959</v>
      </c>
      <c r="C3895" s="9">
        <v>43983</v>
      </c>
      <c r="D3895" s="5" t="s">
        <v>16</v>
      </c>
      <c r="E3895" s="5" t="s">
        <v>5281</v>
      </c>
      <c r="F3895" s="6">
        <v>375</v>
      </c>
    </row>
    <row r="3896" spans="1:6" x14ac:dyDescent="0.15">
      <c r="A3896" s="5" t="s">
        <v>42</v>
      </c>
      <c r="B3896" s="5" t="s">
        <v>5960</v>
      </c>
      <c r="C3896" s="9">
        <v>43983</v>
      </c>
      <c r="D3896" s="5" t="s">
        <v>16</v>
      </c>
      <c r="E3896" s="5" t="s">
        <v>5281</v>
      </c>
      <c r="F3896" s="6">
        <v>375</v>
      </c>
    </row>
    <row r="3897" spans="1:6" x14ac:dyDescent="0.15">
      <c r="A3897" s="5" t="s">
        <v>35</v>
      </c>
      <c r="B3897" s="5" t="s">
        <v>3796</v>
      </c>
      <c r="C3897" s="9">
        <v>43983</v>
      </c>
      <c r="D3897" s="5" t="s">
        <v>16</v>
      </c>
      <c r="E3897" s="5" t="s">
        <v>3797</v>
      </c>
      <c r="F3897" s="6">
        <v>487.5</v>
      </c>
    </row>
    <row r="3898" spans="1:6" x14ac:dyDescent="0.15">
      <c r="A3898" s="5" t="s">
        <v>46</v>
      </c>
      <c r="B3898" s="5" t="s">
        <v>2217</v>
      </c>
      <c r="C3898" s="9">
        <v>43985</v>
      </c>
      <c r="D3898" s="5" t="s">
        <v>16</v>
      </c>
      <c r="E3898" s="5" t="s">
        <v>2218</v>
      </c>
      <c r="F3898" s="6">
        <v>1940</v>
      </c>
    </row>
    <row r="3899" spans="1:6" x14ac:dyDescent="0.15">
      <c r="A3899" s="5" t="s">
        <v>44</v>
      </c>
      <c r="B3899" s="5" t="s">
        <v>4422</v>
      </c>
      <c r="C3899" s="9">
        <v>43985</v>
      </c>
      <c r="D3899" s="5" t="s">
        <v>16</v>
      </c>
      <c r="E3899" s="5" t="s">
        <v>2218</v>
      </c>
      <c r="F3899" s="6">
        <v>11700</v>
      </c>
    </row>
    <row r="3900" spans="1:6" x14ac:dyDescent="0.15">
      <c r="A3900" s="5" t="s">
        <v>43</v>
      </c>
      <c r="B3900" s="5" t="s">
        <v>5283</v>
      </c>
      <c r="C3900" s="9">
        <v>43985</v>
      </c>
      <c r="D3900" s="5" t="s">
        <v>16</v>
      </c>
      <c r="E3900" s="5" t="s">
        <v>2218</v>
      </c>
      <c r="F3900" s="6">
        <v>3880</v>
      </c>
    </row>
    <row r="3901" spans="1:6" x14ac:dyDescent="0.15">
      <c r="A3901" s="5" t="s">
        <v>37</v>
      </c>
      <c r="B3901" s="5" t="s">
        <v>7749</v>
      </c>
      <c r="C3901" s="9">
        <v>43985</v>
      </c>
      <c r="D3901" s="5" t="s">
        <v>16</v>
      </c>
      <c r="E3901" s="5" t="s">
        <v>2218</v>
      </c>
      <c r="F3901" s="6">
        <v>7800</v>
      </c>
    </row>
    <row r="3902" spans="1:6" x14ac:dyDescent="0.15">
      <c r="A3902" s="5" t="s">
        <v>37</v>
      </c>
      <c r="B3902" s="5" t="s">
        <v>7747</v>
      </c>
      <c r="C3902" s="9">
        <v>43983</v>
      </c>
      <c r="D3902" s="5" t="s">
        <v>16</v>
      </c>
      <c r="E3902" s="5" t="s">
        <v>7748</v>
      </c>
      <c r="F3902" s="6">
        <v>877.5</v>
      </c>
    </row>
    <row r="3903" spans="1:6" x14ac:dyDescent="0.15">
      <c r="A3903" s="5" t="s">
        <v>37</v>
      </c>
      <c r="B3903" s="5" t="s">
        <v>7750</v>
      </c>
      <c r="C3903" s="9">
        <v>43985</v>
      </c>
      <c r="D3903" s="5" t="s">
        <v>16</v>
      </c>
      <c r="E3903" s="5" t="s">
        <v>3799</v>
      </c>
      <c r="F3903" s="6">
        <v>390</v>
      </c>
    </row>
    <row r="3904" spans="1:6" x14ac:dyDescent="0.15">
      <c r="A3904" s="5" t="s">
        <v>35</v>
      </c>
      <c r="B3904" s="5" t="s">
        <v>3798</v>
      </c>
      <c r="C3904" s="9">
        <v>43985</v>
      </c>
      <c r="D3904" s="5" t="s">
        <v>16</v>
      </c>
      <c r="E3904" s="5" t="s">
        <v>3799</v>
      </c>
      <c r="F3904" s="6">
        <v>487.5</v>
      </c>
    </row>
    <row r="3905" spans="1:6" x14ac:dyDescent="0.15">
      <c r="A3905" s="5" t="s">
        <v>37</v>
      </c>
      <c r="B3905" s="5" t="s">
        <v>7751</v>
      </c>
      <c r="C3905" s="9">
        <v>43985</v>
      </c>
      <c r="D3905" s="5" t="s">
        <v>16</v>
      </c>
      <c r="E3905" s="5" t="s">
        <v>7752</v>
      </c>
      <c r="F3905" s="6">
        <v>3022.5</v>
      </c>
    </row>
    <row r="3906" spans="1:6" x14ac:dyDescent="0.15">
      <c r="A3906" s="5" t="s">
        <v>37</v>
      </c>
      <c r="B3906" s="5" t="s">
        <v>7753</v>
      </c>
      <c r="C3906" s="9">
        <v>43985</v>
      </c>
      <c r="D3906" s="5" t="s">
        <v>16</v>
      </c>
      <c r="E3906" s="5" t="s">
        <v>7754</v>
      </c>
      <c r="F3906" s="6">
        <v>2925</v>
      </c>
    </row>
    <row r="3907" spans="1:6" x14ac:dyDescent="0.15">
      <c r="A3907" s="5" t="s">
        <v>37</v>
      </c>
      <c r="B3907" s="5" t="s">
        <v>7755</v>
      </c>
      <c r="C3907" s="9">
        <v>43986</v>
      </c>
      <c r="D3907" s="5" t="s">
        <v>16</v>
      </c>
      <c r="E3907" s="5" t="s">
        <v>3801</v>
      </c>
      <c r="F3907" s="6">
        <v>23400</v>
      </c>
    </row>
    <row r="3908" spans="1:6" x14ac:dyDescent="0.15">
      <c r="A3908" s="5" t="s">
        <v>35</v>
      </c>
      <c r="B3908" s="5" t="s">
        <v>3800</v>
      </c>
      <c r="C3908" s="9">
        <v>43986</v>
      </c>
      <c r="D3908" s="5" t="s">
        <v>16</v>
      </c>
      <c r="E3908" s="5" t="s">
        <v>3801</v>
      </c>
      <c r="F3908" s="6">
        <v>3900</v>
      </c>
    </row>
    <row r="3909" spans="1:6" x14ac:dyDescent="0.15">
      <c r="A3909" s="5" t="s">
        <v>43</v>
      </c>
      <c r="B3909" s="5" t="s">
        <v>5284</v>
      </c>
      <c r="C3909" s="9">
        <v>43986</v>
      </c>
      <c r="D3909" s="5" t="s">
        <v>16</v>
      </c>
      <c r="E3909" s="5" t="s">
        <v>5285</v>
      </c>
      <c r="F3909" s="6">
        <v>2037</v>
      </c>
    </row>
    <row r="3910" spans="1:6" x14ac:dyDescent="0.15">
      <c r="A3910" s="5" t="s">
        <v>57</v>
      </c>
      <c r="B3910" s="5" t="s">
        <v>5607</v>
      </c>
      <c r="C3910" s="9">
        <v>43986</v>
      </c>
      <c r="D3910" s="5" t="s">
        <v>16</v>
      </c>
      <c r="E3910" s="5" t="s">
        <v>5608</v>
      </c>
      <c r="F3910" s="6">
        <v>3783</v>
      </c>
    </row>
    <row r="3911" spans="1:6" x14ac:dyDescent="0.15">
      <c r="A3911" s="5" t="s">
        <v>43</v>
      </c>
      <c r="B3911" s="5" t="s">
        <v>5286</v>
      </c>
      <c r="C3911" s="9">
        <v>43986</v>
      </c>
      <c r="D3911" s="5" t="s">
        <v>16</v>
      </c>
      <c r="E3911" s="5" t="s">
        <v>5287</v>
      </c>
      <c r="F3911" s="6">
        <v>679</v>
      </c>
    </row>
    <row r="3912" spans="1:6" x14ac:dyDescent="0.15">
      <c r="A3912" s="5" t="s">
        <v>37</v>
      </c>
      <c r="B3912" s="5" t="s">
        <v>7756</v>
      </c>
      <c r="C3912" s="9">
        <v>43986</v>
      </c>
      <c r="D3912" s="5" t="s">
        <v>16</v>
      </c>
      <c r="E3912" s="5" t="s">
        <v>5287</v>
      </c>
      <c r="F3912" s="6">
        <v>4485</v>
      </c>
    </row>
    <row r="3913" spans="1:6" x14ac:dyDescent="0.15">
      <c r="A3913" s="5" t="s">
        <v>35</v>
      </c>
      <c r="B3913" s="5" t="s">
        <v>3802</v>
      </c>
      <c r="C3913" s="9">
        <v>43986</v>
      </c>
      <c r="D3913" s="5" t="s">
        <v>16</v>
      </c>
      <c r="E3913" s="5" t="s">
        <v>3803</v>
      </c>
      <c r="F3913" s="6">
        <v>6045</v>
      </c>
    </row>
    <row r="3914" spans="1:6" x14ac:dyDescent="0.15">
      <c r="A3914" s="5" t="s">
        <v>37</v>
      </c>
      <c r="B3914" s="5" t="s">
        <v>7757</v>
      </c>
      <c r="C3914" s="9">
        <v>43987</v>
      </c>
      <c r="D3914" s="5" t="s">
        <v>16</v>
      </c>
      <c r="E3914" s="5" t="s">
        <v>7758</v>
      </c>
      <c r="F3914" s="6">
        <v>5070</v>
      </c>
    </row>
    <row r="3915" spans="1:6" x14ac:dyDescent="0.15">
      <c r="A3915" s="5" t="s">
        <v>35</v>
      </c>
      <c r="B3915" s="5" t="s">
        <v>3804</v>
      </c>
      <c r="C3915" s="9">
        <v>43987</v>
      </c>
      <c r="D3915" s="5" t="s">
        <v>16</v>
      </c>
      <c r="E3915" s="5" t="s">
        <v>3805</v>
      </c>
      <c r="F3915" s="6">
        <v>1072.5</v>
      </c>
    </row>
    <row r="3916" spans="1:6" x14ac:dyDescent="0.15">
      <c r="A3916" s="5" t="s">
        <v>35</v>
      </c>
      <c r="B3916" s="5" t="s">
        <v>3806</v>
      </c>
      <c r="C3916" s="9">
        <v>43990</v>
      </c>
      <c r="D3916" s="5" t="s">
        <v>16</v>
      </c>
      <c r="E3916" s="5" t="s">
        <v>3807</v>
      </c>
      <c r="F3916" s="6">
        <v>487.5</v>
      </c>
    </row>
    <row r="3917" spans="1:6" x14ac:dyDescent="0.15">
      <c r="A3917" s="5" t="s">
        <v>37</v>
      </c>
      <c r="B3917" s="5" t="s">
        <v>7759</v>
      </c>
      <c r="C3917" s="9">
        <v>43997</v>
      </c>
      <c r="D3917" s="5" t="s">
        <v>16</v>
      </c>
      <c r="E3917" s="5" t="s">
        <v>7760</v>
      </c>
      <c r="F3917" s="6">
        <v>1072.5</v>
      </c>
    </row>
    <row r="3918" spans="1:6" x14ac:dyDescent="0.15">
      <c r="A3918" s="5" t="s">
        <v>35</v>
      </c>
      <c r="B3918" s="5" t="s">
        <v>3808</v>
      </c>
      <c r="C3918" s="9">
        <v>43997</v>
      </c>
      <c r="D3918" s="5" t="s">
        <v>16</v>
      </c>
      <c r="E3918" s="5" t="s">
        <v>3809</v>
      </c>
      <c r="F3918" s="6">
        <v>1170</v>
      </c>
    </row>
    <row r="3919" spans="1:6" x14ac:dyDescent="0.15">
      <c r="A3919" s="5" t="s">
        <v>37</v>
      </c>
      <c r="B3919" s="5" t="s">
        <v>7761</v>
      </c>
      <c r="C3919" s="9">
        <v>43997</v>
      </c>
      <c r="D3919" s="5" t="s">
        <v>16</v>
      </c>
      <c r="E3919" s="5" t="s">
        <v>5289</v>
      </c>
      <c r="F3919" s="6">
        <v>51675</v>
      </c>
    </row>
    <row r="3920" spans="1:6" x14ac:dyDescent="0.15">
      <c r="A3920" s="5" t="s">
        <v>43</v>
      </c>
      <c r="B3920" s="5" t="s">
        <v>5288</v>
      </c>
      <c r="C3920" s="9">
        <v>43997</v>
      </c>
      <c r="D3920" s="5" t="s">
        <v>16</v>
      </c>
      <c r="E3920" s="5" t="s">
        <v>5289</v>
      </c>
      <c r="F3920" s="6">
        <v>1697.5</v>
      </c>
    </row>
    <row r="3921" spans="1:6" x14ac:dyDescent="0.15">
      <c r="A3921" s="5" t="s">
        <v>46</v>
      </c>
      <c r="B3921" s="5" t="s">
        <v>2219</v>
      </c>
      <c r="C3921" s="9">
        <v>44004</v>
      </c>
      <c r="D3921" s="5" t="s">
        <v>16</v>
      </c>
      <c r="E3921" s="5" t="s">
        <v>2220</v>
      </c>
      <c r="F3921" s="6">
        <v>5820</v>
      </c>
    </row>
    <row r="3922" spans="1:6" x14ac:dyDescent="0.15">
      <c r="A3922" s="5" t="s">
        <v>43</v>
      </c>
      <c r="B3922" s="5" t="s">
        <v>5294</v>
      </c>
      <c r="C3922" s="9">
        <v>44004</v>
      </c>
      <c r="D3922" s="5" t="s">
        <v>16</v>
      </c>
      <c r="E3922" s="5" t="s">
        <v>2220</v>
      </c>
      <c r="F3922" s="6">
        <v>5820</v>
      </c>
    </row>
    <row r="3923" spans="1:6" x14ac:dyDescent="0.15">
      <c r="A3923" s="5" t="s">
        <v>148</v>
      </c>
      <c r="B3923" s="5" t="s">
        <v>5693</v>
      </c>
      <c r="C3923" s="9">
        <v>44004</v>
      </c>
      <c r="D3923" s="5" t="s">
        <v>16</v>
      </c>
      <c r="E3923" s="5" t="s">
        <v>5296</v>
      </c>
      <c r="F3923" s="6">
        <v>4365</v>
      </c>
    </row>
    <row r="3924" spans="1:6" x14ac:dyDescent="0.15">
      <c r="A3924" s="5" t="s">
        <v>58</v>
      </c>
      <c r="B3924" s="5" t="s">
        <v>6195</v>
      </c>
      <c r="C3924" s="9">
        <v>44004</v>
      </c>
      <c r="D3924" s="5" t="s">
        <v>16</v>
      </c>
      <c r="E3924" s="5" t="s">
        <v>5296</v>
      </c>
      <c r="F3924" s="6">
        <v>6750</v>
      </c>
    </row>
    <row r="3925" spans="1:6" x14ac:dyDescent="0.15">
      <c r="A3925" s="5" t="s">
        <v>57</v>
      </c>
      <c r="B3925" s="5" t="s">
        <v>5611</v>
      </c>
      <c r="C3925" s="9">
        <v>44004</v>
      </c>
      <c r="D3925" s="5" t="s">
        <v>16</v>
      </c>
      <c r="E3925" s="5" t="s">
        <v>5296</v>
      </c>
      <c r="F3925" s="6">
        <v>3880</v>
      </c>
    </row>
    <row r="3926" spans="1:6" x14ac:dyDescent="0.15">
      <c r="A3926" s="5" t="s">
        <v>43</v>
      </c>
      <c r="B3926" s="5" t="s">
        <v>5295</v>
      </c>
      <c r="C3926" s="9">
        <v>44004</v>
      </c>
      <c r="D3926" s="5" t="s">
        <v>16</v>
      </c>
      <c r="E3926" s="5" t="s">
        <v>5296</v>
      </c>
      <c r="F3926" s="6">
        <v>3880</v>
      </c>
    </row>
    <row r="3927" spans="1:6" x14ac:dyDescent="0.15">
      <c r="A3927" s="5" t="s">
        <v>37</v>
      </c>
      <c r="B3927" s="5" t="s">
        <v>7764</v>
      </c>
      <c r="C3927" s="9">
        <v>44001</v>
      </c>
      <c r="D3927" s="5" t="s">
        <v>16</v>
      </c>
      <c r="E3927" s="5" t="s">
        <v>7765</v>
      </c>
      <c r="F3927" s="6">
        <v>25350</v>
      </c>
    </row>
    <row r="3928" spans="1:6" x14ac:dyDescent="0.15">
      <c r="A3928" s="5" t="s">
        <v>37</v>
      </c>
      <c r="B3928" s="5" t="s">
        <v>7762</v>
      </c>
      <c r="C3928" s="9">
        <v>43999</v>
      </c>
      <c r="D3928" s="5" t="s">
        <v>16</v>
      </c>
      <c r="E3928" s="5" t="s">
        <v>7763</v>
      </c>
      <c r="F3928" s="6">
        <v>17647.5</v>
      </c>
    </row>
    <row r="3929" spans="1:6" x14ac:dyDescent="0.15">
      <c r="A3929" s="5" t="s">
        <v>57</v>
      </c>
      <c r="B3929" s="5" t="s">
        <v>5609</v>
      </c>
      <c r="C3929" s="9">
        <v>43999</v>
      </c>
      <c r="D3929" s="5" t="s">
        <v>16</v>
      </c>
      <c r="E3929" s="5" t="s">
        <v>5610</v>
      </c>
      <c r="F3929" s="6">
        <v>-2231</v>
      </c>
    </row>
    <row r="3930" spans="1:6" x14ac:dyDescent="0.15">
      <c r="A3930" s="5" t="s">
        <v>57</v>
      </c>
      <c r="B3930" s="5" t="s">
        <v>5609</v>
      </c>
      <c r="C3930" s="9">
        <v>43999</v>
      </c>
      <c r="D3930" s="5" t="s">
        <v>16</v>
      </c>
      <c r="E3930" s="5" t="s">
        <v>5610</v>
      </c>
      <c r="F3930" s="6">
        <v>-3249.5</v>
      </c>
    </row>
    <row r="3931" spans="1:6" x14ac:dyDescent="0.15">
      <c r="A3931" s="5" t="s">
        <v>57</v>
      </c>
      <c r="B3931" s="5" t="s">
        <v>5609</v>
      </c>
      <c r="C3931" s="9">
        <v>43999</v>
      </c>
      <c r="D3931" s="5" t="s">
        <v>16</v>
      </c>
      <c r="E3931" s="5" t="s">
        <v>5610</v>
      </c>
      <c r="F3931" s="6">
        <v>-921.5</v>
      </c>
    </row>
    <row r="3932" spans="1:6" x14ac:dyDescent="0.15">
      <c r="A3932" s="5" t="s">
        <v>43</v>
      </c>
      <c r="B3932" s="5" t="s">
        <v>5290</v>
      </c>
      <c r="C3932" s="9">
        <v>44000</v>
      </c>
      <c r="D3932" s="5" t="s">
        <v>16</v>
      </c>
      <c r="E3932" s="5" t="s">
        <v>5291</v>
      </c>
      <c r="F3932" s="6">
        <v>6402</v>
      </c>
    </row>
    <row r="3933" spans="1:6" x14ac:dyDescent="0.15">
      <c r="A3933" s="5" t="s">
        <v>35</v>
      </c>
      <c r="B3933" s="5" t="s">
        <v>3810</v>
      </c>
      <c r="C3933" s="9">
        <v>44000</v>
      </c>
      <c r="D3933" s="5" t="s">
        <v>16</v>
      </c>
      <c r="E3933" s="5" t="s">
        <v>3811</v>
      </c>
      <c r="F3933" s="6">
        <v>11700</v>
      </c>
    </row>
    <row r="3934" spans="1:6" x14ac:dyDescent="0.15">
      <c r="A3934" s="5" t="s">
        <v>35</v>
      </c>
      <c r="B3934" s="5" t="s">
        <v>3812</v>
      </c>
      <c r="C3934" s="9">
        <v>44000</v>
      </c>
      <c r="D3934" s="5" t="s">
        <v>16</v>
      </c>
      <c r="E3934" s="5" t="s">
        <v>3813</v>
      </c>
      <c r="F3934" s="6">
        <v>97.5</v>
      </c>
    </row>
    <row r="3935" spans="1:6" x14ac:dyDescent="0.15">
      <c r="A3935" s="5" t="s">
        <v>35</v>
      </c>
      <c r="B3935" s="5" t="s">
        <v>3814</v>
      </c>
      <c r="C3935" s="9">
        <v>44000</v>
      </c>
      <c r="D3935" s="5" t="s">
        <v>16</v>
      </c>
      <c r="E3935" s="5" t="s">
        <v>2536</v>
      </c>
      <c r="F3935" s="6">
        <v>3705</v>
      </c>
    </row>
    <row r="3936" spans="1:6" x14ac:dyDescent="0.15">
      <c r="A3936" s="5" t="s">
        <v>40</v>
      </c>
      <c r="B3936" s="5" t="s">
        <v>2535</v>
      </c>
      <c r="C3936" s="9">
        <v>44000</v>
      </c>
      <c r="D3936" s="5" t="s">
        <v>16</v>
      </c>
      <c r="E3936" s="5" t="s">
        <v>2536</v>
      </c>
      <c r="F3936" s="6">
        <v>7875</v>
      </c>
    </row>
    <row r="3937" spans="1:6" x14ac:dyDescent="0.15">
      <c r="A3937" s="5" t="s">
        <v>43</v>
      </c>
      <c r="B3937" s="5" t="s">
        <v>5292</v>
      </c>
      <c r="C3937" s="9">
        <v>44000</v>
      </c>
      <c r="D3937" s="5" t="s">
        <v>16</v>
      </c>
      <c r="E3937" s="5" t="s">
        <v>5293</v>
      </c>
      <c r="F3937" s="6">
        <v>48.5</v>
      </c>
    </row>
    <row r="3938" spans="1:6" x14ac:dyDescent="0.15">
      <c r="A3938" s="5" t="s">
        <v>37</v>
      </c>
      <c r="B3938" s="5" t="s">
        <v>7766</v>
      </c>
      <c r="C3938" s="9">
        <v>44001</v>
      </c>
      <c r="D3938" s="5" t="s">
        <v>16</v>
      </c>
      <c r="E3938" s="5" t="s">
        <v>7767</v>
      </c>
      <c r="F3938" s="6">
        <v>10042.5</v>
      </c>
    </row>
    <row r="3939" spans="1:6" x14ac:dyDescent="0.15">
      <c r="A3939" s="5" t="s">
        <v>37</v>
      </c>
      <c r="B3939" s="5" t="s">
        <v>7768</v>
      </c>
      <c r="C3939" s="9">
        <v>44001</v>
      </c>
      <c r="D3939" s="5" t="s">
        <v>16</v>
      </c>
      <c r="E3939" s="5" t="s">
        <v>7769</v>
      </c>
      <c r="F3939" s="6">
        <v>682.5</v>
      </c>
    </row>
    <row r="3940" spans="1:6" x14ac:dyDescent="0.15">
      <c r="A3940" s="5" t="s">
        <v>43</v>
      </c>
      <c r="B3940" s="5" t="s">
        <v>5297</v>
      </c>
      <c r="C3940" s="9">
        <v>44004</v>
      </c>
      <c r="D3940" s="5" t="s">
        <v>16</v>
      </c>
      <c r="E3940" s="5" t="s">
        <v>5298</v>
      </c>
      <c r="F3940" s="6">
        <v>97</v>
      </c>
    </row>
    <row r="3941" spans="1:6" x14ac:dyDescent="0.15">
      <c r="A3941" s="5" t="s">
        <v>37</v>
      </c>
      <c r="B3941" s="5" t="s">
        <v>7770</v>
      </c>
      <c r="C3941" s="9">
        <v>44004</v>
      </c>
      <c r="D3941" s="5" t="s">
        <v>16</v>
      </c>
      <c r="E3941" s="5" t="s">
        <v>7771</v>
      </c>
      <c r="F3941" s="6">
        <v>1755</v>
      </c>
    </row>
    <row r="3942" spans="1:6" x14ac:dyDescent="0.15">
      <c r="A3942" s="5" t="s">
        <v>35</v>
      </c>
      <c r="B3942" s="5" t="s">
        <v>3815</v>
      </c>
      <c r="C3942" s="9">
        <v>44005</v>
      </c>
      <c r="D3942" s="5" t="s">
        <v>16</v>
      </c>
      <c r="E3942" s="5" t="s">
        <v>2057</v>
      </c>
      <c r="F3942" s="6">
        <v>13065</v>
      </c>
    </row>
    <row r="3943" spans="1:6" x14ac:dyDescent="0.15">
      <c r="A3943" s="5" t="s">
        <v>41</v>
      </c>
      <c r="B3943" s="5" t="s">
        <v>2056</v>
      </c>
      <c r="C3943" s="9">
        <v>44005</v>
      </c>
      <c r="D3943" s="5" t="s">
        <v>16</v>
      </c>
      <c r="E3943" s="5" t="s">
        <v>2057</v>
      </c>
      <c r="F3943" s="6">
        <v>485</v>
      </c>
    </row>
    <row r="3944" spans="1:6" x14ac:dyDescent="0.15">
      <c r="A3944" s="5" t="s">
        <v>40</v>
      </c>
      <c r="B3944" s="5" t="s">
        <v>2537</v>
      </c>
      <c r="C3944" s="9">
        <v>44005</v>
      </c>
      <c r="D3944" s="5" t="s">
        <v>16</v>
      </c>
      <c r="E3944" s="5" t="s">
        <v>2538</v>
      </c>
      <c r="F3944" s="6">
        <v>3900</v>
      </c>
    </row>
    <row r="3945" spans="1:6" x14ac:dyDescent="0.15">
      <c r="A3945" s="5" t="s">
        <v>35</v>
      </c>
      <c r="B3945" s="5" t="s">
        <v>3816</v>
      </c>
      <c r="C3945" s="9">
        <v>44005</v>
      </c>
      <c r="D3945" s="5" t="s">
        <v>16</v>
      </c>
      <c r="E3945" s="5" t="s">
        <v>2538</v>
      </c>
      <c r="F3945" s="6">
        <v>5265</v>
      </c>
    </row>
    <row r="3946" spans="1:6" x14ac:dyDescent="0.15">
      <c r="A3946" s="5" t="s">
        <v>43</v>
      </c>
      <c r="B3946" s="5" t="s">
        <v>5305</v>
      </c>
      <c r="C3946" s="9">
        <v>44011</v>
      </c>
      <c r="D3946" s="5" t="s">
        <v>16</v>
      </c>
      <c r="E3946" s="5" t="s">
        <v>5306</v>
      </c>
      <c r="F3946" s="6">
        <v>17072</v>
      </c>
    </row>
    <row r="3947" spans="1:6" x14ac:dyDescent="0.15">
      <c r="A3947" s="5" t="s">
        <v>8588</v>
      </c>
      <c r="B3947" s="5" t="s">
        <v>8603</v>
      </c>
      <c r="C3947" s="9">
        <v>44011</v>
      </c>
      <c r="D3947" s="5" t="s">
        <v>16</v>
      </c>
      <c r="E3947" s="5" t="s">
        <v>5308</v>
      </c>
      <c r="F3947" s="6">
        <v>3900</v>
      </c>
    </row>
    <row r="3948" spans="1:6" x14ac:dyDescent="0.15">
      <c r="A3948" s="5" t="s">
        <v>43</v>
      </c>
      <c r="B3948" s="5" t="s">
        <v>5307</v>
      </c>
      <c r="C3948" s="9">
        <v>44011</v>
      </c>
      <c r="D3948" s="5" t="s">
        <v>16</v>
      </c>
      <c r="E3948" s="5" t="s">
        <v>5308</v>
      </c>
      <c r="F3948" s="6">
        <v>11640</v>
      </c>
    </row>
    <row r="3949" spans="1:6" x14ac:dyDescent="0.15">
      <c r="A3949" s="5" t="s">
        <v>42</v>
      </c>
      <c r="B3949" s="5" t="s">
        <v>5961</v>
      </c>
      <c r="C3949" s="9">
        <v>44011</v>
      </c>
      <c r="D3949" s="5" t="s">
        <v>16</v>
      </c>
      <c r="E3949" s="5" t="s">
        <v>5308</v>
      </c>
      <c r="F3949" s="6">
        <v>7500</v>
      </c>
    </row>
    <row r="3950" spans="1:6" x14ac:dyDescent="0.15">
      <c r="A3950" s="5" t="s">
        <v>53</v>
      </c>
      <c r="B3950" s="5" t="s">
        <v>8500</v>
      </c>
      <c r="C3950" s="9">
        <v>44007</v>
      </c>
      <c r="D3950" s="5" t="s">
        <v>16</v>
      </c>
      <c r="E3950" s="5" t="s">
        <v>8501</v>
      </c>
      <c r="F3950" s="6">
        <v>4875</v>
      </c>
    </row>
    <row r="3951" spans="1:6" x14ac:dyDescent="0.15">
      <c r="A3951" s="5" t="s">
        <v>35</v>
      </c>
      <c r="B3951" s="5" t="s">
        <v>3817</v>
      </c>
      <c r="C3951" s="9">
        <v>44007</v>
      </c>
      <c r="D3951" s="5" t="s">
        <v>16</v>
      </c>
      <c r="E3951" s="5" t="s">
        <v>3818</v>
      </c>
      <c r="F3951" s="6">
        <v>1072.5</v>
      </c>
    </row>
    <row r="3952" spans="1:6" x14ac:dyDescent="0.15">
      <c r="A3952" s="5" t="s">
        <v>35</v>
      </c>
      <c r="B3952" s="5" t="s">
        <v>3819</v>
      </c>
      <c r="C3952" s="9">
        <v>44007</v>
      </c>
      <c r="D3952" s="5" t="s">
        <v>16</v>
      </c>
      <c r="E3952" s="5" t="s">
        <v>3820</v>
      </c>
      <c r="F3952" s="6">
        <v>1072.5</v>
      </c>
    </row>
    <row r="3953" spans="1:6" x14ac:dyDescent="0.15">
      <c r="A3953" s="5" t="s">
        <v>35</v>
      </c>
      <c r="B3953" s="5" t="s">
        <v>3821</v>
      </c>
      <c r="C3953" s="9">
        <v>44007</v>
      </c>
      <c r="D3953" s="5" t="s">
        <v>16</v>
      </c>
      <c r="E3953" s="5" t="s">
        <v>3818</v>
      </c>
      <c r="F3953" s="6">
        <v>390</v>
      </c>
    </row>
    <row r="3954" spans="1:6" x14ac:dyDescent="0.15">
      <c r="A3954" s="5" t="s">
        <v>37</v>
      </c>
      <c r="B3954" s="5" t="s">
        <v>7772</v>
      </c>
      <c r="C3954" s="9">
        <v>44007</v>
      </c>
      <c r="D3954" s="5" t="s">
        <v>16</v>
      </c>
      <c r="E3954" s="5" t="s">
        <v>7773</v>
      </c>
      <c r="F3954" s="6">
        <v>975</v>
      </c>
    </row>
    <row r="3955" spans="1:6" x14ac:dyDescent="0.15">
      <c r="A3955" s="5" t="s">
        <v>37</v>
      </c>
      <c r="B3955" s="5" t="s">
        <v>7774</v>
      </c>
      <c r="C3955" s="9">
        <v>44007</v>
      </c>
      <c r="D3955" s="5" t="s">
        <v>16</v>
      </c>
      <c r="E3955" s="5" t="s">
        <v>5300</v>
      </c>
      <c r="F3955" s="6">
        <v>4680</v>
      </c>
    </row>
    <row r="3956" spans="1:6" x14ac:dyDescent="0.15">
      <c r="A3956" s="5" t="s">
        <v>43</v>
      </c>
      <c r="B3956" s="5" t="s">
        <v>5299</v>
      </c>
      <c r="C3956" s="9">
        <v>44007</v>
      </c>
      <c r="D3956" s="5" t="s">
        <v>16</v>
      </c>
      <c r="E3956" s="5" t="s">
        <v>5300</v>
      </c>
      <c r="F3956" s="6">
        <v>824.5</v>
      </c>
    </row>
    <row r="3957" spans="1:6" x14ac:dyDescent="0.15">
      <c r="A3957" s="5" t="s">
        <v>37</v>
      </c>
      <c r="B3957" s="5" t="s">
        <v>7775</v>
      </c>
      <c r="C3957" s="9">
        <v>44007</v>
      </c>
      <c r="D3957" s="5" t="s">
        <v>16</v>
      </c>
      <c r="E3957" s="5" t="s">
        <v>5302</v>
      </c>
      <c r="F3957" s="6">
        <v>3900</v>
      </c>
    </row>
    <row r="3958" spans="1:6" x14ac:dyDescent="0.15">
      <c r="A3958" s="5" t="s">
        <v>43</v>
      </c>
      <c r="B3958" s="5" t="s">
        <v>5301</v>
      </c>
      <c r="C3958" s="9">
        <v>44007</v>
      </c>
      <c r="D3958" s="5" t="s">
        <v>16</v>
      </c>
      <c r="E3958" s="5" t="s">
        <v>5302</v>
      </c>
      <c r="F3958" s="6">
        <v>970</v>
      </c>
    </row>
    <row r="3959" spans="1:6" x14ac:dyDescent="0.15">
      <c r="A3959" s="5" t="s">
        <v>43</v>
      </c>
      <c r="B3959" s="5" t="s">
        <v>5303</v>
      </c>
      <c r="C3959" s="9">
        <v>44008</v>
      </c>
      <c r="D3959" s="5" t="s">
        <v>16</v>
      </c>
      <c r="E3959" s="5" t="s">
        <v>5304</v>
      </c>
      <c r="F3959" s="6">
        <v>97</v>
      </c>
    </row>
    <row r="3960" spans="1:6" x14ac:dyDescent="0.15">
      <c r="A3960" s="5" t="s">
        <v>37</v>
      </c>
      <c r="B3960" s="5" t="s">
        <v>7776</v>
      </c>
      <c r="C3960" s="9">
        <v>44011</v>
      </c>
      <c r="D3960" s="5" t="s">
        <v>16</v>
      </c>
      <c r="E3960" s="5" t="s">
        <v>5963</v>
      </c>
      <c r="F3960" s="6">
        <v>21060</v>
      </c>
    </row>
    <row r="3961" spans="1:6" x14ac:dyDescent="0.15">
      <c r="A3961" s="5" t="s">
        <v>42</v>
      </c>
      <c r="B3961" s="5" t="s">
        <v>5962</v>
      </c>
      <c r="C3961" s="9">
        <v>44011</v>
      </c>
      <c r="D3961" s="5" t="s">
        <v>16</v>
      </c>
      <c r="E3961" s="5" t="s">
        <v>5963</v>
      </c>
      <c r="F3961" s="6">
        <v>7200</v>
      </c>
    </row>
    <row r="3962" spans="1:6" x14ac:dyDescent="0.15">
      <c r="A3962" s="5" t="s">
        <v>43</v>
      </c>
      <c r="B3962" s="5" t="s">
        <v>5309</v>
      </c>
      <c r="C3962" s="9">
        <v>44011</v>
      </c>
      <c r="D3962" s="5" t="s">
        <v>16</v>
      </c>
      <c r="E3962" s="5" t="s">
        <v>5310</v>
      </c>
      <c r="F3962" s="6">
        <v>2910</v>
      </c>
    </row>
    <row r="3963" spans="1:6" x14ac:dyDescent="0.15">
      <c r="A3963" s="5" t="s">
        <v>35</v>
      </c>
      <c r="B3963" s="5" t="s">
        <v>3822</v>
      </c>
      <c r="C3963" s="9">
        <v>44011</v>
      </c>
      <c r="D3963" s="5" t="s">
        <v>16</v>
      </c>
      <c r="E3963" s="5" t="s">
        <v>3823</v>
      </c>
      <c r="F3963" s="6">
        <v>-1072.5</v>
      </c>
    </row>
    <row r="3964" spans="1:6" x14ac:dyDescent="0.15">
      <c r="A3964" s="5" t="s">
        <v>37</v>
      </c>
      <c r="B3964" s="5" t="s">
        <v>7777</v>
      </c>
      <c r="C3964" s="9">
        <v>44011</v>
      </c>
      <c r="D3964" s="5" t="s">
        <v>16</v>
      </c>
      <c r="E3964" s="5" t="s">
        <v>7778</v>
      </c>
      <c r="F3964" s="6">
        <v>1072.5</v>
      </c>
    </row>
    <row r="3965" spans="1:6" x14ac:dyDescent="0.15">
      <c r="A3965" s="5" t="s">
        <v>35</v>
      </c>
      <c r="B3965" s="5" t="s">
        <v>3824</v>
      </c>
      <c r="C3965" s="9">
        <v>44011</v>
      </c>
      <c r="D3965" s="5" t="s">
        <v>16</v>
      </c>
      <c r="E3965" s="5" t="s">
        <v>3825</v>
      </c>
      <c r="F3965" s="6">
        <v>487.5</v>
      </c>
    </row>
    <row r="3966" spans="1:6" x14ac:dyDescent="0.15">
      <c r="A3966" s="5" t="s">
        <v>35</v>
      </c>
      <c r="B3966" s="5" t="s">
        <v>3826</v>
      </c>
      <c r="C3966" s="9">
        <v>44013</v>
      </c>
      <c r="D3966" s="5" t="s">
        <v>16</v>
      </c>
      <c r="E3966" s="5" t="s">
        <v>3827</v>
      </c>
      <c r="F3966" s="6">
        <v>13552.5</v>
      </c>
    </row>
    <row r="3967" spans="1:6" x14ac:dyDescent="0.15">
      <c r="A3967" s="5" t="s">
        <v>37</v>
      </c>
      <c r="B3967" s="5" t="s">
        <v>7779</v>
      </c>
      <c r="C3967" s="9">
        <v>44013</v>
      </c>
      <c r="D3967" s="5" t="s">
        <v>16</v>
      </c>
      <c r="E3967" s="5" t="s">
        <v>7780</v>
      </c>
      <c r="F3967" s="6">
        <v>9262.5</v>
      </c>
    </row>
    <row r="3968" spans="1:6" x14ac:dyDescent="0.15">
      <c r="A3968" s="5" t="s">
        <v>35</v>
      </c>
      <c r="B3968" s="5" t="s">
        <v>3828</v>
      </c>
      <c r="C3968" s="9">
        <v>44013</v>
      </c>
      <c r="D3968" s="5" t="s">
        <v>16</v>
      </c>
      <c r="E3968" s="5" t="s">
        <v>3829</v>
      </c>
      <c r="F3968" s="6">
        <v>1170</v>
      </c>
    </row>
    <row r="3969" spans="1:6" x14ac:dyDescent="0.15">
      <c r="A3969" s="5" t="s">
        <v>35</v>
      </c>
      <c r="B3969" s="5" t="s">
        <v>3830</v>
      </c>
      <c r="C3969" s="9">
        <v>44014</v>
      </c>
      <c r="D3969" s="5" t="s">
        <v>16</v>
      </c>
      <c r="E3969" s="5" t="s">
        <v>2540</v>
      </c>
      <c r="F3969" s="6">
        <v>7117.5</v>
      </c>
    </row>
    <row r="3970" spans="1:6" x14ac:dyDescent="0.15">
      <c r="A3970" s="5" t="s">
        <v>40</v>
      </c>
      <c r="B3970" s="5" t="s">
        <v>2539</v>
      </c>
      <c r="C3970" s="9">
        <v>44014</v>
      </c>
      <c r="D3970" s="5" t="s">
        <v>16</v>
      </c>
      <c r="E3970" s="5" t="s">
        <v>2540</v>
      </c>
      <c r="F3970" s="6">
        <v>2775</v>
      </c>
    </row>
    <row r="3971" spans="1:6" x14ac:dyDescent="0.15">
      <c r="A3971" s="5" t="s">
        <v>35</v>
      </c>
      <c r="B3971" s="5" t="s">
        <v>3831</v>
      </c>
      <c r="C3971" s="9">
        <v>44015</v>
      </c>
      <c r="D3971" s="5" t="s">
        <v>16</v>
      </c>
      <c r="E3971" s="5" t="s">
        <v>2542</v>
      </c>
      <c r="F3971" s="6">
        <v>2632.5</v>
      </c>
    </row>
    <row r="3972" spans="1:6" x14ac:dyDescent="0.15">
      <c r="A3972" s="5" t="s">
        <v>40</v>
      </c>
      <c r="B3972" s="5" t="s">
        <v>2541</v>
      </c>
      <c r="C3972" s="9">
        <v>44015</v>
      </c>
      <c r="D3972" s="5" t="s">
        <v>16</v>
      </c>
      <c r="E3972" s="5" t="s">
        <v>2542</v>
      </c>
      <c r="F3972" s="6">
        <v>2025</v>
      </c>
    </row>
    <row r="3973" spans="1:6" x14ac:dyDescent="0.15">
      <c r="A3973" s="5" t="s">
        <v>35</v>
      </c>
      <c r="B3973" s="5" t="s">
        <v>3832</v>
      </c>
      <c r="C3973" s="9">
        <v>44015</v>
      </c>
      <c r="D3973" s="5" t="s">
        <v>16</v>
      </c>
      <c r="E3973" s="5" t="s">
        <v>3833</v>
      </c>
      <c r="F3973" s="6">
        <v>292.5</v>
      </c>
    </row>
    <row r="3974" spans="1:6" x14ac:dyDescent="0.15">
      <c r="A3974" s="5" t="s">
        <v>37</v>
      </c>
      <c r="B3974" s="5" t="s">
        <v>7783</v>
      </c>
      <c r="C3974" s="9">
        <v>44018</v>
      </c>
      <c r="D3974" s="5" t="s">
        <v>16</v>
      </c>
      <c r="E3974" s="5" t="s">
        <v>7784</v>
      </c>
      <c r="F3974" s="6">
        <v>10822.5</v>
      </c>
    </row>
    <row r="3975" spans="1:6" x14ac:dyDescent="0.15">
      <c r="A3975" s="5" t="s">
        <v>37</v>
      </c>
      <c r="B3975" s="5" t="s">
        <v>7789</v>
      </c>
      <c r="C3975" s="9">
        <v>44019</v>
      </c>
      <c r="D3975" s="5" t="s">
        <v>16</v>
      </c>
      <c r="E3975" s="5" t="s">
        <v>7790</v>
      </c>
      <c r="F3975" s="6">
        <v>7312.5</v>
      </c>
    </row>
    <row r="3976" spans="1:6" x14ac:dyDescent="0.15">
      <c r="A3976" s="5" t="s">
        <v>37</v>
      </c>
      <c r="B3976" s="5" t="s">
        <v>7781</v>
      </c>
      <c r="C3976" s="9">
        <v>44015</v>
      </c>
      <c r="D3976" s="5" t="s">
        <v>16</v>
      </c>
      <c r="E3976" s="5" t="s">
        <v>7782</v>
      </c>
      <c r="F3976" s="6">
        <v>12772.5</v>
      </c>
    </row>
    <row r="3977" spans="1:6" x14ac:dyDescent="0.15">
      <c r="A3977" s="5" t="s">
        <v>42</v>
      </c>
      <c r="B3977" s="5" t="s">
        <v>5964</v>
      </c>
      <c r="C3977" s="9">
        <v>44015</v>
      </c>
      <c r="D3977" s="5" t="s">
        <v>16</v>
      </c>
      <c r="E3977" s="5" t="s">
        <v>5965</v>
      </c>
      <c r="F3977" s="6">
        <v>5700</v>
      </c>
    </row>
    <row r="3978" spans="1:6" x14ac:dyDescent="0.15">
      <c r="A3978" s="5" t="s">
        <v>42</v>
      </c>
      <c r="B3978" s="5" t="s">
        <v>5966</v>
      </c>
      <c r="C3978" s="9">
        <v>44019</v>
      </c>
      <c r="D3978" s="5" t="s">
        <v>16</v>
      </c>
      <c r="E3978" s="5" t="s">
        <v>5967</v>
      </c>
      <c r="F3978" s="6">
        <v>6450</v>
      </c>
    </row>
    <row r="3979" spans="1:6" x14ac:dyDescent="0.15">
      <c r="A3979" s="5" t="s">
        <v>57</v>
      </c>
      <c r="B3979" s="5" t="s">
        <v>5612</v>
      </c>
      <c r="C3979" s="9">
        <v>44015</v>
      </c>
      <c r="D3979" s="5" t="s">
        <v>16</v>
      </c>
      <c r="E3979" s="5" t="s">
        <v>5312</v>
      </c>
      <c r="F3979" s="6">
        <v>1455</v>
      </c>
    </row>
    <row r="3980" spans="1:6" x14ac:dyDescent="0.15">
      <c r="A3980" s="5" t="s">
        <v>58</v>
      </c>
      <c r="B3980" s="5" t="s">
        <v>6196</v>
      </c>
      <c r="C3980" s="9">
        <v>44015</v>
      </c>
      <c r="D3980" s="5" t="s">
        <v>16</v>
      </c>
      <c r="E3980" s="5" t="s">
        <v>5312</v>
      </c>
      <c r="F3980" s="6">
        <v>75</v>
      </c>
    </row>
    <row r="3981" spans="1:6" x14ac:dyDescent="0.15">
      <c r="A3981" s="5" t="s">
        <v>53</v>
      </c>
      <c r="B3981" s="5" t="s">
        <v>8502</v>
      </c>
      <c r="C3981" s="9">
        <v>44015</v>
      </c>
      <c r="D3981" s="5" t="s">
        <v>16</v>
      </c>
      <c r="E3981" s="5" t="s">
        <v>5312</v>
      </c>
      <c r="F3981" s="6">
        <v>1950</v>
      </c>
    </row>
    <row r="3982" spans="1:6" x14ac:dyDescent="0.15">
      <c r="A3982" s="5" t="s">
        <v>43</v>
      </c>
      <c r="B3982" s="5" t="s">
        <v>5311</v>
      </c>
      <c r="C3982" s="9">
        <v>44015</v>
      </c>
      <c r="D3982" s="5" t="s">
        <v>16</v>
      </c>
      <c r="E3982" s="5" t="s">
        <v>5312</v>
      </c>
      <c r="F3982" s="6">
        <v>242.5</v>
      </c>
    </row>
    <row r="3983" spans="1:6" x14ac:dyDescent="0.15">
      <c r="A3983" s="5" t="s">
        <v>37</v>
      </c>
      <c r="B3983" s="5" t="s">
        <v>7785</v>
      </c>
      <c r="C3983" s="9">
        <v>44018</v>
      </c>
      <c r="D3983" s="5" t="s">
        <v>16</v>
      </c>
      <c r="E3983" s="5" t="s">
        <v>7786</v>
      </c>
      <c r="F3983" s="6">
        <v>2047.5</v>
      </c>
    </row>
    <row r="3984" spans="1:6" x14ac:dyDescent="0.15">
      <c r="A3984" s="5" t="s">
        <v>37</v>
      </c>
      <c r="B3984" s="5" t="s">
        <v>7787</v>
      </c>
      <c r="C3984" s="9">
        <v>44018</v>
      </c>
      <c r="D3984" s="5" t="s">
        <v>16</v>
      </c>
      <c r="E3984" s="5" t="s">
        <v>7788</v>
      </c>
      <c r="F3984" s="6">
        <v>3607.5</v>
      </c>
    </row>
    <row r="3985" spans="1:6" x14ac:dyDescent="0.15">
      <c r="A3985" s="5" t="s">
        <v>35</v>
      </c>
      <c r="B3985" s="5" t="s">
        <v>3834</v>
      </c>
      <c r="C3985" s="9">
        <v>44018</v>
      </c>
      <c r="D3985" s="5" t="s">
        <v>16</v>
      </c>
      <c r="E3985" s="5" t="s">
        <v>3835</v>
      </c>
      <c r="F3985" s="6">
        <v>14040</v>
      </c>
    </row>
    <row r="3986" spans="1:6" x14ac:dyDescent="0.15">
      <c r="A3986" s="5" t="s">
        <v>37</v>
      </c>
      <c r="B3986" s="5" t="s">
        <v>7791</v>
      </c>
      <c r="C3986" s="9">
        <v>44020</v>
      </c>
      <c r="D3986" s="5" t="s">
        <v>16</v>
      </c>
      <c r="E3986" s="5" t="s">
        <v>5314</v>
      </c>
      <c r="F3986" s="6">
        <v>487.5</v>
      </c>
    </row>
    <row r="3987" spans="1:6" x14ac:dyDescent="0.15">
      <c r="A3987" s="5" t="s">
        <v>43</v>
      </c>
      <c r="B3987" s="5" t="s">
        <v>5313</v>
      </c>
      <c r="C3987" s="9">
        <v>44020</v>
      </c>
      <c r="D3987" s="5" t="s">
        <v>16</v>
      </c>
      <c r="E3987" s="5" t="s">
        <v>5314</v>
      </c>
      <c r="F3987" s="6">
        <v>388</v>
      </c>
    </row>
    <row r="3988" spans="1:6" x14ac:dyDescent="0.15">
      <c r="A3988" s="5" t="s">
        <v>40</v>
      </c>
      <c r="B3988" s="5" t="s">
        <v>2543</v>
      </c>
      <c r="C3988" s="9">
        <v>44020</v>
      </c>
      <c r="D3988" s="5" t="s">
        <v>16</v>
      </c>
      <c r="E3988" s="5" t="s">
        <v>2544</v>
      </c>
      <c r="F3988" s="6">
        <v>225</v>
      </c>
    </row>
    <row r="3989" spans="1:6" x14ac:dyDescent="0.15">
      <c r="A3989" s="5" t="s">
        <v>8588</v>
      </c>
      <c r="B3989" s="5" t="s">
        <v>8604</v>
      </c>
      <c r="C3989" s="9">
        <v>44032</v>
      </c>
      <c r="D3989" s="5" t="s">
        <v>16</v>
      </c>
      <c r="E3989" s="5" t="s">
        <v>5715</v>
      </c>
      <c r="F3989" s="6">
        <v>14820</v>
      </c>
    </row>
    <row r="3990" spans="1:6" x14ac:dyDescent="0.15">
      <c r="A3990" s="5" t="s">
        <v>66</v>
      </c>
      <c r="B3990" s="5" t="s">
        <v>5714</v>
      </c>
      <c r="C3990" s="9">
        <v>44032</v>
      </c>
      <c r="D3990" s="5" t="s">
        <v>16</v>
      </c>
      <c r="E3990" s="5" t="s">
        <v>5715</v>
      </c>
      <c r="F3990" s="6">
        <v>5820</v>
      </c>
    </row>
    <row r="3991" spans="1:6" x14ac:dyDescent="0.15">
      <c r="A3991" s="5" t="s">
        <v>37</v>
      </c>
      <c r="B3991" s="5" t="s">
        <v>7792</v>
      </c>
      <c r="C3991" s="9">
        <v>44021</v>
      </c>
      <c r="D3991" s="5" t="s">
        <v>16</v>
      </c>
      <c r="E3991" s="5" t="s">
        <v>5316</v>
      </c>
      <c r="F3991" s="6">
        <v>8190</v>
      </c>
    </row>
    <row r="3992" spans="1:6" x14ac:dyDescent="0.15">
      <c r="A3992" s="5" t="s">
        <v>43</v>
      </c>
      <c r="B3992" s="5" t="s">
        <v>5315</v>
      </c>
      <c r="C3992" s="9">
        <v>44021</v>
      </c>
      <c r="D3992" s="5" t="s">
        <v>16</v>
      </c>
      <c r="E3992" s="5" t="s">
        <v>5316</v>
      </c>
      <c r="F3992" s="6">
        <v>4656</v>
      </c>
    </row>
    <row r="3993" spans="1:6" x14ac:dyDescent="0.15">
      <c r="A3993" s="5" t="s">
        <v>37</v>
      </c>
      <c r="B3993" s="5" t="s">
        <v>7793</v>
      </c>
      <c r="C3993" s="9">
        <v>44021</v>
      </c>
      <c r="D3993" s="5" t="s">
        <v>16</v>
      </c>
      <c r="E3993" s="5" t="s">
        <v>5969</v>
      </c>
      <c r="F3993" s="6">
        <v>1950</v>
      </c>
    </row>
    <row r="3994" spans="1:6" x14ac:dyDescent="0.15">
      <c r="A3994" s="5" t="s">
        <v>42</v>
      </c>
      <c r="B3994" s="5" t="s">
        <v>5968</v>
      </c>
      <c r="C3994" s="9">
        <v>44021</v>
      </c>
      <c r="D3994" s="5" t="s">
        <v>16</v>
      </c>
      <c r="E3994" s="5" t="s">
        <v>5969</v>
      </c>
      <c r="F3994" s="6">
        <v>1500</v>
      </c>
    </row>
    <row r="3995" spans="1:6" x14ac:dyDescent="0.15">
      <c r="A3995" s="5" t="s">
        <v>35</v>
      </c>
      <c r="B3995" s="5" t="s">
        <v>3836</v>
      </c>
      <c r="C3995" s="9">
        <v>44022</v>
      </c>
      <c r="D3995" s="5" t="s">
        <v>16</v>
      </c>
      <c r="E3995" s="5" t="s">
        <v>3837</v>
      </c>
      <c r="F3995" s="6">
        <v>2047.5</v>
      </c>
    </row>
    <row r="3996" spans="1:6" x14ac:dyDescent="0.15">
      <c r="A3996" s="5" t="s">
        <v>37</v>
      </c>
      <c r="B3996" s="5" t="s">
        <v>7794</v>
      </c>
      <c r="C3996" s="9">
        <v>44026</v>
      </c>
      <c r="D3996" s="5" t="s">
        <v>16</v>
      </c>
      <c r="E3996" s="5" t="s">
        <v>5318</v>
      </c>
      <c r="F3996" s="6">
        <v>16380</v>
      </c>
    </row>
    <row r="3997" spans="1:6" x14ac:dyDescent="0.15">
      <c r="A3997" s="5" t="s">
        <v>43</v>
      </c>
      <c r="B3997" s="5" t="s">
        <v>5317</v>
      </c>
      <c r="C3997" s="9">
        <v>44026</v>
      </c>
      <c r="D3997" s="5" t="s">
        <v>16</v>
      </c>
      <c r="E3997" s="5" t="s">
        <v>5318</v>
      </c>
      <c r="F3997" s="6">
        <v>4656</v>
      </c>
    </row>
    <row r="3998" spans="1:6" x14ac:dyDescent="0.15">
      <c r="A3998" s="5" t="s">
        <v>53</v>
      </c>
      <c r="B3998" s="5" t="s">
        <v>8503</v>
      </c>
      <c r="C3998" s="9">
        <v>44026</v>
      </c>
      <c r="D3998" s="5" t="s">
        <v>16</v>
      </c>
      <c r="E3998" s="5" t="s">
        <v>5318</v>
      </c>
      <c r="F3998" s="6">
        <v>7020</v>
      </c>
    </row>
    <row r="3999" spans="1:6" x14ac:dyDescent="0.15">
      <c r="A3999" s="5" t="s">
        <v>57</v>
      </c>
      <c r="B3999" s="5" t="s">
        <v>5613</v>
      </c>
      <c r="C3999" s="9">
        <v>44026</v>
      </c>
      <c r="D3999" s="5" t="s">
        <v>16</v>
      </c>
      <c r="E3999" s="5" t="s">
        <v>5318</v>
      </c>
      <c r="F3999" s="6">
        <v>2328</v>
      </c>
    </row>
    <row r="4000" spans="1:6" x14ac:dyDescent="0.15">
      <c r="A4000" s="5" t="s">
        <v>40</v>
      </c>
      <c r="B4000" s="5" t="s">
        <v>2545</v>
      </c>
      <c r="C4000" s="9">
        <v>44027</v>
      </c>
      <c r="D4000" s="5" t="s">
        <v>16</v>
      </c>
      <c r="E4000" s="5" t="s">
        <v>2546</v>
      </c>
      <c r="F4000" s="6">
        <v>1500</v>
      </c>
    </row>
    <row r="4001" spans="1:6" x14ac:dyDescent="0.15">
      <c r="A4001" s="5" t="s">
        <v>158</v>
      </c>
      <c r="B4001" s="5" t="s">
        <v>8576</v>
      </c>
      <c r="C4001" s="9">
        <v>44032</v>
      </c>
      <c r="D4001" s="5" t="s">
        <v>16</v>
      </c>
      <c r="E4001" s="5" t="s">
        <v>3851</v>
      </c>
      <c r="F4001" s="6">
        <v>4680</v>
      </c>
    </row>
    <row r="4002" spans="1:6" x14ac:dyDescent="0.15">
      <c r="A4002" s="5" t="s">
        <v>35</v>
      </c>
      <c r="B4002" s="5" t="s">
        <v>3850</v>
      </c>
      <c r="C4002" s="9">
        <v>44032</v>
      </c>
      <c r="D4002" s="5" t="s">
        <v>16</v>
      </c>
      <c r="E4002" s="5" t="s">
        <v>3851</v>
      </c>
      <c r="F4002" s="6">
        <v>7800</v>
      </c>
    </row>
    <row r="4003" spans="1:6" x14ac:dyDescent="0.15">
      <c r="A4003" s="5" t="s">
        <v>37</v>
      </c>
      <c r="B4003" s="5" t="s">
        <v>7795</v>
      </c>
      <c r="C4003" s="9">
        <v>44026</v>
      </c>
      <c r="D4003" s="5" t="s">
        <v>16</v>
      </c>
      <c r="E4003" s="5" t="s">
        <v>3839</v>
      </c>
      <c r="F4003" s="6">
        <v>2827.5</v>
      </c>
    </row>
    <row r="4004" spans="1:6" x14ac:dyDescent="0.15">
      <c r="A4004" s="5" t="s">
        <v>35</v>
      </c>
      <c r="B4004" s="5" t="s">
        <v>3838</v>
      </c>
      <c r="C4004" s="9">
        <v>44026</v>
      </c>
      <c r="D4004" s="5" t="s">
        <v>16</v>
      </c>
      <c r="E4004" s="5" t="s">
        <v>3839</v>
      </c>
      <c r="F4004" s="6">
        <v>780</v>
      </c>
    </row>
    <row r="4005" spans="1:6" x14ac:dyDescent="0.15">
      <c r="A4005" s="5" t="s">
        <v>35</v>
      </c>
      <c r="B4005" s="5" t="s">
        <v>3840</v>
      </c>
      <c r="C4005" s="9">
        <v>44026</v>
      </c>
      <c r="D4005" s="5" t="s">
        <v>16</v>
      </c>
      <c r="E4005" s="5" t="s">
        <v>3841</v>
      </c>
      <c r="F4005" s="6">
        <v>1462.5</v>
      </c>
    </row>
    <row r="4006" spans="1:6" x14ac:dyDescent="0.15">
      <c r="A4006" s="5" t="s">
        <v>37</v>
      </c>
      <c r="B4006" s="5" t="s">
        <v>7796</v>
      </c>
      <c r="C4006" s="9">
        <v>44026</v>
      </c>
      <c r="D4006" s="5" t="s">
        <v>16</v>
      </c>
      <c r="E4006" s="5" t="s">
        <v>3843</v>
      </c>
      <c r="F4006" s="6">
        <v>7995</v>
      </c>
    </row>
    <row r="4007" spans="1:6" x14ac:dyDescent="0.15">
      <c r="A4007" s="5" t="s">
        <v>35</v>
      </c>
      <c r="B4007" s="5" t="s">
        <v>3842</v>
      </c>
      <c r="C4007" s="9">
        <v>44026</v>
      </c>
      <c r="D4007" s="5" t="s">
        <v>16</v>
      </c>
      <c r="E4007" s="5" t="s">
        <v>3843</v>
      </c>
      <c r="F4007" s="6">
        <v>2047.5</v>
      </c>
    </row>
    <row r="4008" spans="1:6" x14ac:dyDescent="0.15">
      <c r="A4008" s="5" t="s">
        <v>37</v>
      </c>
      <c r="B4008" s="5" t="s">
        <v>7797</v>
      </c>
      <c r="C4008" s="9">
        <v>44026</v>
      </c>
      <c r="D4008" s="5" t="s">
        <v>16</v>
      </c>
      <c r="E4008" s="5" t="s">
        <v>7798</v>
      </c>
      <c r="F4008" s="6">
        <v>19500</v>
      </c>
    </row>
    <row r="4009" spans="1:6" x14ac:dyDescent="0.15">
      <c r="A4009" s="5" t="s">
        <v>41</v>
      </c>
      <c r="B4009" s="5" t="s">
        <v>2058</v>
      </c>
      <c r="C4009" s="9">
        <v>44027</v>
      </c>
      <c r="D4009" s="5" t="s">
        <v>16</v>
      </c>
      <c r="E4009" s="5" t="s">
        <v>2059</v>
      </c>
      <c r="F4009" s="6">
        <v>2182.5</v>
      </c>
    </row>
    <row r="4010" spans="1:6" x14ac:dyDescent="0.15">
      <c r="A4010" s="5" t="s">
        <v>37</v>
      </c>
      <c r="B4010" s="5" t="s">
        <v>7799</v>
      </c>
      <c r="C4010" s="9">
        <v>44026</v>
      </c>
      <c r="D4010" s="5" t="s">
        <v>16</v>
      </c>
      <c r="E4010" s="5" t="s">
        <v>3845</v>
      </c>
      <c r="F4010" s="6">
        <v>2827.5</v>
      </c>
    </row>
    <row r="4011" spans="1:6" x14ac:dyDescent="0.15">
      <c r="A4011" s="5" t="s">
        <v>35</v>
      </c>
      <c r="B4011" s="5" t="s">
        <v>3844</v>
      </c>
      <c r="C4011" s="9">
        <v>44026</v>
      </c>
      <c r="D4011" s="5" t="s">
        <v>16</v>
      </c>
      <c r="E4011" s="5" t="s">
        <v>3845</v>
      </c>
      <c r="F4011" s="6">
        <v>195</v>
      </c>
    </row>
    <row r="4012" spans="1:6" x14ac:dyDescent="0.15">
      <c r="A4012" s="5" t="s">
        <v>37</v>
      </c>
      <c r="B4012" s="5" t="s">
        <v>7800</v>
      </c>
      <c r="C4012" s="9">
        <v>44027</v>
      </c>
      <c r="D4012" s="5" t="s">
        <v>16</v>
      </c>
      <c r="E4012" s="5" t="s">
        <v>3847</v>
      </c>
      <c r="F4012" s="6">
        <v>-2827.5</v>
      </c>
    </row>
    <row r="4013" spans="1:6" x14ac:dyDescent="0.15">
      <c r="A4013" s="5" t="s">
        <v>35</v>
      </c>
      <c r="B4013" s="5" t="s">
        <v>3846</v>
      </c>
      <c r="C4013" s="9">
        <v>44027</v>
      </c>
      <c r="D4013" s="5" t="s">
        <v>16</v>
      </c>
      <c r="E4013" s="5" t="s">
        <v>3847</v>
      </c>
      <c r="F4013" s="6">
        <v>-780</v>
      </c>
    </row>
    <row r="4014" spans="1:6" x14ac:dyDescent="0.15">
      <c r="A4014" s="5" t="s">
        <v>43</v>
      </c>
      <c r="B4014" s="5" t="s">
        <v>5321</v>
      </c>
      <c r="C4014" s="9">
        <v>44029</v>
      </c>
      <c r="D4014" s="5" t="s">
        <v>16</v>
      </c>
      <c r="E4014" s="5" t="s">
        <v>5322</v>
      </c>
      <c r="F4014" s="6">
        <v>5820</v>
      </c>
    </row>
    <row r="4015" spans="1:6" x14ac:dyDescent="0.15">
      <c r="A4015" s="5" t="s">
        <v>65</v>
      </c>
      <c r="B4015" s="5" t="s">
        <v>4272</v>
      </c>
      <c r="C4015" s="9">
        <v>44056</v>
      </c>
      <c r="D4015" s="5" t="s">
        <v>16</v>
      </c>
      <c r="E4015" s="5" t="s">
        <v>4273</v>
      </c>
      <c r="F4015" s="6">
        <v>6750</v>
      </c>
    </row>
    <row r="4016" spans="1:6" x14ac:dyDescent="0.15">
      <c r="A4016" s="5" t="s">
        <v>43</v>
      </c>
      <c r="B4016" s="5" t="s">
        <v>5319</v>
      </c>
      <c r="C4016" s="9">
        <v>44028</v>
      </c>
      <c r="D4016" s="5" t="s">
        <v>16</v>
      </c>
      <c r="E4016" s="5" t="s">
        <v>5320</v>
      </c>
      <c r="F4016" s="6">
        <v>1455</v>
      </c>
    </row>
    <row r="4017" spans="1:6" x14ac:dyDescent="0.15">
      <c r="A4017" s="5" t="s">
        <v>42</v>
      </c>
      <c r="B4017" s="5" t="s">
        <v>5970</v>
      </c>
      <c r="C4017" s="9">
        <v>44028</v>
      </c>
      <c r="D4017" s="5" t="s">
        <v>16</v>
      </c>
      <c r="E4017" s="5" t="s">
        <v>5320</v>
      </c>
      <c r="F4017" s="6">
        <v>2250</v>
      </c>
    </row>
    <row r="4018" spans="1:6" x14ac:dyDescent="0.15">
      <c r="A4018" s="5" t="s">
        <v>37</v>
      </c>
      <c r="B4018" s="5" t="s">
        <v>7801</v>
      </c>
      <c r="C4018" s="9">
        <v>44028</v>
      </c>
      <c r="D4018" s="5" t="s">
        <v>16</v>
      </c>
      <c r="E4018" s="5" t="s">
        <v>5320</v>
      </c>
      <c r="F4018" s="6">
        <v>2925</v>
      </c>
    </row>
    <row r="4019" spans="1:6" x14ac:dyDescent="0.15">
      <c r="A4019" s="5" t="s">
        <v>35</v>
      </c>
      <c r="B4019" s="5" t="s">
        <v>3848</v>
      </c>
      <c r="C4019" s="9">
        <v>44029</v>
      </c>
      <c r="D4019" s="5" t="s">
        <v>16</v>
      </c>
      <c r="E4019" s="5" t="s">
        <v>3849</v>
      </c>
      <c r="F4019" s="6">
        <v>4290</v>
      </c>
    </row>
    <row r="4020" spans="1:6" x14ac:dyDescent="0.15">
      <c r="A4020" s="5" t="s">
        <v>37</v>
      </c>
      <c r="B4020" s="5" t="s">
        <v>7802</v>
      </c>
      <c r="C4020" s="9">
        <v>44032</v>
      </c>
      <c r="D4020" s="5" t="s">
        <v>16</v>
      </c>
      <c r="E4020" s="5" t="s">
        <v>7803</v>
      </c>
      <c r="F4020" s="6">
        <v>15600</v>
      </c>
    </row>
    <row r="4021" spans="1:6" x14ac:dyDescent="0.15">
      <c r="A4021" s="5" t="s">
        <v>44</v>
      </c>
      <c r="B4021" s="5" t="s">
        <v>4423</v>
      </c>
      <c r="C4021" s="9">
        <v>44046</v>
      </c>
      <c r="D4021" s="5" t="s">
        <v>16</v>
      </c>
      <c r="E4021" s="5" t="s">
        <v>4424</v>
      </c>
      <c r="F4021" s="6">
        <v>25350</v>
      </c>
    </row>
    <row r="4022" spans="1:6" x14ac:dyDescent="0.15">
      <c r="A4022" s="5" t="s">
        <v>41</v>
      </c>
      <c r="B4022" s="5" t="s">
        <v>2062</v>
      </c>
      <c r="C4022" s="9">
        <v>44046</v>
      </c>
      <c r="D4022" s="5" t="s">
        <v>16</v>
      </c>
      <c r="E4022" s="5" t="s">
        <v>2063</v>
      </c>
      <c r="F4022" s="6">
        <v>7469</v>
      </c>
    </row>
    <row r="4023" spans="1:6" x14ac:dyDescent="0.15">
      <c r="A4023" s="5" t="s">
        <v>44</v>
      </c>
      <c r="B4023" s="5" t="s">
        <v>4425</v>
      </c>
      <c r="C4023" s="9">
        <v>44046</v>
      </c>
      <c r="D4023" s="5" t="s">
        <v>16</v>
      </c>
      <c r="E4023" s="5" t="s">
        <v>2063</v>
      </c>
      <c r="F4023" s="6">
        <v>3900</v>
      </c>
    </row>
    <row r="4024" spans="1:6" x14ac:dyDescent="0.15">
      <c r="A4024" s="5" t="s">
        <v>37</v>
      </c>
      <c r="B4024" s="5" t="s">
        <v>7804</v>
      </c>
      <c r="C4024" s="9">
        <v>44032</v>
      </c>
      <c r="D4024" s="5" t="s">
        <v>16</v>
      </c>
      <c r="E4024" s="5" t="s">
        <v>7805</v>
      </c>
      <c r="F4024" s="6">
        <v>15600</v>
      </c>
    </row>
    <row r="4025" spans="1:6" x14ac:dyDescent="0.15">
      <c r="A4025" s="5" t="s">
        <v>41</v>
      </c>
      <c r="B4025" s="5" t="s">
        <v>2060</v>
      </c>
      <c r="C4025" s="9">
        <v>44033</v>
      </c>
      <c r="D4025" s="5" t="s">
        <v>16</v>
      </c>
      <c r="E4025" s="5" t="s">
        <v>2061</v>
      </c>
      <c r="F4025" s="6">
        <v>1212.5</v>
      </c>
    </row>
    <row r="4026" spans="1:6" x14ac:dyDescent="0.15">
      <c r="A4026" s="5" t="s">
        <v>35</v>
      </c>
      <c r="B4026" s="5" t="s">
        <v>3852</v>
      </c>
      <c r="C4026" s="9">
        <v>44033</v>
      </c>
      <c r="D4026" s="5" t="s">
        <v>16</v>
      </c>
      <c r="E4026" s="5" t="s">
        <v>2061</v>
      </c>
      <c r="F4026" s="6">
        <v>2437.5</v>
      </c>
    </row>
    <row r="4027" spans="1:6" x14ac:dyDescent="0.15">
      <c r="A4027" s="5" t="s">
        <v>37</v>
      </c>
      <c r="B4027" s="5" t="s">
        <v>7806</v>
      </c>
      <c r="C4027" s="9">
        <v>44032</v>
      </c>
      <c r="D4027" s="5" t="s">
        <v>16</v>
      </c>
      <c r="E4027" s="5" t="s">
        <v>7807</v>
      </c>
      <c r="F4027" s="6">
        <v>-15600</v>
      </c>
    </row>
    <row r="4028" spans="1:6" x14ac:dyDescent="0.15">
      <c r="A4028" s="5" t="s">
        <v>35</v>
      </c>
      <c r="B4028" s="5" t="s">
        <v>3853</v>
      </c>
      <c r="C4028" s="9">
        <v>44035</v>
      </c>
      <c r="D4028" s="5" t="s">
        <v>16</v>
      </c>
      <c r="E4028" s="5" t="s">
        <v>3854</v>
      </c>
      <c r="F4028" s="6">
        <v>97.5</v>
      </c>
    </row>
    <row r="4029" spans="1:6" x14ac:dyDescent="0.15">
      <c r="A4029" s="5" t="s">
        <v>37</v>
      </c>
      <c r="B4029" s="5" t="s">
        <v>7808</v>
      </c>
      <c r="C4029" s="9">
        <v>44035</v>
      </c>
      <c r="D4029" s="5" t="s">
        <v>16</v>
      </c>
      <c r="E4029" s="5" t="s">
        <v>7809</v>
      </c>
      <c r="F4029" s="6">
        <v>3997.5</v>
      </c>
    </row>
    <row r="4030" spans="1:6" x14ac:dyDescent="0.15">
      <c r="A4030" s="5" t="s">
        <v>37</v>
      </c>
      <c r="B4030" s="5" t="s">
        <v>7810</v>
      </c>
      <c r="C4030" s="9">
        <v>44035</v>
      </c>
      <c r="D4030" s="5" t="s">
        <v>16</v>
      </c>
      <c r="E4030" s="5" t="s">
        <v>7811</v>
      </c>
      <c r="F4030" s="6">
        <v>19500</v>
      </c>
    </row>
    <row r="4031" spans="1:6" x14ac:dyDescent="0.15">
      <c r="A4031" s="5" t="s">
        <v>37</v>
      </c>
      <c r="B4031" s="5" t="s">
        <v>7812</v>
      </c>
      <c r="C4031" s="9">
        <v>44039</v>
      </c>
      <c r="D4031" s="5" t="s">
        <v>16</v>
      </c>
      <c r="E4031" s="5" t="s">
        <v>7813</v>
      </c>
      <c r="F4031" s="6">
        <v>682.5</v>
      </c>
    </row>
    <row r="4032" spans="1:6" x14ac:dyDescent="0.15">
      <c r="A4032" s="5" t="s">
        <v>37</v>
      </c>
      <c r="B4032" s="5" t="s">
        <v>7814</v>
      </c>
      <c r="C4032" s="9">
        <v>44041</v>
      </c>
      <c r="D4032" s="5" t="s">
        <v>16</v>
      </c>
      <c r="E4032" s="5" t="s">
        <v>7815</v>
      </c>
      <c r="F4032" s="6">
        <v>4290</v>
      </c>
    </row>
    <row r="4033" spans="1:6" x14ac:dyDescent="0.15">
      <c r="A4033" s="5" t="s">
        <v>37</v>
      </c>
      <c r="B4033" s="5" t="s">
        <v>7816</v>
      </c>
      <c r="C4033" s="9">
        <v>44041</v>
      </c>
      <c r="D4033" s="5" t="s">
        <v>16</v>
      </c>
      <c r="E4033" s="5" t="s">
        <v>7817</v>
      </c>
      <c r="F4033" s="6">
        <v>4290</v>
      </c>
    </row>
    <row r="4034" spans="1:6" x14ac:dyDescent="0.15">
      <c r="A4034" s="5" t="s">
        <v>42</v>
      </c>
      <c r="B4034" s="5" t="s">
        <v>5971</v>
      </c>
      <c r="C4034" s="9">
        <v>44040</v>
      </c>
      <c r="D4034" s="5" t="s">
        <v>16</v>
      </c>
      <c r="E4034" s="5" t="s">
        <v>5972</v>
      </c>
      <c r="F4034" s="6">
        <v>4125</v>
      </c>
    </row>
    <row r="4035" spans="1:6" x14ac:dyDescent="0.15">
      <c r="A4035" s="5" t="s">
        <v>37</v>
      </c>
      <c r="B4035" s="5" t="s">
        <v>7818</v>
      </c>
      <c r="C4035" s="9">
        <v>44041</v>
      </c>
      <c r="D4035" s="5" t="s">
        <v>16</v>
      </c>
      <c r="E4035" s="5" t="s">
        <v>7819</v>
      </c>
      <c r="F4035" s="6">
        <v>2145</v>
      </c>
    </row>
    <row r="4036" spans="1:6" x14ac:dyDescent="0.15">
      <c r="A4036" s="5" t="s">
        <v>37</v>
      </c>
      <c r="B4036" s="5" t="s">
        <v>7820</v>
      </c>
      <c r="C4036" s="9">
        <v>44041</v>
      </c>
      <c r="D4036" s="5" t="s">
        <v>16</v>
      </c>
      <c r="E4036" s="5" t="s">
        <v>5324</v>
      </c>
      <c r="F4036" s="6">
        <v>1755</v>
      </c>
    </row>
    <row r="4037" spans="1:6" x14ac:dyDescent="0.15">
      <c r="A4037" s="5" t="s">
        <v>43</v>
      </c>
      <c r="B4037" s="5" t="s">
        <v>5323</v>
      </c>
      <c r="C4037" s="9">
        <v>44041</v>
      </c>
      <c r="D4037" s="5" t="s">
        <v>16</v>
      </c>
      <c r="E4037" s="5" t="s">
        <v>5324</v>
      </c>
      <c r="F4037" s="6">
        <v>436.5</v>
      </c>
    </row>
    <row r="4038" spans="1:6" x14ac:dyDescent="0.15">
      <c r="A4038" s="5" t="s">
        <v>37</v>
      </c>
      <c r="B4038" s="5" t="s">
        <v>7821</v>
      </c>
      <c r="C4038" s="9">
        <v>44041</v>
      </c>
      <c r="D4038" s="5" t="s">
        <v>16</v>
      </c>
      <c r="E4038" s="5" t="s">
        <v>5974</v>
      </c>
      <c r="F4038" s="6">
        <v>195</v>
      </c>
    </row>
    <row r="4039" spans="1:6" x14ac:dyDescent="0.15">
      <c r="A4039" s="5" t="s">
        <v>42</v>
      </c>
      <c r="B4039" s="5" t="s">
        <v>5973</v>
      </c>
      <c r="C4039" s="9">
        <v>44041</v>
      </c>
      <c r="D4039" s="5" t="s">
        <v>16</v>
      </c>
      <c r="E4039" s="5" t="s">
        <v>5974</v>
      </c>
      <c r="F4039" s="6">
        <v>150</v>
      </c>
    </row>
    <row r="4040" spans="1:6" x14ac:dyDescent="0.15">
      <c r="A4040" s="5" t="s">
        <v>37</v>
      </c>
      <c r="B4040" s="5" t="s">
        <v>7822</v>
      </c>
      <c r="C4040" s="9">
        <v>44042</v>
      </c>
      <c r="D4040" s="5" t="s">
        <v>16</v>
      </c>
      <c r="E4040" s="5" t="s">
        <v>7823</v>
      </c>
      <c r="F4040" s="6">
        <v>97.5</v>
      </c>
    </row>
    <row r="4041" spans="1:6" x14ac:dyDescent="0.15">
      <c r="A4041" s="5" t="s">
        <v>37</v>
      </c>
      <c r="B4041" s="5" t="s">
        <v>7824</v>
      </c>
      <c r="C4041" s="9">
        <v>44042</v>
      </c>
      <c r="D4041" s="5" t="s">
        <v>16</v>
      </c>
      <c r="E4041" s="5" t="s">
        <v>7825</v>
      </c>
      <c r="F4041" s="6">
        <v>2730</v>
      </c>
    </row>
    <row r="4042" spans="1:6" x14ac:dyDescent="0.15">
      <c r="A4042" s="5" t="s">
        <v>43</v>
      </c>
      <c r="B4042" s="5" t="s">
        <v>5325</v>
      </c>
      <c r="C4042" s="9">
        <v>44042</v>
      </c>
      <c r="D4042" s="5" t="s">
        <v>16</v>
      </c>
      <c r="E4042" s="5" t="s">
        <v>5326</v>
      </c>
      <c r="F4042" s="6">
        <v>3492</v>
      </c>
    </row>
    <row r="4043" spans="1:6" x14ac:dyDescent="0.15">
      <c r="A4043" s="5" t="s">
        <v>35</v>
      </c>
      <c r="B4043" s="5" t="s">
        <v>3855</v>
      </c>
      <c r="C4043" s="9">
        <v>44046</v>
      </c>
      <c r="D4043" s="5" t="s">
        <v>16</v>
      </c>
      <c r="E4043" s="5" t="s">
        <v>3856</v>
      </c>
      <c r="F4043" s="6">
        <v>5362.5</v>
      </c>
    </row>
    <row r="4044" spans="1:6" x14ac:dyDescent="0.15">
      <c r="A4044" s="5" t="s">
        <v>37</v>
      </c>
      <c r="B4044" s="5" t="s">
        <v>7826</v>
      </c>
      <c r="C4044" s="9">
        <v>44046</v>
      </c>
      <c r="D4044" s="5" t="s">
        <v>16</v>
      </c>
      <c r="E4044" s="5" t="s">
        <v>7827</v>
      </c>
      <c r="F4044" s="6">
        <v>19890</v>
      </c>
    </row>
    <row r="4045" spans="1:6" x14ac:dyDescent="0.15">
      <c r="A4045" s="5" t="s">
        <v>37</v>
      </c>
      <c r="B4045" s="5" t="s">
        <v>7828</v>
      </c>
      <c r="C4045" s="9">
        <v>44046</v>
      </c>
      <c r="D4045" s="5" t="s">
        <v>16</v>
      </c>
      <c r="E4045" s="5" t="s">
        <v>7829</v>
      </c>
      <c r="F4045" s="6">
        <v>3607.5</v>
      </c>
    </row>
    <row r="4046" spans="1:6" x14ac:dyDescent="0.15">
      <c r="A4046" s="5" t="s">
        <v>37</v>
      </c>
      <c r="B4046" s="5" t="s">
        <v>7830</v>
      </c>
      <c r="C4046" s="9">
        <v>44046</v>
      </c>
      <c r="D4046" s="5" t="s">
        <v>16</v>
      </c>
      <c r="E4046" s="5" t="s">
        <v>5328</v>
      </c>
      <c r="F4046" s="6">
        <v>21060</v>
      </c>
    </row>
    <row r="4047" spans="1:6" x14ac:dyDescent="0.15">
      <c r="A4047" s="5" t="s">
        <v>43</v>
      </c>
      <c r="B4047" s="5" t="s">
        <v>5327</v>
      </c>
      <c r="C4047" s="9">
        <v>44046</v>
      </c>
      <c r="D4047" s="5" t="s">
        <v>16</v>
      </c>
      <c r="E4047" s="5" t="s">
        <v>5328</v>
      </c>
      <c r="F4047" s="6">
        <v>4850</v>
      </c>
    </row>
    <row r="4048" spans="1:6" x14ac:dyDescent="0.15">
      <c r="A4048" s="5" t="s">
        <v>43</v>
      </c>
      <c r="B4048" s="5" t="s">
        <v>5329</v>
      </c>
      <c r="C4048" s="9">
        <v>44046</v>
      </c>
      <c r="D4048" s="5" t="s">
        <v>16</v>
      </c>
      <c r="E4048" s="5" t="s">
        <v>5330</v>
      </c>
      <c r="F4048" s="6">
        <v>4850</v>
      </c>
    </row>
    <row r="4049" spans="1:6" x14ac:dyDescent="0.15">
      <c r="A4049" s="5" t="s">
        <v>43</v>
      </c>
      <c r="B4049" s="5" t="s">
        <v>5331</v>
      </c>
      <c r="C4049" s="9">
        <v>44047</v>
      </c>
      <c r="D4049" s="5" t="s">
        <v>16</v>
      </c>
      <c r="E4049" s="5" t="s">
        <v>5332</v>
      </c>
      <c r="F4049" s="6">
        <v>2425</v>
      </c>
    </row>
    <row r="4050" spans="1:6" x14ac:dyDescent="0.15">
      <c r="A4050" s="5" t="s">
        <v>37</v>
      </c>
      <c r="B4050" s="5" t="s">
        <v>7831</v>
      </c>
      <c r="C4050" s="9">
        <v>44047</v>
      </c>
      <c r="D4050" s="5" t="s">
        <v>16</v>
      </c>
      <c r="E4050" s="5" t="s">
        <v>7832</v>
      </c>
      <c r="F4050" s="6">
        <v>3217.5</v>
      </c>
    </row>
    <row r="4051" spans="1:6" x14ac:dyDescent="0.15">
      <c r="A4051" s="5" t="s">
        <v>37</v>
      </c>
      <c r="B4051" s="5" t="s">
        <v>7833</v>
      </c>
      <c r="C4051" s="9">
        <v>44047</v>
      </c>
      <c r="D4051" s="5" t="s">
        <v>16</v>
      </c>
      <c r="E4051" s="5" t="s">
        <v>7834</v>
      </c>
      <c r="F4051" s="6">
        <v>2827.5</v>
      </c>
    </row>
    <row r="4052" spans="1:6" x14ac:dyDescent="0.15">
      <c r="A4052" s="5" t="s">
        <v>37</v>
      </c>
      <c r="B4052" s="5" t="s">
        <v>7835</v>
      </c>
      <c r="C4052" s="9">
        <v>44048</v>
      </c>
      <c r="D4052" s="5" t="s">
        <v>16</v>
      </c>
      <c r="E4052" s="5" t="s">
        <v>7836</v>
      </c>
      <c r="F4052" s="6">
        <v>11992.5</v>
      </c>
    </row>
    <row r="4053" spans="1:6" x14ac:dyDescent="0.15">
      <c r="A4053" s="5" t="s">
        <v>37</v>
      </c>
      <c r="B4053" s="5" t="s">
        <v>7837</v>
      </c>
      <c r="C4053" s="9">
        <v>44048</v>
      </c>
      <c r="D4053" s="5" t="s">
        <v>16</v>
      </c>
      <c r="E4053" s="5" t="s">
        <v>7838</v>
      </c>
      <c r="F4053" s="6">
        <v>18330</v>
      </c>
    </row>
    <row r="4054" spans="1:6" x14ac:dyDescent="0.15">
      <c r="A4054" s="5" t="s">
        <v>37</v>
      </c>
      <c r="B4054" s="5" t="s">
        <v>7839</v>
      </c>
      <c r="C4054" s="9">
        <v>44048</v>
      </c>
      <c r="D4054" s="5" t="s">
        <v>16</v>
      </c>
      <c r="E4054" s="5" t="s">
        <v>7840</v>
      </c>
      <c r="F4054" s="6">
        <v>17647.5</v>
      </c>
    </row>
    <row r="4055" spans="1:6" x14ac:dyDescent="0.15">
      <c r="A4055" s="5" t="s">
        <v>35</v>
      </c>
      <c r="B4055" s="5" t="s">
        <v>3857</v>
      </c>
      <c r="C4055" s="9">
        <v>44047</v>
      </c>
      <c r="D4055" s="5" t="s">
        <v>16</v>
      </c>
      <c r="E4055" s="5" t="s">
        <v>3858</v>
      </c>
      <c r="F4055" s="6">
        <v>4972.5</v>
      </c>
    </row>
    <row r="4056" spans="1:6" x14ac:dyDescent="0.15">
      <c r="A4056" s="5" t="s">
        <v>35</v>
      </c>
      <c r="B4056" s="5" t="s">
        <v>3859</v>
      </c>
      <c r="C4056" s="9">
        <v>44048</v>
      </c>
      <c r="D4056" s="5" t="s">
        <v>16</v>
      </c>
      <c r="E4056" s="5" t="s">
        <v>2548</v>
      </c>
      <c r="F4056" s="6">
        <v>1657.5</v>
      </c>
    </row>
    <row r="4057" spans="1:6" x14ac:dyDescent="0.15">
      <c r="A4057" s="5" t="s">
        <v>40</v>
      </c>
      <c r="B4057" s="5" t="s">
        <v>2547</v>
      </c>
      <c r="C4057" s="9">
        <v>44048</v>
      </c>
      <c r="D4057" s="5" t="s">
        <v>16</v>
      </c>
      <c r="E4057" s="5" t="s">
        <v>2548</v>
      </c>
      <c r="F4057" s="6">
        <v>525</v>
      </c>
    </row>
    <row r="4058" spans="1:6" x14ac:dyDescent="0.15">
      <c r="A4058" s="5" t="s">
        <v>35</v>
      </c>
      <c r="B4058" s="5" t="s">
        <v>3860</v>
      </c>
      <c r="C4058" s="9">
        <v>44049</v>
      </c>
      <c r="D4058" s="5" t="s">
        <v>16</v>
      </c>
      <c r="E4058" s="5" t="s">
        <v>3861</v>
      </c>
      <c r="F4058" s="6">
        <v>292.5</v>
      </c>
    </row>
    <row r="4059" spans="1:6" x14ac:dyDescent="0.15">
      <c r="A4059" s="5" t="s">
        <v>35</v>
      </c>
      <c r="B4059" s="5" t="s">
        <v>3862</v>
      </c>
      <c r="C4059" s="9">
        <v>44049</v>
      </c>
      <c r="D4059" s="5" t="s">
        <v>16</v>
      </c>
      <c r="E4059" s="5" t="s">
        <v>2550</v>
      </c>
      <c r="F4059" s="6">
        <v>3607.5</v>
      </c>
    </row>
    <row r="4060" spans="1:6" x14ac:dyDescent="0.15">
      <c r="A4060" s="5" t="s">
        <v>40</v>
      </c>
      <c r="B4060" s="5" t="s">
        <v>2549</v>
      </c>
      <c r="C4060" s="9">
        <v>44049</v>
      </c>
      <c r="D4060" s="5" t="s">
        <v>16</v>
      </c>
      <c r="E4060" s="5" t="s">
        <v>2550</v>
      </c>
      <c r="F4060" s="6">
        <v>225</v>
      </c>
    </row>
    <row r="4061" spans="1:6" x14ac:dyDescent="0.15">
      <c r="A4061" s="5" t="s">
        <v>37</v>
      </c>
      <c r="B4061" s="5" t="s">
        <v>7841</v>
      </c>
      <c r="C4061" s="9">
        <v>44048</v>
      </c>
      <c r="D4061" s="5" t="s">
        <v>16</v>
      </c>
      <c r="E4061" s="5" t="s">
        <v>7842</v>
      </c>
      <c r="F4061" s="6">
        <v>4095</v>
      </c>
    </row>
    <row r="4062" spans="1:6" x14ac:dyDescent="0.15">
      <c r="A4062" s="5" t="s">
        <v>37</v>
      </c>
      <c r="B4062" s="5" t="s">
        <v>7843</v>
      </c>
      <c r="C4062" s="9">
        <v>44048</v>
      </c>
      <c r="D4062" s="5" t="s">
        <v>16</v>
      </c>
      <c r="E4062" s="5" t="s">
        <v>7844</v>
      </c>
      <c r="F4062" s="6">
        <v>585</v>
      </c>
    </row>
    <row r="4063" spans="1:6" x14ac:dyDescent="0.15">
      <c r="A4063" s="5" t="s">
        <v>37</v>
      </c>
      <c r="B4063" s="5" t="s">
        <v>7845</v>
      </c>
      <c r="C4063" s="9">
        <v>44049</v>
      </c>
      <c r="D4063" s="5" t="s">
        <v>16</v>
      </c>
      <c r="E4063" s="5" t="s">
        <v>7846</v>
      </c>
      <c r="F4063" s="6">
        <v>195</v>
      </c>
    </row>
    <row r="4064" spans="1:6" x14ac:dyDescent="0.15">
      <c r="A4064" s="5" t="s">
        <v>43</v>
      </c>
      <c r="B4064" s="5" t="s">
        <v>5333</v>
      </c>
      <c r="C4064" s="9">
        <v>44048</v>
      </c>
      <c r="D4064" s="5" t="s">
        <v>16</v>
      </c>
      <c r="E4064" s="5" t="s">
        <v>5334</v>
      </c>
      <c r="F4064" s="6">
        <v>4995.5</v>
      </c>
    </row>
    <row r="4065" spans="1:6" x14ac:dyDescent="0.15">
      <c r="A4065" s="5" t="s">
        <v>37</v>
      </c>
      <c r="B4065" s="5" t="s">
        <v>7847</v>
      </c>
      <c r="C4065" s="9">
        <v>44053</v>
      </c>
      <c r="D4065" s="5" t="s">
        <v>16</v>
      </c>
      <c r="E4065" s="5" t="s">
        <v>7848</v>
      </c>
      <c r="F4065" s="6">
        <v>13162.5</v>
      </c>
    </row>
    <row r="4066" spans="1:6" x14ac:dyDescent="0.15">
      <c r="A4066" s="5" t="s">
        <v>37</v>
      </c>
      <c r="B4066" s="5" t="s">
        <v>7849</v>
      </c>
      <c r="C4066" s="9">
        <v>44053</v>
      </c>
      <c r="D4066" s="5" t="s">
        <v>16</v>
      </c>
      <c r="E4066" s="5" t="s">
        <v>7850</v>
      </c>
      <c r="F4066" s="6">
        <v>4875</v>
      </c>
    </row>
    <row r="4067" spans="1:6" x14ac:dyDescent="0.15">
      <c r="A4067" s="5" t="s">
        <v>64</v>
      </c>
      <c r="B4067" s="5" t="s">
        <v>6138</v>
      </c>
      <c r="C4067" s="9">
        <v>44064</v>
      </c>
      <c r="D4067" s="5" t="s">
        <v>16</v>
      </c>
      <c r="E4067" s="5" t="s">
        <v>2680</v>
      </c>
      <c r="F4067" s="6">
        <v>9000</v>
      </c>
    </row>
    <row r="4068" spans="1:6" x14ac:dyDescent="0.15">
      <c r="A4068" s="5" t="s">
        <v>174</v>
      </c>
      <c r="B4068" s="5" t="s">
        <v>2679</v>
      </c>
      <c r="C4068" s="9">
        <v>44064</v>
      </c>
      <c r="D4068" s="5" t="s">
        <v>16</v>
      </c>
      <c r="E4068" s="5" t="s">
        <v>2680</v>
      </c>
      <c r="F4068" s="6">
        <v>9000</v>
      </c>
    </row>
    <row r="4069" spans="1:6" x14ac:dyDescent="0.15">
      <c r="A4069" s="5" t="s">
        <v>148</v>
      </c>
      <c r="B4069" s="5" t="s">
        <v>5694</v>
      </c>
      <c r="C4069" s="9">
        <v>44064</v>
      </c>
      <c r="D4069" s="5" t="s">
        <v>16</v>
      </c>
      <c r="E4069" s="5" t="s">
        <v>2680</v>
      </c>
      <c r="F4069" s="6">
        <v>1455</v>
      </c>
    </row>
    <row r="4070" spans="1:6" x14ac:dyDescent="0.15">
      <c r="A4070" s="5" t="s">
        <v>43</v>
      </c>
      <c r="B4070" s="5" t="s">
        <v>5339</v>
      </c>
      <c r="C4070" s="9">
        <v>44060</v>
      </c>
      <c r="D4070" s="5" t="s">
        <v>16</v>
      </c>
      <c r="E4070" s="5" t="s">
        <v>5340</v>
      </c>
      <c r="F4070" s="6">
        <v>23280</v>
      </c>
    </row>
    <row r="4071" spans="1:6" x14ac:dyDescent="0.15">
      <c r="A4071" s="5" t="s">
        <v>43</v>
      </c>
      <c r="B4071" s="5" t="s">
        <v>5335</v>
      </c>
      <c r="C4071" s="9">
        <v>44056</v>
      </c>
      <c r="D4071" s="5" t="s">
        <v>16</v>
      </c>
      <c r="E4071" s="5" t="s">
        <v>5336</v>
      </c>
      <c r="F4071" s="6">
        <v>145.5</v>
      </c>
    </row>
    <row r="4072" spans="1:6" x14ac:dyDescent="0.15">
      <c r="A4072" s="5" t="s">
        <v>53</v>
      </c>
      <c r="B4072" s="5" t="s">
        <v>8504</v>
      </c>
      <c r="C4072" s="9">
        <v>44056</v>
      </c>
      <c r="D4072" s="5" t="s">
        <v>16</v>
      </c>
      <c r="E4072" s="5" t="s">
        <v>8505</v>
      </c>
      <c r="F4072" s="6">
        <v>19500</v>
      </c>
    </row>
    <row r="4073" spans="1:6" x14ac:dyDescent="0.15">
      <c r="A4073" s="5" t="s">
        <v>8588</v>
      </c>
      <c r="B4073" s="5" t="s">
        <v>8605</v>
      </c>
      <c r="C4073" s="9">
        <v>44056</v>
      </c>
      <c r="D4073" s="5" t="s">
        <v>16</v>
      </c>
      <c r="E4073" s="5" t="s">
        <v>8606</v>
      </c>
      <c r="F4073" s="6">
        <v>761.5</v>
      </c>
    </row>
    <row r="4074" spans="1:6" x14ac:dyDescent="0.15">
      <c r="A4074" s="5" t="s">
        <v>49</v>
      </c>
      <c r="B4074" s="5" t="s">
        <v>8694</v>
      </c>
      <c r="C4074" s="9">
        <v>44056</v>
      </c>
      <c r="D4074" s="5" t="s">
        <v>16</v>
      </c>
      <c r="E4074" s="5" t="s">
        <v>8606</v>
      </c>
      <c r="F4074" s="6">
        <v>603.5</v>
      </c>
    </row>
    <row r="4075" spans="1:6" x14ac:dyDescent="0.15">
      <c r="A4075" s="5" t="s">
        <v>65</v>
      </c>
      <c r="B4075" s="5" t="s">
        <v>4274</v>
      </c>
      <c r="C4075" s="9">
        <v>44057</v>
      </c>
      <c r="D4075" s="5" t="s">
        <v>16</v>
      </c>
      <c r="E4075" s="5" t="s">
        <v>4275</v>
      </c>
      <c r="F4075" s="6">
        <v>-3975</v>
      </c>
    </row>
    <row r="4076" spans="1:6" x14ac:dyDescent="0.15">
      <c r="A4076" s="5" t="s">
        <v>65</v>
      </c>
      <c r="B4076" s="5" t="s">
        <v>4274</v>
      </c>
      <c r="C4076" s="9">
        <v>44057</v>
      </c>
      <c r="D4076" s="5" t="s">
        <v>16</v>
      </c>
      <c r="E4076" s="5" t="s">
        <v>4275</v>
      </c>
      <c r="F4076" s="6">
        <v>-2775</v>
      </c>
    </row>
    <row r="4077" spans="1:6" x14ac:dyDescent="0.15">
      <c r="A4077" s="5" t="s">
        <v>43</v>
      </c>
      <c r="B4077" s="5" t="s">
        <v>5337</v>
      </c>
      <c r="C4077" s="9">
        <v>44057</v>
      </c>
      <c r="D4077" s="5" t="s">
        <v>16</v>
      </c>
      <c r="E4077" s="5" t="s">
        <v>5338</v>
      </c>
      <c r="F4077" s="6">
        <v>291</v>
      </c>
    </row>
    <row r="4078" spans="1:6" x14ac:dyDescent="0.15">
      <c r="A4078" s="5" t="s">
        <v>65</v>
      </c>
      <c r="B4078" s="5" t="s">
        <v>4276</v>
      </c>
      <c r="C4078" s="9">
        <v>44057</v>
      </c>
      <c r="D4078" s="5" t="s">
        <v>16</v>
      </c>
      <c r="E4078" s="5" t="s">
        <v>4277</v>
      </c>
      <c r="F4078" s="6">
        <v>6750</v>
      </c>
    </row>
    <row r="4079" spans="1:6" x14ac:dyDescent="0.15">
      <c r="A4079" s="5" t="s">
        <v>46</v>
      </c>
      <c r="B4079" s="5" t="s">
        <v>2221</v>
      </c>
      <c r="C4079" s="9">
        <v>44060</v>
      </c>
      <c r="D4079" s="5" t="s">
        <v>16</v>
      </c>
      <c r="E4079" s="5" t="s">
        <v>2222</v>
      </c>
      <c r="F4079" s="6">
        <v>7760</v>
      </c>
    </row>
    <row r="4080" spans="1:6" x14ac:dyDescent="0.15">
      <c r="A4080" s="5" t="s">
        <v>65</v>
      </c>
      <c r="B4080" s="5" t="s">
        <v>4278</v>
      </c>
      <c r="C4080" s="9">
        <v>44060</v>
      </c>
      <c r="D4080" s="5" t="s">
        <v>16</v>
      </c>
      <c r="E4080" s="5" t="s">
        <v>2222</v>
      </c>
      <c r="F4080" s="6">
        <v>1500</v>
      </c>
    </row>
    <row r="4081" spans="1:6" x14ac:dyDescent="0.15">
      <c r="A4081" s="5" t="s">
        <v>44</v>
      </c>
      <c r="B4081" s="5" t="s">
        <v>4426</v>
      </c>
      <c r="C4081" s="9">
        <v>44060</v>
      </c>
      <c r="D4081" s="5" t="s">
        <v>16</v>
      </c>
      <c r="E4081" s="5" t="s">
        <v>2222</v>
      </c>
      <c r="F4081" s="6">
        <v>9750</v>
      </c>
    </row>
    <row r="4082" spans="1:6" x14ac:dyDescent="0.15">
      <c r="A4082" s="5" t="s">
        <v>37</v>
      </c>
      <c r="B4082" s="5" t="s">
        <v>7851</v>
      </c>
      <c r="C4082" s="9">
        <v>44060</v>
      </c>
      <c r="D4082" s="5" t="s">
        <v>16</v>
      </c>
      <c r="E4082" s="5" t="s">
        <v>2222</v>
      </c>
      <c r="F4082" s="6">
        <v>5850</v>
      </c>
    </row>
    <row r="4083" spans="1:6" x14ac:dyDescent="0.15">
      <c r="A4083" s="5" t="s">
        <v>43</v>
      </c>
      <c r="B4083" s="5" t="s">
        <v>5343</v>
      </c>
      <c r="C4083" s="9">
        <v>44064</v>
      </c>
      <c r="D4083" s="5" t="s">
        <v>16</v>
      </c>
      <c r="E4083" s="5" t="s">
        <v>5344</v>
      </c>
      <c r="F4083" s="6">
        <v>1940</v>
      </c>
    </row>
    <row r="4084" spans="1:6" x14ac:dyDescent="0.15">
      <c r="A4084" s="5" t="s">
        <v>42</v>
      </c>
      <c r="B4084" s="5" t="s">
        <v>5979</v>
      </c>
      <c r="C4084" s="9">
        <v>44064</v>
      </c>
      <c r="D4084" s="5" t="s">
        <v>16</v>
      </c>
      <c r="E4084" s="5" t="s">
        <v>5344</v>
      </c>
      <c r="F4084" s="6">
        <v>3000</v>
      </c>
    </row>
    <row r="4085" spans="1:6" x14ac:dyDescent="0.15">
      <c r="A4085" s="5" t="s">
        <v>37</v>
      </c>
      <c r="B4085" s="5" t="s">
        <v>7867</v>
      </c>
      <c r="C4085" s="9">
        <v>44064</v>
      </c>
      <c r="D4085" s="5" t="s">
        <v>16</v>
      </c>
      <c r="E4085" s="5" t="s">
        <v>5344</v>
      </c>
      <c r="F4085" s="6">
        <v>3900</v>
      </c>
    </row>
    <row r="4086" spans="1:6" x14ac:dyDescent="0.15">
      <c r="A4086" s="5" t="s">
        <v>37</v>
      </c>
      <c r="B4086" s="5" t="s">
        <v>7852</v>
      </c>
      <c r="C4086" s="9">
        <v>44060</v>
      </c>
      <c r="D4086" s="5" t="s">
        <v>16</v>
      </c>
      <c r="E4086" s="5" t="s">
        <v>5976</v>
      </c>
      <c r="F4086" s="6">
        <v>1170</v>
      </c>
    </row>
    <row r="4087" spans="1:6" x14ac:dyDescent="0.15">
      <c r="A4087" s="5" t="s">
        <v>42</v>
      </c>
      <c r="B4087" s="5" t="s">
        <v>5975</v>
      </c>
      <c r="C4087" s="9">
        <v>44060</v>
      </c>
      <c r="D4087" s="5" t="s">
        <v>16</v>
      </c>
      <c r="E4087" s="5" t="s">
        <v>5976</v>
      </c>
      <c r="F4087" s="6">
        <v>900</v>
      </c>
    </row>
    <row r="4088" spans="1:6" x14ac:dyDescent="0.15">
      <c r="A4088" s="5" t="s">
        <v>35</v>
      </c>
      <c r="B4088" s="5" t="s">
        <v>3863</v>
      </c>
      <c r="C4088" s="9">
        <v>44060</v>
      </c>
      <c r="D4088" s="5" t="s">
        <v>16</v>
      </c>
      <c r="E4088" s="5" t="s">
        <v>3864</v>
      </c>
      <c r="F4088" s="6">
        <v>2242.5</v>
      </c>
    </row>
    <row r="4089" spans="1:6" x14ac:dyDescent="0.15">
      <c r="A4089" s="5" t="s">
        <v>37</v>
      </c>
      <c r="B4089" s="5" t="s">
        <v>7853</v>
      </c>
      <c r="C4089" s="9">
        <v>44060</v>
      </c>
      <c r="D4089" s="5" t="s">
        <v>16</v>
      </c>
      <c r="E4089" s="5" t="s">
        <v>7854</v>
      </c>
      <c r="F4089" s="6">
        <v>4875</v>
      </c>
    </row>
    <row r="4090" spans="1:6" x14ac:dyDescent="0.15">
      <c r="A4090" s="5" t="s">
        <v>43</v>
      </c>
      <c r="B4090" s="5" t="s">
        <v>5341</v>
      </c>
      <c r="C4090" s="9">
        <v>44060</v>
      </c>
      <c r="D4090" s="5" t="s">
        <v>16</v>
      </c>
      <c r="E4090" s="5" t="s">
        <v>5342</v>
      </c>
      <c r="F4090" s="6">
        <v>291</v>
      </c>
    </row>
    <row r="4091" spans="1:6" x14ac:dyDescent="0.15">
      <c r="A4091" s="5" t="s">
        <v>37</v>
      </c>
      <c r="B4091" s="5" t="s">
        <v>7855</v>
      </c>
      <c r="C4091" s="9">
        <v>44060</v>
      </c>
      <c r="D4091" s="5" t="s">
        <v>16</v>
      </c>
      <c r="E4091" s="5" t="s">
        <v>5342</v>
      </c>
      <c r="F4091" s="6">
        <v>195</v>
      </c>
    </row>
    <row r="4092" spans="1:6" x14ac:dyDescent="0.15">
      <c r="A4092" s="5" t="s">
        <v>35</v>
      </c>
      <c r="B4092" s="5" t="s">
        <v>3865</v>
      </c>
      <c r="C4092" s="9">
        <v>44061</v>
      </c>
      <c r="D4092" s="5" t="s">
        <v>16</v>
      </c>
      <c r="E4092" s="5" t="s">
        <v>3866</v>
      </c>
      <c r="F4092" s="6">
        <v>780</v>
      </c>
    </row>
    <row r="4093" spans="1:6" x14ac:dyDescent="0.15">
      <c r="A4093" s="5" t="s">
        <v>37</v>
      </c>
      <c r="B4093" s="5" t="s">
        <v>7856</v>
      </c>
      <c r="C4093" s="9">
        <v>44061</v>
      </c>
      <c r="D4093" s="5" t="s">
        <v>16</v>
      </c>
      <c r="E4093" s="5" t="s">
        <v>7857</v>
      </c>
      <c r="F4093" s="6">
        <v>1365</v>
      </c>
    </row>
    <row r="4094" spans="1:6" x14ac:dyDescent="0.15">
      <c r="A4094" s="5" t="s">
        <v>46</v>
      </c>
      <c r="B4094" s="5" t="s">
        <v>2223</v>
      </c>
      <c r="C4094" s="9">
        <v>44067</v>
      </c>
      <c r="D4094" s="5" t="s">
        <v>16</v>
      </c>
      <c r="E4094" s="5" t="s">
        <v>2224</v>
      </c>
      <c r="F4094" s="6">
        <v>5820</v>
      </c>
    </row>
    <row r="4095" spans="1:6" x14ac:dyDescent="0.15">
      <c r="A4095" s="5" t="s">
        <v>44</v>
      </c>
      <c r="B4095" s="5" t="s">
        <v>4427</v>
      </c>
      <c r="C4095" s="9">
        <v>44067</v>
      </c>
      <c r="D4095" s="5" t="s">
        <v>16</v>
      </c>
      <c r="E4095" s="5" t="s">
        <v>2224</v>
      </c>
      <c r="F4095" s="6">
        <v>17550</v>
      </c>
    </row>
    <row r="4096" spans="1:6" x14ac:dyDescent="0.15">
      <c r="A4096" s="5" t="s">
        <v>37</v>
      </c>
      <c r="B4096" s="5" t="s">
        <v>7871</v>
      </c>
      <c r="C4096" s="9">
        <v>44067</v>
      </c>
      <c r="D4096" s="5" t="s">
        <v>16</v>
      </c>
      <c r="E4096" s="5" t="s">
        <v>2224</v>
      </c>
      <c r="F4096" s="6">
        <v>1950</v>
      </c>
    </row>
    <row r="4097" spans="1:6" x14ac:dyDescent="0.15">
      <c r="A4097" s="5" t="s">
        <v>37</v>
      </c>
      <c r="B4097" s="5" t="s">
        <v>7858</v>
      </c>
      <c r="C4097" s="9">
        <v>44062</v>
      </c>
      <c r="D4097" s="5" t="s">
        <v>16</v>
      </c>
      <c r="E4097" s="5" t="s">
        <v>7859</v>
      </c>
      <c r="F4097" s="6">
        <v>975</v>
      </c>
    </row>
    <row r="4098" spans="1:6" x14ac:dyDescent="0.15">
      <c r="A4098" s="5" t="s">
        <v>37</v>
      </c>
      <c r="B4098" s="5" t="s">
        <v>7860</v>
      </c>
      <c r="C4098" s="9">
        <v>44062</v>
      </c>
      <c r="D4098" s="5" t="s">
        <v>16</v>
      </c>
      <c r="E4098" s="5" t="s">
        <v>7861</v>
      </c>
      <c r="F4098" s="6">
        <v>2535</v>
      </c>
    </row>
    <row r="4099" spans="1:6" x14ac:dyDescent="0.15">
      <c r="A4099" s="5" t="s">
        <v>35</v>
      </c>
      <c r="B4099" s="5" t="s">
        <v>3867</v>
      </c>
      <c r="C4099" s="9">
        <v>44062</v>
      </c>
      <c r="D4099" s="5" t="s">
        <v>16</v>
      </c>
      <c r="E4099" s="5" t="s">
        <v>3868</v>
      </c>
      <c r="F4099" s="6">
        <v>7507.5</v>
      </c>
    </row>
    <row r="4100" spans="1:6" x14ac:dyDescent="0.15">
      <c r="A4100" s="5" t="s">
        <v>37</v>
      </c>
      <c r="B4100" s="5" t="s">
        <v>7862</v>
      </c>
      <c r="C4100" s="9">
        <v>44062</v>
      </c>
      <c r="D4100" s="5" t="s">
        <v>16</v>
      </c>
      <c r="E4100" s="5" t="s">
        <v>7863</v>
      </c>
      <c r="F4100" s="6">
        <v>585</v>
      </c>
    </row>
    <row r="4101" spans="1:6" x14ac:dyDescent="0.15">
      <c r="A4101" s="5" t="s">
        <v>37</v>
      </c>
      <c r="B4101" s="5" t="s">
        <v>7864</v>
      </c>
      <c r="C4101" s="9">
        <v>44063</v>
      </c>
      <c r="D4101" s="5" t="s">
        <v>16</v>
      </c>
      <c r="E4101" s="5" t="s">
        <v>5978</v>
      </c>
      <c r="F4101" s="6">
        <v>1950</v>
      </c>
    </row>
    <row r="4102" spans="1:6" x14ac:dyDescent="0.15">
      <c r="A4102" s="5" t="s">
        <v>42</v>
      </c>
      <c r="B4102" s="5" t="s">
        <v>5977</v>
      </c>
      <c r="C4102" s="9">
        <v>44063</v>
      </c>
      <c r="D4102" s="5" t="s">
        <v>16</v>
      </c>
      <c r="E4102" s="5" t="s">
        <v>5978</v>
      </c>
      <c r="F4102" s="6">
        <v>750</v>
      </c>
    </row>
    <row r="4103" spans="1:6" x14ac:dyDescent="0.15">
      <c r="A4103" s="5" t="s">
        <v>37</v>
      </c>
      <c r="B4103" s="5" t="s">
        <v>7865</v>
      </c>
      <c r="C4103" s="9">
        <v>44063</v>
      </c>
      <c r="D4103" s="5" t="s">
        <v>16</v>
      </c>
      <c r="E4103" s="5" t="s">
        <v>7866</v>
      </c>
      <c r="F4103" s="6">
        <v>292.5</v>
      </c>
    </row>
    <row r="4104" spans="1:6" x14ac:dyDescent="0.15">
      <c r="A4104" s="5" t="s">
        <v>35</v>
      </c>
      <c r="B4104" s="5" t="s">
        <v>3869</v>
      </c>
      <c r="C4104" s="9">
        <v>44063</v>
      </c>
      <c r="D4104" s="5" t="s">
        <v>16</v>
      </c>
      <c r="E4104" s="5" t="s">
        <v>2552</v>
      </c>
      <c r="F4104" s="6">
        <v>1170</v>
      </c>
    </row>
    <row r="4105" spans="1:6" x14ac:dyDescent="0.15">
      <c r="A4105" s="5" t="s">
        <v>40</v>
      </c>
      <c r="B4105" s="5" t="s">
        <v>2551</v>
      </c>
      <c r="C4105" s="9">
        <v>44063</v>
      </c>
      <c r="D4105" s="5" t="s">
        <v>16</v>
      </c>
      <c r="E4105" s="5" t="s">
        <v>2552</v>
      </c>
      <c r="F4105" s="6">
        <v>525</v>
      </c>
    </row>
    <row r="4106" spans="1:6" x14ac:dyDescent="0.15">
      <c r="A4106" s="5" t="s">
        <v>37</v>
      </c>
      <c r="B4106" s="5" t="s">
        <v>7868</v>
      </c>
      <c r="C4106" s="9">
        <v>44064</v>
      </c>
      <c r="D4106" s="5" t="s">
        <v>16</v>
      </c>
      <c r="E4106" s="5" t="s">
        <v>3871</v>
      </c>
      <c r="F4106" s="6">
        <v>15600</v>
      </c>
    </row>
    <row r="4107" spans="1:6" x14ac:dyDescent="0.15">
      <c r="A4107" s="5" t="s">
        <v>35</v>
      </c>
      <c r="B4107" s="5" t="s">
        <v>3870</v>
      </c>
      <c r="C4107" s="9">
        <v>44064</v>
      </c>
      <c r="D4107" s="5" t="s">
        <v>16</v>
      </c>
      <c r="E4107" s="5" t="s">
        <v>3871</v>
      </c>
      <c r="F4107" s="6">
        <v>1950</v>
      </c>
    </row>
    <row r="4108" spans="1:6" x14ac:dyDescent="0.15">
      <c r="A4108" s="5" t="s">
        <v>37</v>
      </c>
      <c r="B4108" s="5" t="s">
        <v>7869</v>
      </c>
      <c r="C4108" s="9">
        <v>44064</v>
      </c>
      <c r="D4108" s="5" t="s">
        <v>16</v>
      </c>
      <c r="E4108" s="5" t="s">
        <v>7870</v>
      </c>
      <c r="F4108" s="6">
        <v>7410</v>
      </c>
    </row>
    <row r="4109" spans="1:6" x14ac:dyDescent="0.15">
      <c r="A4109" s="5" t="s">
        <v>42</v>
      </c>
      <c r="B4109" s="5" t="s">
        <v>5980</v>
      </c>
      <c r="C4109" s="9">
        <v>44064</v>
      </c>
      <c r="D4109" s="5" t="s">
        <v>16</v>
      </c>
      <c r="E4109" s="5" t="s">
        <v>5981</v>
      </c>
      <c r="F4109" s="6">
        <v>150</v>
      </c>
    </row>
    <row r="4110" spans="1:6" x14ac:dyDescent="0.15">
      <c r="A4110" s="5" t="s">
        <v>37</v>
      </c>
      <c r="B4110" s="5" t="s">
        <v>7872</v>
      </c>
      <c r="C4110" s="9">
        <v>44067</v>
      </c>
      <c r="D4110" s="5" t="s">
        <v>16</v>
      </c>
      <c r="E4110" s="5" t="s">
        <v>5983</v>
      </c>
      <c r="F4110" s="6">
        <v>3900</v>
      </c>
    </row>
    <row r="4111" spans="1:6" x14ac:dyDescent="0.15">
      <c r="A4111" s="5" t="s">
        <v>42</v>
      </c>
      <c r="B4111" s="5" t="s">
        <v>5982</v>
      </c>
      <c r="C4111" s="9">
        <v>44067</v>
      </c>
      <c r="D4111" s="5" t="s">
        <v>16</v>
      </c>
      <c r="E4111" s="5" t="s">
        <v>5983</v>
      </c>
      <c r="F4111" s="6">
        <v>1500</v>
      </c>
    </row>
    <row r="4112" spans="1:6" x14ac:dyDescent="0.15">
      <c r="A4112" s="5" t="s">
        <v>43</v>
      </c>
      <c r="B4112" s="5" t="s">
        <v>5345</v>
      </c>
      <c r="C4112" s="9">
        <v>44067</v>
      </c>
      <c r="D4112" s="5" t="s">
        <v>16</v>
      </c>
      <c r="E4112" s="5" t="s">
        <v>5346</v>
      </c>
      <c r="F4112" s="6">
        <v>1018.5</v>
      </c>
    </row>
    <row r="4113" spans="1:6" x14ac:dyDescent="0.15">
      <c r="A4113" s="5" t="s">
        <v>37</v>
      </c>
      <c r="B4113" s="5" t="s">
        <v>7873</v>
      </c>
      <c r="C4113" s="9">
        <v>44068</v>
      </c>
      <c r="D4113" s="5" t="s">
        <v>16</v>
      </c>
      <c r="E4113" s="5" t="s">
        <v>7874</v>
      </c>
      <c r="F4113" s="6">
        <v>10042.5</v>
      </c>
    </row>
    <row r="4114" spans="1:6" x14ac:dyDescent="0.15">
      <c r="A4114" s="5" t="s">
        <v>35</v>
      </c>
      <c r="B4114" s="5" t="s">
        <v>3872</v>
      </c>
      <c r="C4114" s="9">
        <v>44068</v>
      </c>
      <c r="D4114" s="5" t="s">
        <v>16</v>
      </c>
      <c r="E4114" s="5" t="s">
        <v>3873</v>
      </c>
      <c r="F4114" s="6">
        <v>3510</v>
      </c>
    </row>
    <row r="4115" spans="1:6" x14ac:dyDescent="0.15">
      <c r="A4115" s="5" t="s">
        <v>40</v>
      </c>
      <c r="B4115" s="5" t="s">
        <v>2553</v>
      </c>
      <c r="C4115" s="9">
        <v>44070</v>
      </c>
      <c r="D4115" s="5" t="s">
        <v>16</v>
      </c>
      <c r="E4115" s="5" t="s">
        <v>2554</v>
      </c>
      <c r="F4115" s="6">
        <v>6375</v>
      </c>
    </row>
    <row r="4116" spans="1:6" x14ac:dyDescent="0.15">
      <c r="A4116" s="5" t="s">
        <v>43</v>
      </c>
      <c r="B4116" s="5" t="s">
        <v>5347</v>
      </c>
      <c r="C4116" s="9">
        <v>44076</v>
      </c>
      <c r="D4116" s="5" t="s">
        <v>16</v>
      </c>
      <c r="E4116" s="5" t="s">
        <v>5348</v>
      </c>
      <c r="F4116" s="6">
        <v>9700</v>
      </c>
    </row>
    <row r="4117" spans="1:6" x14ac:dyDescent="0.15">
      <c r="A4117" s="5" t="s">
        <v>37</v>
      </c>
      <c r="B4117" s="5" t="s">
        <v>7877</v>
      </c>
      <c r="C4117" s="9">
        <v>44076</v>
      </c>
      <c r="D4117" s="5" t="s">
        <v>16</v>
      </c>
      <c r="E4117" s="5" t="s">
        <v>5348</v>
      </c>
      <c r="F4117" s="6">
        <v>5850</v>
      </c>
    </row>
    <row r="4118" spans="1:6" x14ac:dyDescent="0.15">
      <c r="A4118" s="5" t="s">
        <v>35</v>
      </c>
      <c r="B4118" s="5" t="s">
        <v>3874</v>
      </c>
      <c r="C4118" s="9">
        <v>44075</v>
      </c>
      <c r="D4118" s="5" t="s">
        <v>16</v>
      </c>
      <c r="E4118" s="5" t="s">
        <v>3875</v>
      </c>
      <c r="F4118" s="6">
        <v>3997.5</v>
      </c>
    </row>
    <row r="4119" spans="1:6" x14ac:dyDescent="0.15">
      <c r="A4119" s="5" t="s">
        <v>37</v>
      </c>
      <c r="B4119" s="5" t="s">
        <v>7875</v>
      </c>
      <c r="C4119" s="9">
        <v>44075</v>
      </c>
      <c r="D4119" s="5" t="s">
        <v>16</v>
      </c>
      <c r="E4119" s="5" t="s">
        <v>7876</v>
      </c>
      <c r="F4119" s="6">
        <v>2047.5</v>
      </c>
    </row>
    <row r="4120" spans="1:6" x14ac:dyDescent="0.15">
      <c r="A4120" s="5" t="s">
        <v>35</v>
      </c>
      <c r="B4120" s="5" t="s">
        <v>3876</v>
      </c>
      <c r="C4120" s="9">
        <v>44075</v>
      </c>
      <c r="D4120" s="5" t="s">
        <v>16</v>
      </c>
      <c r="E4120" s="5" t="s">
        <v>3877</v>
      </c>
      <c r="F4120" s="6">
        <v>390</v>
      </c>
    </row>
    <row r="4121" spans="1:6" x14ac:dyDescent="0.15">
      <c r="A4121" s="5" t="s">
        <v>37</v>
      </c>
      <c r="B4121" s="5" t="s">
        <v>7888</v>
      </c>
      <c r="C4121" s="9">
        <v>44078</v>
      </c>
      <c r="D4121" s="5" t="s">
        <v>16</v>
      </c>
      <c r="E4121" s="5" t="s">
        <v>7889</v>
      </c>
      <c r="F4121" s="6">
        <v>2047.5</v>
      </c>
    </row>
    <row r="4122" spans="1:6" x14ac:dyDescent="0.15">
      <c r="A4122" s="5" t="s">
        <v>37</v>
      </c>
      <c r="B4122" s="5" t="s">
        <v>7878</v>
      </c>
      <c r="C4122" s="9">
        <v>44076</v>
      </c>
      <c r="D4122" s="5" t="s">
        <v>16</v>
      </c>
      <c r="E4122" s="5" t="s">
        <v>7879</v>
      </c>
      <c r="F4122" s="6">
        <v>1072.5</v>
      </c>
    </row>
    <row r="4123" spans="1:6" x14ac:dyDescent="0.15">
      <c r="A4123" s="5" t="s">
        <v>37</v>
      </c>
      <c r="B4123" s="5" t="s">
        <v>7880</v>
      </c>
      <c r="C4123" s="9">
        <v>44076</v>
      </c>
      <c r="D4123" s="5" t="s">
        <v>16</v>
      </c>
      <c r="E4123" s="5" t="s">
        <v>7881</v>
      </c>
      <c r="F4123" s="6">
        <v>975</v>
      </c>
    </row>
    <row r="4124" spans="1:6" x14ac:dyDescent="0.15">
      <c r="A4124" s="5" t="s">
        <v>37</v>
      </c>
      <c r="B4124" s="5" t="s">
        <v>7882</v>
      </c>
      <c r="C4124" s="9">
        <v>44077</v>
      </c>
      <c r="D4124" s="5" t="s">
        <v>16</v>
      </c>
      <c r="E4124" s="5" t="s">
        <v>7883</v>
      </c>
      <c r="F4124" s="6">
        <v>7215</v>
      </c>
    </row>
    <row r="4125" spans="1:6" x14ac:dyDescent="0.15">
      <c r="A4125" s="5" t="s">
        <v>37</v>
      </c>
      <c r="B4125" s="5" t="s">
        <v>7884</v>
      </c>
      <c r="C4125" s="9">
        <v>44077</v>
      </c>
      <c r="D4125" s="5" t="s">
        <v>16</v>
      </c>
      <c r="E4125" s="5" t="s">
        <v>7885</v>
      </c>
      <c r="F4125" s="6">
        <v>9555</v>
      </c>
    </row>
    <row r="4126" spans="1:6" x14ac:dyDescent="0.15">
      <c r="A4126" s="5" t="s">
        <v>37</v>
      </c>
      <c r="B4126" s="5" t="s">
        <v>7886</v>
      </c>
      <c r="C4126" s="9">
        <v>44077</v>
      </c>
      <c r="D4126" s="5" t="s">
        <v>16</v>
      </c>
      <c r="E4126" s="5" t="s">
        <v>7887</v>
      </c>
      <c r="F4126" s="6">
        <v>13260</v>
      </c>
    </row>
    <row r="4127" spans="1:6" x14ac:dyDescent="0.15">
      <c r="A4127" s="5" t="s">
        <v>49</v>
      </c>
      <c r="B4127" s="5" t="s">
        <v>8695</v>
      </c>
      <c r="C4127" s="9">
        <v>44077</v>
      </c>
      <c r="D4127" s="5" t="s">
        <v>16</v>
      </c>
      <c r="E4127" s="5" t="s">
        <v>7887</v>
      </c>
      <c r="F4127" s="6">
        <v>1500</v>
      </c>
    </row>
    <row r="4128" spans="1:6" x14ac:dyDescent="0.15">
      <c r="A4128" s="5" t="s">
        <v>49</v>
      </c>
      <c r="B4128" s="5" t="s">
        <v>8696</v>
      </c>
      <c r="C4128" s="9">
        <v>44077</v>
      </c>
      <c r="D4128" s="5" t="s">
        <v>16</v>
      </c>
      <c r="E4128" s="5" t="s">
        <v>7887</v>
      </c>
      <c r="F4128" s="6">
        <v>500</v>
      </c>
    </row>
    <row r="4129" spans="1:6" x14ac:dyDescent="0.15">
      <c r="A4129" s="5" t="s">
        <v>51</v>
      </c>
      <c r="B4129" s="5" t="s">
        <v>4253</v>
      </c>
      <c r="C4129" s="9">
        <v>44077</v>
      </c>
      <c r="D4129" s="5" t="s">
        <v>16</v>
      </c>
      <c r="E4129" s="5" t="s">
        <v>4254</v>
      </c>
      <c r="F4129" s="6">
        <v>13650</v>
      </c>
    </row>
    <row r="4130" spans="1:6" x14ac:dyDescent="0.15">
      <c r="A4130" s="5" t="s">
        <v>53</v>
      </c>
      <c r="B4130" s="5" t="s">
        <v>8506</v>
      </c>
      <c r="C4130" s="9">
        <v>44077</v>
      </c>
      <c r="D4130" s="5" t="s">
        <v>16</v>
      </c>
      <c r="E4130" s="5" t="s">
        <v>4254</v>
      </c>
      <c r="F4130" s="6">
        <v>11700</v>
      </c>
    </row>
    <row r="4131" spans="1:6" x14ac:dyDescent="0.15">
      <c r="A4131" s="5" t="s">
        <v>43</v>
      </c>
      <c r="B4131" s="5" t="s">
        <v>5352</v>
      </c>
      <c r="C4131" s="9">
        <v>44089</v>
      </c>
      <c r="D4131" s="5" t="s">
        <v>16</v>
      </c>
      <c r="E4131" s="5" t="s">
        <v>5353</v>
      </c>
      <c r="F4131" s="6">
        <v>3880</v>
      </c>
    </row>
    <row r="4132" spans="1:6" x14ac:dyDescent="0.15">
      <c r="A4132" s="5" t="s">
        <v>42</v>
      </c>
      <c r="B4132" s="5" t="s">
        <v>5984</v>
      </c>
      <c r="C4132" s="9">
        <v>44089</v>
      </c>
      <c r="D4132" s="5" t="s">
        <v>16</v>
      </c>
      <c r="E4132" s="5" t="s">
        <v>5353</v>
      </c>
      <c r="F4132" s="6">
        <v>4500</v>
      </c>
    </row>
    <row r="4133" spans="1:6" x14ac:dyDescent="0.15">
      <c r="A4133" s="5" t="s">
        <v>41</v>
      </c>
      <c r="B4133" s="5" t="s">
        <v>2064</v>
      </c>
      <c r="C4133" s="9">
        <v>44081</v>
      </c>
      <c r="D4133" s="5" t="s">
        <v>16</v>
      </c>
      <c r="E4133" s="5" t="s">
        <v>2065</v>
      </c>
      <c r="F4133" s="6">
        <v>3104</v>
      </c>
    </row>
    <row r="4134" spans="1:6" x14ac:dyDescent="0.15">
      <c r="A4134" s="5" t="s">
        <v>44</v>
      </c>
      <c r="B4134" s="5" t="s">
        <v>4429</v>
      </c>
      <c r="C4134" s="9">
        <v>44088</v>
      </c>
      <c r="D4134" s="5" t="s">
        <v>16</v>
      </c>
      <c r="E4134" s="5" t="s">
        <v>4430</v>
      </c>
      <c r="F4134" s="6">
        <v>1950</v>
      </c>
    </row>
    <row r="4135" spans="1:6" x14ac:dyDescent="0.15">
      <c r="A4135" s="5" t="s">
        <v>148</v>
      </c>
      <c r="B4135" s="5" t="s">
        <v>5695</v>
      </c>
      <c r="C4135" s="9">
        <v>44088</v>
      </c>
      <c r="D4135" s="5" t="s">
        <v>16</v>
      </c>
      <c r="E4135" s="5" t="s">
        <v>5696</v>
      </c>
      <c r="F4135" s="6">
        <v>8730</v>
      </c>
    </row>
    <row r="4136" spans="1:6" x14ac:dyDescent="0.15">
      <c r="A4136" s="5" t="s">
        <v>58</v>
      </c>
      <c r="B4136" s="5" t="s">
        <v>6197</v>
      </c>
      <c r="C4136" s="9">
        <v>44088</v>
      </c>
      <c r="D4136" s="5" t="s">
        <v>16</v>
      </c>
      <c r="E4136" s="5" t="s">
        <v>5696</v>
      </c>
      <c r="F4136" s="6">
        <v>1125</v>
      </c>
    </row>
    <row r="4137" spans="1:6" x14ac:dyDescent="0.15">
      <c r="A4137" s="5" t="s">
        <v>158</v>
      </c>
      <c r="B4137" s="5" t="s">
        <v>8577</v>
      </c>
      <c r="C4137" s="9">
        <v>44088</v>
      </c>
      <c r="D4137" s="5" t="s">
        <v>16</v>
      </c>
      <c r="E4137" s="5" t="s">
        <v>5696</v>
      </c>
      <c r="F4137" s="6">
        <v>7020</v>
      </c>
    </row>
    <row r="4138" spans="1:6" x14ac:dyDescent="0.15">
      <c r="A4138" s="5" t="s">
        <v>44</v>
      </c>
      <c r="B4138" s="5" t="s">
        <v>4428</v>
      </c>
      <c r="C4138" s="9">
        <v>44085</v>
      </c>
      <c r="D4138" s="5" t="s">
        <v>16</v>
      </c>
      <c r="E4138" s="5" t="s">
        <v>2556</v>
      </c>
      <c r="F4138" s="6">
        <v>5850</v>
      </c>
    </row>
    <row r="4139" spans="1:6" x14ac:dyDescent="0.15">
      <c r="A4139" s="5" t="s">
        <v>40</v>
      </c>
      <c r="B4139" s="5" t="s">
        <v>2555</v>
      </c>
      <c r="C4139" s="9">
        <v>44085</v>
      </c>
      <c r="D4139" s="5" t="s">
        <v>16</v>
      </c>
      <c r="E4139" s="5" t="s">
        <v>2556</v>
      </c>
      <c r="F4139" s="6">
        <v>7500</v>
      </c>
    </row>
    <row r="4140" spans="1:6" x14ac:dyDescent="0.15">
      <c r="A4140" s="5" t="s">
        <v>35</v>
      </c>
      <c r="B4140" s="5" t="s">
        <v>3885</v>
      </c>
      <c r="C4140" s="9">
        <v>44085</v>
      </c>
      <c r="D4140" s="5" t="s">
        <v>16</v>
      </c>
      <c r="E4140" s="5" t="s">
        <v>2556</v>
      </c>
      <c r="F4140" s="6">
        <v>9750</v>
      </c>
    </row>
    <row r="4141" spans="1:6" x14ac:dyDescent="0.15">
      <c r="A4141" s="5" t="s">
        <v>37</v>
      </c>
      <c r="B4141" s="5" t="s">
        <v>7890</v>
      </c>
      <c r="C4141" s="9">
        <v>44082</v>
      </c>
      <c r="D4141" s="5" t="s">
        <v>16</v>
      </c>
      <c r="E4141" s="5" t="s">
        <v>7891</v>
      </c>
      <c r="F4141" s="6">
        <v>2730</v>
      </c>
    </row>
    <row r="4142" spans="1:6" x14ac:dyDescent="0.15">
      <c r="A4142" s="5" t="s">
        <v>37</v>
      </c>
      <c r="B4142" s="5" t="s">
        <v>7892</v>
      </c>
      <c r="C4142" s="9">
        <v>44082</v>
      </c>
      <c r="D4142" s="5" t="s">
        <v>16</v>
      </c>
      <c r="E4142" s="5" t="s">
        <v>7893</v>
      </c>
      <c r="F4142" s="6">
        <v>2340</v>
      </c>
    </row>
    <row r="4143" spans="1:6" x14ac:dyDescent="0.15">
      <c r="A4143" s="5" t="s">
        <v>37</v>
      </c>
      <c r="B4143" s="5" t="s">
        <v>7896</v>
      </c>
      <c r="C4143" s="9">
        <v>44088</v>
      </c>
      <c r="D4143" s="5" t="s">
        <v>16</v>
      </c>
      <c r="E4143" s="5" t="s">
        <v>5351</v>
      </c>
      <c r="F4143" s="6">
        <v>21450</v>
      </c>
    </row>
    <row r="4144" spans="1:6" x14ac:dyDescent="0.15">
      <c r="A4144" s="5" t="s">
        <v>43</v>
      </c>
      <c r="B4144" s="5" t="s">
        <v>5350</v>
      </c>
      <c r="C4144" s="9">
        <v>44088</v>
      </c>
      <c r="D4144" s="5" t="s">
        <v>16</v>
      </c>
      <c r="E4144" s="5" t="s">
        <v>5351</v>
      </c>
      <c r="F4144" s="6">
        <v>3880</v>
      </c>
    </row>
    <row r="4145" spans="1:6" x14ac:dyDescent="0.15">
      <c r="A4145" s="5" t="s">
        <v>35</v>
      </c>
      <c r="B4145" s="5" t="s">
        <v>3878</v>
      </c>
      <c r="C4145" s="9">
        <v>44083</v>
      </c>
      <c r="D4145" s="5" t="s">
        <v>16</v>
      </c>
      <c r="E4145" s="5" t="s">
        <v>3879</v>
      </c>
      <c r="F4145" s="6">
        <v>195</v>
      </c>
    </row>
    <row r="4146" spans="1:6" x14ac:dyDescent="0.15">
      <c r="A4146" s="5" t="s">
        <v>41</v>
      </c>
      <c r="B4146" s="5" t="s">
        <v>2066</v>
      </c>
      <c r="C4146" s="9">
        <v>44083</v>
      </c>
      <c r="D4146" s="5" t="s">
        <v>16</v>
      </c>
      <c r="E4146" s="5" t="s">
        <v>2067</v>
      </c>
      <c r="F4146" s="6">
        <v>921.5</v>
      </c>
    </row>
    <row r="4147" spans="1:6" x14ac:dyDescent="0.15">
      <c r="A4147" s="5" t="s">
        <v>41</v>
      </c>
      <c r="B4147" s="5" t="s">
        <v>2068</v>
      </c>
      <c r="C4147" s="9">
        <v>44083</v>
      </c>
      <c r="D4147" s="5" t="s">
        <v>16</v>
      </c>
      <c r="E4147" s="5" t="s">
        <v>2067</v>
      </c>
      <c r="F4147" s="6">
        <v>-921.5</v>
      </c>
    </row>
    <row r="4148" spans="1:6" x14ac:dyDescent="0.15">
      <c r="A4148" s="5" t="s">
        <v>43</v>
      </c>
      <c r="B4148" s="5" t="s">
        <v>5349</v>
      </c>
      <c r="C4148" s="9">
        <v>44083</v>
      </c>
      <c r="D4148" s="5" t="s">
        <v>16</v>
      </c>
      <c r="E4148" s="5" t="s">
        <v>2067</v>
      </c>
      <c r="F4148" s="6">
        <v>921.5</v>
      </c>
    </row>
    <row r="4149" spans="1:6" x14ac:dyDescent="0.15">
      <c r="A4149" s="5" t="s">
        <v>35</v>
      </c>
      <c r="B4149" s="5" t="s">
        <v>3880</v>
      </c>
      <c r="C4149" s="9">
        <v>44083</v>
      </c>
      <c r="D4149" s="5" t="s">
        <v>16</v>
      </c>
      <c r="E4149" s="5" t="s">
        <v>3881</v>
      </c>
      <c r="F4149" s="6">
        <v>6045</v>
      </c>
    </row>
    <row r="4150" spans="1:6" x14ac:dyDescent="0.15">
      <c r="A4150" s="5" t="s">
        <v>35</v>
      </c>
      <c r="B4150" s="5" t="s">
        <v>3882</v>
      </c>
      <c r="C4150" s="9">
        <v>44084</v>
      </c>
      <c r="D4150" s="5" t="s">
        <v>16</v>
      </c>
      <c r="E4150" s="5" t="s">
        <v>3883</v>
      </c>
      <c r="F4150" s="6">
        <v>6045</v>
      </c>
    </row>
    <row r="4151" spans="1:6" x14ac:dyDescent="0.15">
      <c r="A4151" s="5" t="s">
        <v>37</v>
      </c>
      <c r="B4151" s="5" t="s">
        <v>7904</v>
      </c>
      <c r="C4151" s="9">
        <v>44091</v>
      </c>
      <c r="D4151" s="5" t="s">
        <v>16</v>
      </c>
      <c r="E4151" s="5" t="s">
        <v>3895</v>
      </c>
      <c r="F4151" s="6">
        <v>6727.5</v>
      </c>
    </row>
    <row r="4152" spans="1:6" x14ac:dyDescent="0.15">
      <c r="A4152" s="5" t="s">
        <v>35</v>
      </c>
      <c r="B4152" s="5" t="s">
        <v>3894</v>
      </c>
      <c r="C4152" s="9">
        <v>44091</v>
      </c>
      <c r="D4152" s="5" t="s">
        <v>16</v>
      </c>
      <c r="E4152" s="5" t="s">
        <v>3895</v>
      </c>
      <c r="F4152" s="6">
        <v>23692.5</v>
      </c>
    </row>
    <row r="4153" spans="1:6" x14ac:dyDescent="0.15">
      <c r="A4153" s="5" t="s">
        <v>35</v>
      </c>
      <c r="B4153" s="5" t="s">
        <v>3884</v>
      </c>
      <c r="C4153" s="9">
        <v>44084</v>
      </c>
      <c r="D4153" s="5" t="s">
        <v>16</v>
      </c>
      <c r="E4153" s="5" t="s">
        <v>3883</v>
      </c>
      <c r="F4153" s="6">
        <v>-6045</v>
      </c>
    </row>
    <row r="4154" spans="1:6" x14ac:dyDescent="0.15">
      <c r="A4154" s="5" t="s">
        <v>37</v>
      </c>
      <c r="B4154" s="5" t="s">
        <v>7894</v>
      </c>
      <c r="C4154" s="9">
        <v>44084</v>
      </c>
      <c r="D4154" s="5" t="s">
        <v>16</v>
      </c>
      <c r="E4154" s="5" t="s">
        <v>7895</v>
      </c>
      <c r="F4154" s="6">
        <v>2242.5</v>
      </c>
    </row>
    <row r="4155" spans="1:6" x14ac:dyDescent="0.15">
      <c r="A4155" s="5" t="s">
        <v>37</v>
      </c>
      <c r="B4155" s="5" t="s">
        <v>7897</v>
      </c>
      <c r="C4155" s="9">
        <v>44089</v>
      </c>
      <c r="D4155" s="5" t="s">
        <v>16</v>
      </c>
      <c r="E4155" s="5" t="s">
        <v>7898</v>
      </c>
      <c r="F4155" s="6">
        <v>30420</v>
      </c>
    </row>
    <row r="4156" spans="1:6" x14ac:dyDescent="0.15">
      <c r="A4156" s="5" t="s">
        <v>35</v>
      </c>
      <c r="B4156" s="5" t="s">
        <v>3886</v>
      </c>
      <c r="C4156" s="9">
        <v>44085</v>
      </c>
      <c r="D4156" s="5" t="s">
        <v>16</v>
      </c>
      <c r="E4156" s="5" t="s">
        <v>3887</v>
      </c>
      <c r="F4156" s="6">
        <v>292.5</v>
      </c>
    </row>
    <row r="4157" spans="1:6" x14ac:dyDescent="0.15">
      <c r="A4157" s="5" t="s">
        <v>37</v>
      </c>
      <c r="B4157" s="5" t="s">
        <v>7899</v>
      </c>
      <c r="C4157" s="9">
        <v>44089</v>
      </c>
      <c r="D4157" s="5" t="s">
        <v>16</v>
      </c>
      <c r="E4157" s="5" t="s">
        <v>7900</v>
      </c>
      <c r="F4157" s="6">
        <v>30420</v>
      </c>
    </row>
    <row r="4158" spans="1:6" x14ac:dyDescent="0.15">
      <c r="A4158" s="5" t="s">
        <v>35</v>
      </c>
      <c r="B4158" s="5" t="s">
        <v>3888</v>
      </c>
      <c r="C4158" s="9">
        <v>44089</v>
      </c>
      <c r="D4158" s="5" t="s">
        <v>16</v>
      </c>
      <c r="E4158" s="5" t="s">
        <v>3889</v>
      </c>
      <c r="F4158" s="6">
        <v>3022.5</v>
      </c>
    </row>
    <row r="4159" spans="1:6" x14ac:dyDescent="0.15">
      <c r="A4159" s="5" t="s">
        <v>37</v>
      </c>
      <c r="B4159" s="5" t="s">
        <v>7901</v>
      </c>
      <c r="C4159" s="9">
        <v>44089</v>
      </c>
      <c r="D4159" s="5" t="s">
        <v>16</v>
      </c>
      <c r="E4159" s="5" t="s">
        <v>7902</v>
      </c>
      <c r="F4159" s="6">
        <v>7897.5</v>
      </c>
    </row>
    <row r="4160" spans="1:6" x14ac:dyDescent="0.15">
      <c r="A4160" s="5" t="s">
        <v>37</v>
      </c>
      <c r="B4160" s="5" t="s">
        <v>7909</v>
      </c>
      <c r="C4160" s="9">
        <v>44095</v>
      </c>
      <c r="D4160" s="5" t="s">
        <v>16</v>
      </c>
      <c r="E4160" s="5" t="s">
        <v>7910</v>
      </c>
      <c r="F4160" s="6">
        <v>25350</v>
      </c>
    </row>
    <row r="4161" spans="1:6" x14ac:dyDescent="0.15">
      <c r="A4161" s="5" t="s">
        <v>35</v>
      </c>
      <c r="B4161" s="5" t="s">
        <v>3890</v>
      </c>
      <c r="C4161" s="9">
        <v>44090</v>
      </c>
      <c r="D4161" s="5" t="s">
        <v>16</v>
      </c>
      <c r="E4161" s="5" t="s">
        <v>2558</v>
      </c>
      <c r="F4161" s="6">
        <v>8482.5</v>
      </c>
    </row>
    <row r="4162" spans="1:6" x14ac:dyDescent="0.15">
      <c r="A4162" s="5" t="s">
        <v>40</v>
      </c>
      <c r="B4162" s="5" t="s">
        <v>2557</v>
      </c>
      <c r="C4162" s="9">
        <v>44090</v>
      </c>
      <c r="D4162" s="5" t="s">
        <v>16</v>
      </c>
      <c r="E4162" s="5" t="s">
        <v>2558</v>
      </c>
      <c r="F4162" s="6">
        <v>2175</v>
      </c>
    </row>
    <row r="4163" spans="1:6" x14ac:dyDescent="0.15">
      <c r="A4163" s="5" t="s">
        <v>35</v>
      </c>
      <c r="B4163" s="5" t="s">
        <v>3891</v>
      </c>
      <c r="C4163" s="9">
        <v>44090</v>
      </c>
      <c r="D4163" s="5" t="s">
        <v>16</v>
      </c>
      <c r="E4163" s="5" t="s">
        <v>2070</v>
      </c>
      <c r="F4163" s="6">
        <v>1365</v>
      </c>
    </row>
    <row r="4164" spans="1:6" x14ac:dyDescent="0.15">
      <c r="A4164" s="5" t="s">
        <v>41</v>
      </c>
      <c r="B4164" s="5" t="s">
        <v>2069</v>
      </c>
      <c r="C4164" s="9">
        <v>44090</v>
      </c>
      <c r="D4164" s="5" t="s">
        <v>16</v>
      </c>
      <c r="E4164" s="5" t="s">
        <v>2070</v>
      </c>
      <c r="F4164" s="6">
        <v>48.5</v>
      </c>
    </row>
    <row r="4165" spans="1:6" x14ac:dyDescent="0.15">
      <c r="A4165" s="5" t="s">
        <v>35</v>
      </c>
      <c r="B4165" s="5" t="s">
        <v>3892</v>
      </c>
      <c r="C4165" s="9">
        <v>44090</v>
      </c>
      <c r="D4165" s="5" t="s">
        <v>16</v>
      </c>
      <c r="E4165" s="5" t="s">
        <v>3893</v>
      </c>
      <c r="F4165" s="6">
        <v>2047.5</v>
      </c>
    </row>
    <row r="4166" spans="1:6" x14ac:dyDescent="0.15">
      <c r="A4166" s="5" t="s">
        <v>37</v>
      </c>
      <c r="B4166" s="5" t="s">
        <v>7903</v>
      </c>
      <c r="C4166" s="9">
        <v>44090</v>
      </c>
      <c r="D4166" s="5" t="s">
        <v>16</v>
      </c>
      <c r="E4166" s="5" t="s">
        <v>3893</v>
      </c>
      <c r="F4166" s="6">
        <v>1072.5</v>
      </c>
    </row>
    <row r="4167" spans="1:6" x14ac:dyDescent="0.15">
      <c r="A4167" s="5" t="s">
        <v>37</v>
      </c>
      <c r="B4167" s="5" t="s">
        <v>7905</v>
      </c>
      <c r="C4167" s="9">
        <v>44091</v>
      </c>
      <c r="D4167" s="5" t="s">
        <v>16</v>
      </c>
      <c r="E4167" s="5" t="s">
        <v>3897</v>
      </c>
      <c r="F4167" s="6">
        <v>4095</v>
      </c>
    </row>
    <row r="4168" spans="1:6" x14ac:dyDescent="0.15">
      <c r="A4168" s="5" t="s">
        <v>42</v>
      </c>
      <c r="B4168" s="5" t="s">
        <v>5985</v>
      </c>
      <c r="C4168" s="9">
        <v>44091</v>
      </c>
      <c r="D4168" s="5" t="s">
        <v>16</v>
      </c>
      <c r="E4168" s="5" t="s">
        <v>3897</v>
      </c>
      <c r="F4168" s="6">
        <v>7500</v>
      </c>
    </row>
    <row r="4169" spans="1:6" x14ac:dyDescent="0.15">
      <c r="A4169" s="5" t="s">
        <v>35</v>
      </c>
      <c r="B4169" s="5" t="s">
        <v>3896</v>
      </c>
      <c r="C4169" s="9">
        <v>44091</v>
      </c>
      <c r="D4169" s="5" t="s">
        <v>16</v>
      </c>
      <c r="E4169" s="5" t="s">
        <v>3897</v>
      </c>
      <c r="F4169" s="6">
        <v>97.5</v>
      </c>
    </row>
    <row r="4170" spans="1:6" x14ac:dyDescent="0.15">
      <c r="A4170" s="5" t="s">
        <v>35</v>
      </c>
      <c r="B4170" s="5" t="s">
        <v>3898</v>
      </c>
      <c r="C4170" s="9">
        <v>44091</v>
      </c>
      <c r="D4170" s="5" t="s">
        <v>16</v>
      </c>
      <c r="E4170" s="5" t="s">
        <v>2560</v>
      </c>
      <c r="F4170" s="6">
        <v>3705</v>
      </c>
    </row>
    <row r="4171" spans="1:6" x14ac:dyDescent="0.15">
      <c r="A4171" s="5" t="s">
        <v>40</v>
      </c>
      <c r="B4171" s="5" t="s">
        <v>2559</v>
      </c>
      <c r="C4171" s="9">
        <v>44091</v>
      </c>
      <c r="D4171" s="5" t="s">
        <v>16</v>
      </c>
      <c r="E4171" s="5" t="s">
        <v>2560</v>
      </c>
      <c r="F4171" s="6">
        <v>2850</v>
      </c>
    </row>
    <row r="4172" spans="1:6" x14ac:dyDescent="0.15">
      <c r="A4172" s="5" t="s">
        <v>41</v>
      </c>
      <c r="B4172" s="5" t="s">
        <v>2071</v>
      </c>
      <c r="C4172" s="9">
        <v>44091</v>
      </c>
      <c r="D4172" s="5" t="s">
        <v>16</v>
      </c>
      <c r="E4172" s="5" t="s">
        <v>2072</v>
      </c>
      <c r="F4172" s="6">
        <v>1940</v>
      </c>
    </row>
    <row r="4173" spans="1:6" x14ac:dyDescent="0.15">
      <c r="A4173" s="5" t="s">
        <v>37</v>
      </c>
      <c r="B4173" s="5" t="s">
        <v>7906</v>
      </c>
      <c r="C4173" s="9">
        <v>44091</v>
      </c>
      <c r="D4173" s="5" t="s">
        <v>16</v>
      </c>
      <c r="E4173" s="5" t="s">
        <v>5355</v>
      </c>
      <c r="F4173" s="6">
        <v>9847.5</v>
      </c>
    </row>
    <row r="4174" spans="1:6" x14ac:dyDescent="0.15">
      <c r="A4174" s="5" t="s">
        <v>42</v>
      </c>
      <c r="B4174" s="5" t="s">
        <v>5986</v>
      </c>
      <c r="C4174" s="9">
        <v>44091</v>
      </c>
      <c r="D4174" s="5" t="s">
        <v>16</v>
      </c>
      <c r="E4174" s="5" t="s">
        <v>5355</v>
      </c>
      <c r="F4174" s="6">
        <v>3825</v>
      </c>
    </row>
    <row r="4175" spans="1:6" x14ac:dyDescent="0.15">
      <c r="A4175" s="5" t="s">
        <v>43</v>
      </c>
      <c r="B4175" s="5" t="s">
        <v>5354</v>
      </c>
      <c r="C4175" s="9">
        <v>44091</v>
      </c>
      <c r="D4175" s="5" t="s">
        <v>16</v>
      </c>
      <c r="E4175" s="5" t="s">
        <v>5355</v>
      </c>
      <c r="F4175" s="6">
        <v>2473.5</v>
      </c>
    </row>
    <row r="4176" spans="1:6" x14ac:dyDescent="0.15">
      <c r="A4176" s="5" t="s">
        <v>35</v>
      </c>
      <c r="B4176" s="5" t="s">
        <v>3899</v>
      </c>
      <c r="C4176" s="9">
        <v>44091</v>
      </c>
      <c r="D4176" s="5" t="s">
        <v>16</v>
      </c>
      <c r="E4176" s="5" t="s">
        <v>2074</v>
      </c>
      <c r="F4176" s="6">
        <v>4485</v>
      </c>
    </row>
    <row r="4177" spans="1:6" x14ac:dyDescent="0.15">
      <c r="A4177" s="5" t="s">
        <v>41</v>
      </c>
      <c r="B4177" s="5" t="s">
        <v>2073</v>
      </c>
      <c r="C4177" s="9">
        <v>44091</v>
      </c>
      <c r="D4177" s="5" t="s">
        <v>16</v>
      </c>
      <c r="E4177" s="5" t="s">
        <v>2074</v>
      </c>
      <c r="F4177" s="6">
        <v>630.5</v>
      </c>
    </row>
    <row r="4178" spans="1:6" x14ac:dyDescent="0.15">
      <c r="A4178" s="5" t="s">
        <v>35</v>
      </c>
      <c r="B4178" s="5" t="s">
        <v>3900</v>
      </c>
      <c r="C4178" s="9">
        <v>44091</v>
      </c>
      <c r="D4178" s="5" t="s">
        <v>16</v>
      </c>
      <c r="E4178" s="5" t="s">
        <v>3901</v>
      </c>
      <c r="F4178" s="6">
        <v>1170</v>
      </c>
    </row>
    <row r="4179" spans="1:6" x14ac:dyDescent="0.15">
      <c r="A4179" s="5" t="s">
        <v>37</v>
      </c>
      <c r="B4179" s="5" t="s">
        <v>7907</v>
      </c>
      <c r="C4179" s="9">
        <v>44091</v>
      </c>
      <c r="D4179" s="5" t="s">
        <v>16</v>
      </c>
      <c r="E4179" s="5" t="s">
        <v>7908</v>
      </c>
      <c r="F4179" s="6">
        <v>5070</v>
      </c>
    </row>
    <row r="4180" spans="1:6" x14ac:dyDescent="0.15">
      <c r="A4180" s="5" t="s">
        <v>40</v>
      </c>
      <c r="B4180" s="5" t="s">
        <v>2561</v>
      </c>
      <c r="C4180" s="9">
        <v>44092</v>
      </c>
      <c r="D4180" s="5" t="s">
        <v>16</v>
      </c>
      <c r="E4180" s="5" t="s">
        <v>2562</v>
      </c>
      <c r="F4180" s="6">
        <v>7500</v>
      </c>
    </row>
    <row r="4181" spans="1:6" x14ac:dyDescent="0.15">
      <c r="A4181" s="5" t="s">
        <v>35</v>
      </c>
      <c r="B4181" s="5" t="s">
        <v>3902</v>
      </c>
      <c r="C4181" s="9">
        <v>44092</v>
      </c>
      <c r="D4181" s="5" t="s">
        <v>16</v>
      </c>
      <c r="E4181" s="5" t="s">
        <v>2562</v>
      </c>
      <c r="F4181" s="6">
        <v>11700</v>
      </c>
    </row>
    <row r="4182" spans="1:6" x14ac:dyDescent="0.15">
      <c r="A4182" s="5" t="s">
        <v>43</v>
      </c>
      <c r="B4182" s="5" t="s">
        <v>5356</v>
      </c>
      <c r="C4182" s="9">
        <v>44092</v>
      </c>
      <c r="D4182" s="5" t="s">
        <v>16</v>
      </c>
      <c r="E4182" s="5" t="s">
        <v>5357</v>
      </c>
      <c r="F4182" s="6">
        <v>10379</v>
      </c>
    </row>
    <row r="4183" spans="1:6" x14ac:dyDescent="0.15">
      <c r="A4183" s="5" t="s">
        <v>43</v>
      </c>
      <c r="B4183" s="5" t="s">
        <v>5358</v>
      </c>
      <c r="C4183" s="9">
        <v>44095</v>
      </c>
      <c r="D4183" s="5" t="s">
        <v>16</v>
      </c>
      <c r="E4183" s="5" t="s">
        <v>5359</v>
      </c>
      <c r="F4183" s="6">
        <v>1940</v>
      </c>
    </row>
    <row r="4184" spans="1:6" x14ac:dyDescent="0.15">
      <c r="A4184" s="5" t="s">
        <v>42</v>
      </c>
      <c r="B4184" s="5" t="s">
        <v>5987</v>
      </c>
      <c r="C4184" s="9">
        <v>44095</v>
      </c>
      <c r="D4184" s="5" t="s">
        <v>16</v>
      </c>
      <c r="E4184" s="5" t="s">
        <v>5359</v>
      </c>
      <c r="F4184" s="6">
        <v>3000</v>
      </c>
    </row>
    <row r="4185" spans="1:6" x14ac:dyDescent="0.15">
      <c r="A4185" s="5" t="s">
        <v>37</v>
      </c>
      <c r="B4185" s="5" t="s">
        <v>7911</v>
      </c>
      <c r="C4185" s="9">
        <v>44095</v>
      </c>
      <c r="D4185" s="5" t="s">
        <v>16</v>
      </c>
      <c r="E4185" s="5" t="s">
        <v>5359</v>
      </c>
      <c r="F4185" s="6">
        <v>1950</v>
      </c>
    </row>
    <row r="4186" spans="1:6" x14ac:dyDescent="0.15">
      <c r="A4186" s="5" t="s">
        <v>37</v>
      </c>
      <c r="B4186" s="5" t="s">
        <v>7914</v>
      </c>
      <c r="C4186" s="9">
        <v>44096</v>
      </c>
      <c r="D4186" s="5" t="s">
        <v>16</v>
      </c>
      <c r="E4186" s="5" t="s">
        <v>7915</v>
      </c>
      <c r="F4186" s="6">
        <v>877.5</v>
      </c>
    </row>
    <row r="4187" spans="1:6" x14ac:dyDescent="0.15">
      <c r="A4187" s="5" t="s">
        <v>49</v>
      </c>
      <c r="B4187" s="5" t="s">
        <v>8697</v>
      </c>
      <c r="C4187" s="9">
        <v>44096</v>
      </c>
      <c r="D4187" s="5" t="s">
        <v>16</v>
      </c>
      <c r="E4187" s="5" t="s">
        <v>7915</v>
      </c>
      <c r="F4187" s="6">
        <v>877.5</v>
      </c>
    </row>
    <row r="4188" spans="1:6" x14ac:dyDescent="0.15">
      <c r="A4188" s="5" t="s">
        <v>37</v>
      </c>
      <c r="B4188" s="5" t="s">
        <v>7912</v>
      </c>
      <c r="C4188" s="9">
        <v>44095</v>
      </c>
      <c r="D4188" s="5" t="s">
        <v>16</v>
      </c>
      <c r="E4188" s="5" t="s">
        <v>7913</v>
      </c>
      <c r="F4188" s="6">
        <v>23010</v>
      </c>
    </row>
    <row r="4189" spans="1:6" x14ac:dyDescent="0.15">
      <c r="A4189" s="5" t="s">
        <v>37</v>
      </c>
      <c r="B4189" s="5" t="s">
        <v>7916</v>
      </c>
      <c r="C4189" s="9">
        <v>44096</v>
      </c>
      <c r="D4189" s="5" t="s">
        <v>16</v>
      </c>
      <c r="E4189" s="5" t="s">
        <v>7917</v>
      </c>
      <c r="F4189" s="6">
        <v>585</v>
      </c>
    </row>
    <row r="4190" spans="1:6" x14ac:dyDescent="0.15">
      <c r="A4190" s="5" t="s">
        <v>35</v>
      </c>
      <c r="B4190" s="5" t="s">
        <v>3903</v>
      </c>
      <c r="C4190" s="9">
        <v>44096</v>
      </c>
      <c r="D4190" s="5" t="s">
        <v>16</v>
      </c>
      <c r="E4190" s="5" t="s">
        <v>2564</v>
      </c>
      <c r="F4190" s="6">
        <v>585</v>
      </c>
    </row>
    <row r="4191" spans="1:6" x14ac:dyDescent="0.15">
      <c r="A4191" s="5" t="s">
        <v>40</v>
      </c>
      <c r="B4191" s="5" t="s">
        <v>2563</v>
      </c>
      <c r="C4191" s="9">
        <v>44096</v>
      </c>
      <c r="D4191" s="5" t="s">
        <v>16</v>
      </c>
      <c r="E4191" s="5" t="s">
        <v>2564</v>
      </c>
      <c r="F4191" s="6">
        <v>450</v>
      </c>
    </row>
    <row r="4192" spans="1:6" x14ac:dyDescent="0.15">
      <c r="A4192" s="5" t="s">
        <v>37</v>
      </c>
      <c r="B4192" s="5" t="s">
        <v>7918</v>
      </c>
      <c r="C4192" s="9">
        <v>44096</v>
      </c>
      <c r="D4192" s="5" t="s">
        <v>16</v>
      </c>
      <c r="E4192" s="5" t="s">
        <v>7919</v>
      </c>
      <c r="F4192" s="6">
        <v>975</v>
      </c>
    </row>
    <row r="4193" spans="1:6" x14ac:dyDescent="0.15">
      <c r="A4193" s="5" t="s">
        <v>37</v>
      </c>
      <c r="B4193" s="5" t="s">
        <v>7922</v>
      </c>
      <c r="C4193" s="9">
        <v>44097</v>
      </c>
      <c r="D4193" s="5" t="s">
        <v>16</v>
      </c>
      <c r="E4193" s="5" t="s">
        <v>3905</v>
      </c>
      <c r="F4193" s="6">
        <v>1950</v>
      </c>
    </row>
    <row r="4194" spans="1:6" x14ac:dyDescent="0.15">
      <c r="A4194" s="5" t="s">
        <v>35</v>
      </c>
      <c r="B4194" s="5" t="s">
        <v>3904</v>
      </c>
      <c r="C4194" s="9">
        <v>44097</v>
      </c>
      <c r="D4194" s="5" t="s">
        <v>16</v>
      </c>
      <c r="E4194" s="5" t="s">
        <v>3905</v>
      </c>
      <c r="F4194" s="6">
        <v>3900</v>
      </c>
    </row>
    <row r="4195" spans="1:6" x14ac:dyDescent="0.15">
      <c r="A4195" s="5" t="s">
        <v>37</v>
      </c>
      <c r="B4195" s="5" t="s">
        <v>7920</v>
      </c>
      <c r="C4195" s="9">
        <v>44096</v>
      </c>
      <c r="D4195" s="5" t="s">
        <v>16</v>
      </c>
      <c r="E4195" s="5" t="s">
        <v>7921</v>
      </c>
      <c r="F4195" s="6">
        <v>2340</v>
      </c>
    </row>
    <row r="4196" spans="1:6" x14ac:dyDescent="0.15">
      <c r="A4196" s="5" t="s">
        <v>37</v>
      </c>
      <c r="B4196" s="5" t="s">
        <v>7923</v>
      </c>
      <c r="C4196" s="9">
        <v>44097</v>
      </c>
      <c r="D4196" s="5" t="s">
        <v>16</v>
      </c>
      <c r="E4196" s="5" t="s">
        <v>7924</v>
      </c>
      <c r="F4196" s="6">
        <v>195</v>
      </c>
    </row>
    <row r="4197" spans="1:6" x14ac:dyDescent="0.15">
      <c r="A4197" s="5" t="s">
        <v>35</v>
      </c>
      <c r="B4197" s="5" t="s">
        <v>3906</v>
      </c>
      <c r="C4197" s="9">
        <v>44097</v>
      </c>
      <c r="D4197" s="5" t="s">
        <v>16</v>
      </c>
      <c r="E4197" s="5" t="s">
        <v>3907</v>
      </c>
      <c r="F4197" s="6">
        <v>5265</v>
      </c>
    </row>
    <row r="4198" spans="1:6" x14ac:dyDescent="0.15">
      <c r="A4198" s="5" t="s">
        <v>37</v>
      </c>
      <c r="B4198" s="5" t="s">
        <v>7925</v>
      </c>
      <c r="C4198" s="9">
        <v>44097</v>
      </c>
      <c r="D4198" s="5" t="s">
        <v>16</v>
      </c>
      <c r="E4198" s="5" t="s">
        <v>2566</v>
      </c>
      <c r="F4198" s="6">
        <v>2535</v>
      </c>
    </row>
    <row r="4199" spans="1:6" x14ac:dyDescent="0.15">
      <c r="A4199" s="5" t="s">
        <v>42</v>
      </c>
      <c r="B4199" s="5" t="s">
        <v>5988</v>
      </c>
      <c r="C4199" s="9">
        <v>44097</v>
      </c>
      <c r="D4199" s="5" t="s">
        <v>16</v>
      </c>
      <c r="E4199" s="5" t="s">
        <v>2566</v>
      </c>
      <c r="F4199" s="6">
        <v>1200</v>
      </c>
    </row>
    <row r="4200" spans="1:6" x14ac:dyDescent="0.15">
      <c r="A4200" s="5" t="s">
        <v>35</v>
      </c>
      <c r="B4200" s="5" t="s">
        <v>3908</v>
      </c>
      <c r="C4200" s="9">
        <v>44097</v>
      </c>
      <c r="D4200" s="5" t="s">
        <v>16</v>
      </c>
      <c r="E4200" s="5" t="s">
        <v>2566</v>
      </c>
      <c r="F4200" s="6">
        <v>585</v>
      </c>
    </row>
    <row r="4201" spans="1:6" x14ac:dyDescent="0.15">
      <c r="A4201" s="5" t="s">
        <v>40</v>
      </c>
      <c r="B4201" s="5" t="s">
        <v>2565</v>
      </c>
      <c r="C4201" s="9">
        <v>44097</v>
      </c>
      <c r="D4201" s="5" t="s">
        <v>16</v>
      </c>
      <c r="E4201" s="5" t="s">
        <v>2566</v>
      </c>
      <c r="F4201" s="6">
        <v>450</v>
      </c>
    </row>
    <row r="4202" spans="1:6" x14ac:dyDescent="0.15">
      <c r="A4202" s="5" t="s">
        <v>37</v>
      </c>
      <c r="B4202" s="5" t="s">
        <v>7926</v>
      </c>
      <c r="C4202" s="9">
        <v>44097</v>
      </c>
      <c r="D4202" s="5" t="s">
        <v>16</v>
      </c>
      <c r="E4202" s="5" t="s">
        <v>5990</v>
      </c>
      <c r="F4202" s="6">
        <v>6727.5</v>
      </c>
    </row>
    <row r="4203" spans="1:6" x14ac:dyDescent="0.15">
      <c r="A4203" s="5" t="s">
        <v>42</v>
      </c>
      <c r="B4203" s="5" t="s">
        <v>5989</v>
      </c>
      <c r="C4203" s="9">
        <v>44097</v>
      </c>
      <c r="D4203" s="5" t="s">
        <v>16</v>
      </c>
      <c r="E4203" s="5" t="s">
        <v>5990</v>
      </c>
      <c r="F4203" s="6">
        <v>2475</v>
      </c>
    </row>
    <row r="4204" spans="1:6" x14ac:dyDescent="0.15">
      <c r="A4204" s="5" t="s">
        <v>44</v>
      </c>
      <c r="B4204" s="5" t="s">
        <v>4431</v>
      </c>
      <c r="C4204" s="9">
        <v>44098</v>
      </c>
      <c r="D4204" s="5" t="s">
        <v>16</v>
      </c>
      <c r="E4204" s="5" t="s">
        <v>4432</v>
      </c>
      <c r="F4204" s="6">
        <v>23692.5</v>
      </c>
    </row>
    <row r="4205" spans="1:6" x14ac:dyDescent="0.15">
      <c r="A4205" s="5" t="s">
        <v>42</v>
      </c>
      <c r="B4205" s="5" t="s">
        <v>5991</v>
      </c>
      <c r="C4205" s="9">
        <v>44097</v>
      </c>
      <c r="D4205" s="5" t="s">
        <v>16</v>
      </c>
      <c r="E4205" s="5" t="s">
        <v>5992</v>
      </c>
      <c r="F4205" s="6">
        <v>9000</v>
      </c>
    </row>
    <row r="4206" spans="1:6" x14ac:dyDescent="0.15">
      <c r="A4206" s="5" t="s">
        <v>42</v>
      </c>
      <c r="B4206" s="5" t="s">
        <v>5993</v>
      </c>
      <c r="C4206" s="9">
        <v>44097</v>
      </c>
      <c r="D4206" s="5" t="s">
        <v>16</v>
      </c>
      <c r="E4206" s="5" t="s">
        <v>5994</v>
      </c>
      <c r="F4206" s="6">
        <v>3300</v>
      </c>
    </row>
    <row r="4207" spans="1:6" x14ac:dyDescent="0.15">
      <c r="A4207" s="5" t="s">
        <v>37</v>
      </c>
      <c r="B4207" s="5" t="s">
        <v>7927</v>
      </c>
      <c r="C4207" s="9">
        <v>44097</v>
      </c>
      <c r="D4207" s="5" t="s">
        <v>16</v>
      </c>
      <c r="E4207" s="5" t="s">
        <v>5994</v>
      </c>
      <c r="F4207" s="6">
        <v>4290</v>
      </c>
    </row>
    <row r="4208" spans="1:6" x14ac:dyDescent="0.15">
      <c r="A4208" s="5" t="s">
        <v>42</v>
      </c>
      <c r="B4208" s="5" t="s">
        <v>5998</v>
      </c>
      <c r="C4208" s="9">
        <v>44098</v>
      </c>
      <c r="D4208" s="5" t="s">
        <v>16</v>
      </c>
      <c r="E4208" s="5" t="s">
        <v>5992</v>
      </c>
      <c r="F4208" s="6">
        <v>-9000</v>
      </c>
    </row>
    <row r="4209" spans="1:6" x14ac:dyDescent="0.15">
      <c r="A4209" s="5" t="s">
        <v>42</v>
      </c>
      <c r="B4209" s="5" t="s">
        <v>5995</v>
      </c>
      <c r="C4209" s="9">
        <v>44097</v>
      </c>
      <c r="D4209" s="5" t="s">
        <v>16</v>
      </c>
      <c r="E4209" s="5" t="s">
        <v>5996</v>
      </c>
      <c r="F4209" s="6">
        <v>3750</v>
      </c>
    </row>
    <row r="4210" spans="1:6" x14ac:dyDescent="0.15">
      <c r="A4210" s="5" t="s">
        <v>42</v>
      </c>
      <c r="B4210" s="5" t="s">
        <v>5997</v>
      </c>
      <c r="C4210" s="9">
        <v>44097</v>
      </c>
      <c r="D4210" s="5" t="s">
        <v>16</v>
      </c>
      <c r="E4210" s="5" t="s">
        <v>5996</v>
      </c>
      <c r="F4210" s="6">
        <v>5250</v>
      </c>
    </row>
    <row r="4211" spans="1:6" x14ac:dyDescent="0.15">
      <c r="A4211" s="5" t="s">
        <v>43</v>
      </c>
      <c r="B4211" s="5" t="s">
        <v>5360</v>
      </c>
      <c r="C4211" s="9">
        <v>44097</v>
      </c>
      <c r="D4211" s="5" t="s">
        <v>16</v>
      </c>
      <c r="E4211" s="5" t="s">
        <v>5361</v>
      </c>
      <c r="F4211" s="6">
        <v>97</v>
      </c>
    </row>
    <row r="4212" spans="1:6" x14ac:dyDescent="0.15">
      <c r="A4212" s="5" t="s">
        <v>35</v>
      </c>
      <c r="B4212" s="5" t="s">
        <v>3909</v>
      </c>
      <c r="C4212" s="9">
        <v>44097</v>
      </c>
      <c r="D4212" s="5" t="s">
        <v>16</v>
      </c>
      <c r="E4212" s="5" t="s">
        <v>3910</v>
      </c>
      <c r="F4212" s="6">
        <v>3900</v>
      </c>
    </row>
    <row r="4213" spans="1:6" x14ac:dyDescent="0.15">
      <c r="A4213" s="5" t="s">
        <v>43</v>
      </c>
      <c r="B4213" s="5" t="s">
        <v>5366</v>
      </c>
      <c r="C4213" s="9">
        <v>44109</v>
      </c>
      <c r="D4213" s="5" t="s">
        <v>16</v>
      </c>
      <c r="E4213" s="5" t="s">
        <v>5367</v>
      </c>
      <c r="F4213" s="6">
        <v>15520</v>
      </c>
    </row>
    <row r="4214" spans="1:6" x14ac:dyDescent="0.15">
      <c r="A4214" s="5" t="s">
        <v>37</v>
      </c>
      <c r="B4214" s="5" t="s">
        <v>7935</v>
      </c>
      <c r="C4214" s="9">
        <v>44109</v>
      </c>
      <c r="D4214" s="5" t="s">
        <v>16</v>
      </c>
      <c r="E4214" s="5" t="s">
        <v>5367</v>
      </c>
      <c r="F4214" s="6">
        <v>9750</v>
      </c>
    </row>
    <row r="4215" spans="1:6" x14ac:dyDescent="0.15">
      <c r="A4215" s="5" t="s">
        <v>35</v>
      </c>
      <c r="B4215" s="5" t="s">
        <v>3911</v>
      </c>
      <c r="C4215" s="9">
        <v>44098</v>
      </c>
      <c r="D4215" s="5" t="s">
        <v>16</v>
      </c>
      <c r="E4215" s="5" t="s">
        <v>3912</v>
      </c>
      <c r="F4215" s="6">
        <v>682.5</v>
      </c>
    </row>
    <row r="4216" spans="1:6" x14ac:dyDescent="0.15">
      <c r="A4216" s="5" t="s">
        <v>37</v>
      </c>
      <c r="B4216" s="5" t="s">
        <v>7928</v>
      </c>
      <c r="C4216" s="9">
        <v>44098</v>
      </c>
      <c r="D4216" s="5" t="s">
        <v>16</v>
      </c>
      <c r="E4216" s="5" t="s">
        <v>3912</v>
      </c>
      <c r="F4216" s="6">
        <v>292.5</v>
      </c>
    </row>
    <row r="4217" spans="1:6" x14ac:dyDescent="0.15">
      <c r="A4217" s="5" t="s">
        <v>37</v>
      </c>
      <c r="B4217" s="5" t="s">
        <v>7929</v>
      </c>
      <c r="C4217" s="9">
        <v>44098</v>
      </c>
      <c r="D4217" s="5" t="s">
        <v>16</v>
      </c>
      <c r="E4217" s="5" t="s">
        <v>5363</v>
      </c>
      <c r="F4217" s="6">
        <v>1852.5</v>
      </c>
    </row>
    <row r="4218" spans="1:6" x14ac:dyDescent="0.15">
      <c r="A4218" s="5" t="s">
        <v>43</v>
      </c>
      <c r="B4218" s="5" t="s">
        <v>5362</v>
      </c>
      <c r="C4218" s="9">
        <v>44098</v>
      </c>
      <c r="D4218" s="5" t="s">
        <v>16</v>
      </c>
      <c r="E4218" s="5" t="s">
        <v>5363</v>
      </c>
      <c r="F4218" s="6">
        <v>339.5</v>
      </c>
    </row>
    <row r="4219" spans="1:6" x14ac:dyDescent="0.15">
      <c r="A4219" s="5" t="s">
        <v>41</v>
      </c>
      <c r="B4219" s="5" t="s">
        <v>2077</v>
      </c>
      <c r="C4219" s="9">
        <v>44103</v>
      </c>
      <c r="D4219" s="5" t="s">
        <v>16</v>
      </c>
      <c r="E4219" s="5" t="s">
        <v>2078</v>
      </c>
      <c r="F4219" s="6">
        <v>1940</v>
      </c>
    </row>
    <row r="4220" spans="1:6" x14ac:dyDescent="0.15">
      <c r="A4220" s="5" t="s">
        <v>44</v>
      </c>
      <c r="B4220" s="5" t="s">
        <v>4433</v>
      </c>
      <c r="C4220" s="9">
        <v>44103</v>
      </c>
      <c r="D4220" s="5" t="s">
        <v>16</v>
      </c>
      <c r="E4220" s="5" t="s">
        <v>2078</v>
      </c>
      <c r="F4220" s="6">
        <v>3900</v>
      </c>
    </row>
    <row r="4221" spans="1:6" x14ac:dyDescent="0.15">
      <c r="A4221" s="5" t="s">
        <v>37</v>
      </c>
      <c r="B4221" s="5" t="s">
        <v>7930</v>
      </c>
      <c r="C4221" s="9">
        <v>44103</v>
      </c>
      <c r="D4221" s="5" t="s">
        <v>16</v>
      </c>
      <c r="E4221" s="5" t="s">
        <v>2078</v>
      </c>
      <c r="F4221" s="6">
        <v>1950</v>
      </c>
    </row>
    <row r="4222" spans="1:6" x14ac:dyDescent="0.15">
      <c r="A4222" s="5" t="s">
        <v>43</v>
      </c>
      <c r="B4222" s="5" t="s">
        <v>5364</v>
      </c>
      <c r="C4222" s="9">
        <v>44102</v>
      </c>
      <c r="D4222" s="5" t="s">
        <v>16</v>
      </c>
      <c r="E4222" s="5" t="s">
        <v>5365</v>
      </c>
      <c r="F4222" s="6">
        <v>970</v>
      </c>
    </row>
    <row r="4223" spans="1:6" x14ac:dyDescent="0.15">
      <c r="A4223" s="5" t="s">
        <v>42</v>
      </c>
      <c r="B4223" s="5" t="s">
        <v>5999</v>
      </c>
      <c r="C4223" s="9">
        <v>44102</v>
      </c>
      <c r="D4223" s="5" t="s">
        <v>16</v>
      </c>
      <c r="E4223" s="5" t="s">
        <v>6000</v>
      </c>
      <c r="F4223" s="6">
        <v>2250</v>
      </c>
    </row>
    <row r="4224" spans="1:6" x14ac:dyDescent="0.15">
      <c r="A4224" s="5" t="s">
        <v>35</v>
      </c>
      <c r="B4224" s="5" t="s">
        <v>3913</v>
      </c>
      <c r="C4224" s="9">
        <v>44102</v>
      </c>
      <c r="D4224" s="5" t="s">
        <v>16</v>
      </c>
      <c r="E4224" s="5" t="s">
        <v>2076</v>
      </c>
      <c r="F4224" s="6">
        <v>9457.5</v>
      </c>
    </row>
    <row r="4225" spans="1:6" x14ac:dyDescent="0.15">
      <c r="A4225" s="5" t="s">
        <v>40</v>
      </c>
      <c r="B4225" s="5" t="s">
        <v>2567</v>
      </c>
      <c r="C4225" s="9">
        <v>44102</v>
      </c>
      <c r="D4225" s="5" t="s">
        <v>16</v>
      </c>
      <c r="E4225" s="5" t="s">
        <v>2076</v>
      </c>
      <c r="F4225" s="6">
        <v>300</v>
      </c>
    </row>
    <row r="4226" spans="1:6" x14ac:dyDescent="0.15">
      <c r="A4226" s="5" t="s">
        <v>41</v>
      </c>
      <c r="B4226" s="5" t="s">
        <v>2075</v>
      </c>
      <c r="C4226" s="9">
        <v>44102</v>
      </c>
      <c r="D4226" s="5" t="s">
        <v>16</v>
      </c>
      <c r="E4226" s="5" t="s">
        <v>2076</v>
      </c>
      <c r="F4226" s="6">
        <v>97</v>
      </c>
    </row>
    <row r="4227" spans="1:6" x14ac:dyDescent="0.15">
      <c r="A4227" s="5" t="s">
        <v>37</v>
      </c>
      <c r="B4227" s="5" t="s">
        <v>7931</v>
      </c>
      <c r="C4227" s="9">
        <v>44103</v>
      </c>
      <c r="D4227" s="5" t="s">
        <v>16</v>
      </c>
      <c r="E4227" s="5" t="s">
        <v>7932</v>
      </c>
      <c r="F4227" s="6">
        <v>6045</v>
      </c>
    </row>
    <row r="4228" spans="1:6" x14ac:dyDescent="0.15">
      <c r="A4228" s="5" t="s">
        <v>35</v>
      </c>
      <c r="B4228" s="5" t="s">
        <v>3914</v>
      </c>
      <c r="C4228" s="9">
        <v>44103</v>
      </c>
      <c r="D4228" s="5" t="s">
        <v>16</v>
      </c>
      <c r="E4228" s="5" t="s">
        <v>3915</v>
      </c>
      <c r="F4228" s="6">
        <v>11017.5</v>
      </c>
    </row>
    <row r="4229" spans="1:6" x14ac:dyDescent="0.15">
      <c r="A4229" s="5" t="s">
        <v>37</v>
      </c>
      <c r="B4229" s="5" t="s">
        <v>7933</v>
      </c>
      <c r="C4229" s="9">
        <v>44103</v>
      </c>
      <c r="D4229" s="5" t="s">
        <v>16</v>
      </c>
      <c r="E4229" s="5" t="s">
        <v>7934</v>
      </c>
      <c r="F4229" s="6">
        <v>2535</v>
      </c>
    </row>
    <row r="4230" spans="1:6" x14ac:dyDescent="0.15">
      <c r="A4230" s="5" t="s">
        <v>40</v>
      </c>
      <c r="B4230" s="5" t="s">
        <v>2568</v>
      </c>
      <c r="C4230" s="9">
        <v>44109</v>
      </c>
      <c r="D4230" s="5" t="s">
        <v>16</v>
      </c>
      <c r="E4230" s="5" t="s">
        <v>2569</v>
      </c>
      <c r="F4230" s="6">
        <v>3000</v>
      </c>
    </row>
    <row r="4231" spans="1:6" x14ac:dyDescent="0.15">
      <c r="A4231" s="5" t="s">
        <v>51</v>
      </c>
      <c r="B4231" s="5" t="s">
        <v>4255</v>
      </c>
      <c r="C4231" s="9">
        <v>44109</v>
      </c>
      <c r="D4231" s="5" t="s">
        <v>16</v>
      </c>
      <c r="E4231" s="5" t="s">
        <v>2569</v>
      </c>
      <c r="F4231" s="6">
        <v>9750</v>
      </c>
    </row>
    <row r="4232" spans="1:6" x14ac:dyDescent="0.15">
      <c r="A4232" s="5" t="s">
        <v>43</v>
      </c>
      <c r="B4232" s="5" t="s">
        <v>5368</v>
      </c>
      <c r="C4232" s="9">
        <v>44109</v>
      </c>
      <c r="D4232" s="5" t="s">
        <v>16</v>
      </c>
      <c r="E4232" s="5" t="s">
        <v>2569</v>
      </c>
      <c r="F4232" s="6">
        <v>3880</v>
      </c>
    </row>
    <row r="4233" spans="1:6" x14ac:dyDescent="0.15">
      <c r="A4233" s="5" t="s">
        <v>37</v>
      </c>
      <c r="B4233" s="5" t="s">
        <v>7936</v>
      </c>
      <c r="C4233" s="9">
        <v>44109</v>
      </c>
      <c r="D4233" s="5" t="s">
        <v>16</v>
      </c>
      <c r="E4233" s="5" t="s">
        <v>2569</v>
      </c>
      <c r="F4233" s="6">
        <v>7800</v>
      </c>
    </row>
    <row r="4234" spans="1:6" x14ac:dyDescent="0.15">
      <c r="A4234" s="5" t="s">
        <v>35</v>
      </c>
      <c r="B4234" s="5" t="s">
        <v>3916</v>
      </c>
      <c r="C4234" s="9">
        <v>44103</v>
      </c>
      <c r="D4234" s="5" t="s">
        <v>16</v>
      </c>
      <c r="E4234" s="5" t="s">
        <v>2080</v>
      </c>
      <c r="F4234" s="6">
        <v>487.5</v>
      </c>
    </row>
    <row r="4235" spans="1:6" x14ac:dyDescent="0.15">
      <c r="A4235" s="5" t="s">
        <v>41</v>
      </c>
      <c r="B4235" s="5" t="s">
        <v>2079</v>
      </c>
      <c r="C4235" s="9">
        <v>44103</v>
      </c>
      <c r="D4235" s="5" t="s">
        <v>16</v>
      </c>
      <c r="E4235" s="5" t="s">
        <v>2080</v>
      </c>
      <c r="F4235" s="6">
        <v>145.5</v>
      </c>
    </row>
    <row r="4236" spans="1:6" x14ac:dyDescent="0.15">
      <c r="A4236" s="5" t="s">
        <v>43</v>
      </c>
      <c r="B4236" s="5" t="s">
        <v>5371</v>
      </c>
      <c r="C4236" s="9">
        <v>44110</v>
      </c>
      <c r="D4236" s="5" t="s">
        <v>16</v>
      </c>
      <c r="E4236" s="5" t="s">
        <v>2226</v>
      </c>
      <c r="F4236" s="6">
        <v>5820</v>
      </c>
    </row>
    <row r="4237" spans="1:6" x14ac:dyDescent="0.15">
      <c r="A4237" s="5" t="s">
        <v>37</v>
      </c>
      <c r="B4237" s="5" t="s">
        <v>7941</v>
      </c>
      <c r="C4237" s="9">
        <v>44110</v>
      </c>
      <c r="D4237" s="5" t="s">
        <v>16</v>
      </c>
      <c r="E4237" s="5" t="s">
        <v>2226</v>
      </c>
      <c r="F4237" s="6">
        <v>13650</v>
      </c>
    </row>
    <row r="4238" spans="1:6" x14ac:dyDescent="0.15">
      <c r="A4238" s="5" t="s">
        <v>46</v>
      </c>
      <c r="B4238" s="5" t="s">
        <v>2225</v>
      </c>
      <c r="C4238" s="9">
        <v>44110</v>
      </c>
      <c r="D4238" s="5" t="s">
        <v>16</v>
      </c>
      <c r="E4238" s="5" t="s">
        <v>2226</v>
      </c>
      <c r="F4238" s="6">
        <v>5820</v>
      </c>
    </row>
    <row r="4239" spans="1:6" x14ac:dyDescent="0.15">
      <c r="A4239" s="5" t="s">
        <v>44</v>
      </c>
      <c r="B4239" s="5" t="s">
        <v>4434</v>
      </c>
      <c r="C4239" s="9">
        <v>44104</v>
      </c>
      <c r="D4239" s="5" t="s">
        <v>16</v>
      </c>
      <c r="E4239" s="5" t="s">
        <v>4435</v>
      </c>
      <c r="F4239" s="6">
        <v>780</v>
      </c>
    </row>
    <row r="4240" spans="1:6" x14ac:dyDescent="0.15">
      <c r="A4240" s="5" t="s">
        <v>42</v>
      </c>
      <c r="B4240" s="5" t="s">
        <v>6001</v>
      </c>
      <c r="C4240" s="9">
        <v>44105</v>
      </c>
      <c r="D4240" s="5" t="s">
        <v>16</v>
      </c>
      <c r="E4240" s="5" t="s">
        <v>6002</v>
      </c>
      <c r="F4240" s="6">
        <v>2925</v>
      </c>
    </row>
    <row r="4241" spans="1:6" x14ac:dyDescent="0.15">
      <c r="A4241" s="5" t="s">
        <v>35</v>
      </c>
      <c r="B4241" s="5" t="s">
        <v>3917</v>
      </c>
      <c r="C4241" s="9">
        <v>44105</v>
      </c>
      <c r="D4241" s="5" t="s">
        <v>16</v>
      </c>
      <c r="E4241" s="5" t="s">
        <v>3918</v>
      </c>
      <c r="F4241" s="6">
        <v>1950</v>
      </c>
    </row>
    <row r="4242" spans="1:6" x14ac:dyDescent="0.15">
      <c r="A4242" s="5" t="s">
        <v>35</v>
      </c>
      <c r="B4242" s="5" t="s">
        <v>3919</v>
      </c>
      <c r="C4242" s="9">
        <v>44105</v>
      </c>
      <c r="D4242" s="5" t="s">
        <v>16</v>
      </c>
      <c r="E4242" s="5" t="s">
        <v>3920</v>
      </c>
      <c r="F4242" s="6">
        <v>2047.5</v>
      </c>
    </row>
    <row r="4243" spans="1:6" x14ac:dyDescent="0.15">
      <c r="A4243" s="5" t="s">
        <v>35</v>
      </c>
      <c r="B4243" s="5" t="s">
        <v>3921</v>
      </c>
      <c r="C4243" s="9">
        <v>44106</v>
      </c>
      <c r="D4243" s="5" t="s">
        <v>16</v>
      </c>
      <c r="E4243" s="5" t="s">
        <v>2082</v>
      </c>
      <c r="F4243" s="6">
        <v>3022.5</v>
      </c>
    </row>
    <row r="4244" spans="1:6" x14ac:dyDescent="0.15">
      <c r="A4244" s="5" t="s">
        <v>35</v>
      </c>
      <c r="B4244" s="5" t="s">
        <v>3922</v>
      </c>
      <c r="C4244" s="9">
        <v>44106</v>
      </c>
      <c r="D4244" s="5" t="s">
        <v>16</v>
      </c>
      <c r="E4244" s="5" t="s">
        <v>2082</v>
      </c>
      <c r="F4244" s="6">
        <v>-3022.5</v>
      </c>
    </row>
    <row r="4245" spans="1:6" x14ac:dyDescent="0.15">
      <c r="A4245" s="5" t="s">
        <v>41</v>
      </c>
      <c r="B4245" s="5" t="s">
        <v>2081</v>
      </c>
      <c r="C4245" s="9">
        <v>44106</v>
      </c>
      <c r="D4245" s="5" t="s">
        <v>16</v>
      </c>
      <c r="E4245" s="5" t="s">
        <v>2082</v>
      </c>
      <c r="F4245" s="6">
        <v>3007</v>
      </c>
    </row>
    <row r="4246" spans="1:6" x14ac:dyDescent="0.15">
      <c r="A4246" s="5" t="s">
        <v>49</v>
      </c>
      <c r="B4246" s="5" t="s">
        <v>8698</v>
      </c>
      <c r="C4246" s="9">
        <v>44105</v>
      </c>
      <c r="D4246" s="5" t="s">
        <v>16</v>
      </c>
      <c r="E4246" s="5" t="s">
        <v>8699</v>
      </c>
      <c r="F4246" s="6">
        <v>200</v>
      </c>
    </row>
    <row r="4247" spans="1:6" x14ac:dyDescent="0.15">
      <c r="A4247" s="5" t="s">
        <v>37</v>
      </c>
      <c r="B4247" s="5" t="s">
        <v>7937</v>
      </c>
      <c r="C4247" s="9">
        <v>44109</v>
      </c>
      <c r="D4247" s="5" t="s">
        <v>16</v>
      </c>
      <c r="E4247" s="5" t="s">
        <v>7938</v>
      </c>
      <c r="F4247" s="6">
        <v>25350</v>
      </c>
    </row>
    <row r="4248" spans="1:6" x14ac:dyDescent="0.15">
      <c r="A4248" s="5" t="s">
        <v>37</v>
      </c>
      <c r="B4248" s="5" t="s">
        <v>7939</v>
      </c>
      <c r="C4248" s="9">
        <v>44109</v>
      </c>
      <c r="D4248" s="5" t="s">
        <v>16</v>
      </c>
      <c r="E4248" s="5" t="s">
        <v>7940</v>
      </c>
      <c r="F4248" s="6">
        <v>25350</v>
      </c>
    </row>
    <row r="4249" spans="1:6" x14ac:dyDescent="0.15">
      <c r="A4249" s="5" t="s">
        <v>37</v>
      </c>
      <c r="B4249" s="5" t="s">
        <v>8002</v>
      </c>
      <c r="C4249" s="9">
        <v>44144</v>
      </c>
      <c r="D4249" s="5" t="s">
        <v>16</v>
      </c>
      <c r="E4249" s="5" t="s">
        <v>5404</v>
      </c>
      <c r="F4249" s="6">
        <v>17550</v>
      </c>
    </row>
    <row r="4250" spans="1:6" x14ac:dyDescent="0.15">
      <c r="A4250" s="5" t="s">
        <v>43</v>
      </c>
      <c r="B4250" s="5" t="s">
        <v>5403</v>
      </c>
      <c r="C4250" s="9">
        <v>44144</v>
      </c>
      <c r="D4250" s="5" t="s">
        <v>16</v>
      </c>
      <c r="E4250" s="5" t="s">
        <v>5404</v>
      </c>
      <c r="F4250" s="6">
        <v>7760</v>
      </c>
    </row>
    <row r="4251" spans="1:6" x14ac:dyDescent="0.15">
      <c r="A4251" s="5" t="s">
        <v>35</v>
      </c>
      <c r="B4251" s="5" t="s">
        <v>3940</v>
      </c>
      <c r="C4251" s="9">
        <v>44127</v>
      </c>
      <c r="D4251" s="5" t="s">
        <v>16</v>
      </c>
      <c r="E4251" s="5" t="s">
        <v>3941</v>
      </c>
      <c r="F4251" s="6">
        <v>25350</v>
      </c>
    </row>
    <row r="4252" spans="1:6" x14ac:dyDescent="0.15">
      <c r="A4252" s="5" t="s">
        <v>43</v>
      </c>
      <c r="B4252" s="5" t="s">
        <v>5369</v>
      </c>
      <c r="C4252" s="9">
        <v>44109</v>
      </c>
      <c r="D4252" s="5" t="s">
        <v>16</v>
      </c>
      <c r="E4252" s="5" t="s">
        <v>5370</v>
      </c>
      <c r="F4252" s="6">
        <v>582</v>
      </c>
    </row>
    <row r="4253" spans="1:6" x14ac:dyDescent="0.15">
      <c r="A4253" s="5" t="s">
        <v>37</v>
      </c>
      <c r="B4253" s="5" t="s">
        <v>7942</v>
      </c>
      <c r="C4253" s="9">
        <v>44111</v>
      </c>
      <c r="D4253" s="5" t="s">
        <v>16</v>
      </c>
      <c r="E4253" s="5" t="s">
        <v>7943</v>
      </c>
      <c r="F4253" s="6">
        <v>390</v>
      </c>
    </row>
    <row r="4254" spans="1:6" x14ac:dyDescent="0.15">
      <c r="A4254" s="5" t="s">
        <v>35</v>
      </c>
      <c r="B4254" s="5" t="s">
        <v>3923</v>
      </c>
      <c r="C4254" s="9">
        <v>44111</v>
      </c>
      <c r="D4254" s="5" t="s">
        <v>16</v>
      </c>
      <c r="E4254" s="5" t="s">
        <v>2571</v>
      </c>
      <c r="F4254" s="6">
        <v>292.5</v>
      </c>
    </row>
    <row r="4255" spans="1:6" x14ac:dyDescent="0.15">
      <c r="A4255" s="5" t="s">
        <v>40</v>
      </c>
      <c r="B4255" s="5" t="s">
        <v>2570</v>
      </c>
      <c r="C4255" s="9">
        <v>44111</v>
      </c>
      <c r="D4255" s="5" t="s">
        <v>16</v>
      </c>
      <c r="E4255" s="5" t="s">
        <v>2571</v>
      </c>
      <c r="F4255" s="6">
        <v>75</v>
      </c>
    </row>
    <row r="4256" spans="1:6" x14ac:dyDescent="0.15">
      <c r="A4256" s="5" t="s">
        <v>35</v>
      </c>
      <c r="B4256" s="5" t="s">
        <v>3924</v>
      </c>
      <c r="C4256" s="9">
        <v>44111</v>
      </c>
      <c r="D4256" s="5" t="s">
        <v>16</v>
      </c>
      <c r="E4256" s="5" t="s">
        <v>2573</v>
      </c>
      <c r="F4256" s="6">
        <v>6045</v>
      </c>
    </row>
    <row r="4257" spans="1:6" x14ac:dyDescent="0.15">
      <c r="A4257" s="5" t="s">
        <v>40</v>
      </c>
      <c r="B4257" s="5" t="s">
        <v>2572</v>
      </c>
      <c r="C4257" s="9">
        <v>44111</v>
      </c>
      <c r="D4257" s="5" t="s">
        <v>16</v>
      </c>
      <c r="E4257" s="5" t="s">
        <v>2573</v>
      </c>
      <c r="F4257" s="6">
        <v>1500</v>
      </c>
    </row>
    <row r="4258" spans="1:6" x14ac:dyDescent="0.15">
      <c r="A4258" s="5" t="s">
        <v>35</v>
      </c>
      <c r="B4258" s="5" t="s">
        <v>3925</v>
      </c>
      <c r="C4258" s="9">
        <v>44111</v>
      </c>
      <c r="D4258" s="5" t="s">
        <v>16</v>
      </c>
      <c r="E4258" s="5" t="s">
        <v>2575</v>
      </c>
      <c r="F4258" s="6">
        <v>975</v>
      </c>
    </row>
    <row r="4259" spans="1:6" x14ac:dyDescent="0.15">
      <c r="A4259" s="5" t="s">
        <v>40</v>
      </c>
      <c r="B4259" s="5" t="s">
        <v>2574</v>
      </c>
      <c r="C4259" s="9">
        <v>44111</v>
      </c>
      <c r="D4259" s="5" t="s">
        <v>16</v>
      </c>
      <c r="E4259" s="5" t="s">
        <v>2575</v>
      </c>
      <c r="F4259" s="6">
        <v>75</v>
      </c>
    </row>
    <row r="4260" spans="1:6" x14ac:dyDescent="0.15">
      <c r="A4260" s="5" t="s">
        <v>40</v>
      </c>
      <c r="B4260" s="5" t="s">
        <v>2574</v>
      </c>
      <c r="C4260" s="9">
        <v>44111</v>
      </c>
      <c r="D4260" s="5" t="s">
        <v>16</v>
      </c>
      <c r="E4260" s="5" t="s">
        <v>2575</v>
      </c>
      <c r="F4260" s="6">
        <v>675</v>
      </c>
    </row>
    <row r="4261" spans="1:6" x14ac:dyDescent="0.15">
      <c r="A4261" s="5" t="s">
        <v>37</v>
      </c>
      <c r="B4261" s="5" t="s">
        <v>7944</v>
      </c>
      <c r="C4261" s="9">
        <v>44111</v>
      </c>
      <c r="D4261" s="5" t="s">
        <v>16</v>
      </c>
      <c r="E4261" s="5" t="s">
        <v>7945</v>
      </c>
      <c r="F4261" s="6">
        <v>5070</v>
      </c>
    </row>
    <row r="4262" spans="1:6" x14ac:dyDescent="0.15">
      <c r="A4262" s="5" t="s">
        <v>37</v>
      </c>
      <c r="B4262" s="5" t="s">
        <v>7946</v>
      </c>
      <c r="C4262" s="9">
        <v>44111</v>
      </c>
      <c r="D4262" s="5" t="s">
        <v>16</v>
      </c>
      <c r="E4262" s="5" t="s">
        <v>7947</v>
      </c>
      <c r="F4262" s="6">
        <v>7020</v>
      </c>
    </row>
    <row r="4263" spans="1:6" x14ac:dyDescent="0.15">
      <c r="A4263" s="5" t="s">
        <v>46</v>
      </c>
      <c r="B4263" s="5" t="s">
        <v>2227</v>
      </c>
      <c r="C4263" s="9">
        <v>44113</v>
      </c>
      <c r="D4263" s="5" t="s">
        <v>16</v>
      </c>
      <c r="E4263" s="5" t="s">
        <v>2228</v>
      </c>
      <c r="F4263" s="6">
        <v>48.5</v>
      </c>
    </row>
    <row r="4264" spans="1:6" x14ac:dyDescent="0.15">
      <c r="A4264" s="5" t="s">
        <v>44</v>
      </c>
      <c r="B4264" s="5" t="s">
        <v>4436</v>
      </c>
      <c r="C4264" s="9">
        <v>44113</v>
      </c>
      <c r="D4264" s="5" t="s">
        <v>16</v>
      </c>
      <c r="E4264" s="5" t="s">
        <v>2228</v>
      </c>
      <c r="F4264" s="6">
        <v>195</v>
      </c>
    </row>
    <row r="4265" spans="1:6" x14ac:dyDescent="0.15">
      <c r="A4265" s="5" t="s">
        <v>35</v>
      </c>
      <c r="B4265" s="5" t="s">
        <v>3926</v>
      </c>
      <c r="C4265" s="9">
        <v>44113</v>
      </c>
      <c r="D4265" s="5" t="s">
        <v>16</v>
      </c>
      <c r="E4265" s="5" t="s">
        <v>3927</v>
      </c>
      <c r="F4265" s="6">
        <v>2047.5</v>
      </c>
    </row>
    <row r="4266" spans="1:6" x14ac:dyDescent="0.15">
      <c r="A4266" s="5" t="s">
        <v>49</v>
      </c>
      <c r="B4266" s="5" t="s">
        <v>8700</v>
      </c>
      <c r="C4266" s="9">
        <v>44113</v>
      </c>
      <c r="D4266" s="5" t="s">
        <v>16</v>
      </c>
      <c r="E4266" s="5" t="s">
        <v>8701</v>
      </c>
      <c r="F4266" s="6">
        <v>776</v>
      </c>
    </row>
    <row r="4267" spans="1:6" x14ac:dyDescent="0.15">
      <c r="A4267" s="5" t="s">
        <v>35</v>
      </c>
      <c r="B4267" s="5" t="s">
        <v>3928</v>
      </c>
      <c r="C4267" s="9">
        <v>44113</v>
      </c>
      <c r="D4267" s="5" t="s">
        <v>16</v>
      </c>
      <c r="E4267" s="5" t="s">
        <v>3929</v>
      </c>
      <c r="F4267" s="6">
        <v>682.5</v>
      </c>
    </row>
    <row r="4268" spans="1:6" x14ac:dyDescent="0.15">
      <c r="A4268" s="5" t="s">
        <v>40</v>
      </c>
      <c r="B4268" s="5" t="s">
        <v>2576</v>
      </c>
      <c r="C4268" s="9">
        <v>44113</v>
      </c>
      <c r="D4268" s="5" t="s">
        <v>16</v>
      </c>
      <c r="E4268" s="5" t="s">
        <v>2577</v>
      </c>
      <c r="F4268" s="6">
        <v>3375</v>
      </c>
    </row>
    <row r="4269" spans="1:6" x14ac:dyDescent="0.15">
      <c r="A4269" s="5" t="s">
        <v>35</v>
      </c>
      <c r="B4269" s="5" t="s">
        <v>3930</v>
      </c>
      <c r="C4269" s="9">
        <v>44113</v>
      </c>
      <c r="D4269" s="5" t="s">
        <v>16</v>
      </c>
      <c r="E4269" s="5" t="s">
        <v>2577</v>
      </c>
      <c r="F4269" s="6">
        <v>487.5</v>
      </c>
    </row>
    <row r="4270" spans="1:6" x14ac:dyDescent="0.15">
      <c r="A4270" s="5" t="s">
        <v>37</v>
      </c>
      <c r="B4270" s="5" t="s">
        <v>7948</v>
      </c>
      <c r="C4270" s="9">
        <v>44116</v>
      </c>
      <c r="D4270" s="5" t="s">
        <v>16</v>
      </c>
      <c r="E4270" s="5" t="s">
        <v>7949</v>
      </c>
      <c r="F4270" s="6">
        <v>1560</v>
      </c>
    </row>
    <row r="4271" spans="1:6" x14ac:dyDescent="0.15">
      <c r="A4271" s="5" t="s">
        <v>42</v>
      </c>
      <c r="B4271" s="5" t="s">
        <v>6003</v>
      </c>
      <c r="C4271" s="9">
        <v>44116</v>
      </c>
      <c r="D4271" s="5" t="s">
        <v>16</v>
      </c>
      <c r="E4271" s="5" t="s">
        <v>6004</v>
      </c>
      <c r="F4271" s="6">
        <v>5550</v>
      </c>
    </row>
    <row r="4272" spans="1:6" x14ac:dyDescent="0.15">
      <c r="A4272" s="5" t="s">
        <v>43</v>
      </c>
      <c r="B4272" s="5" t="s">
        <v>5372</v>
      </c>
      <c r="C4272" s="9">
        <v>44116</v>
      </c>
      <c r="D4272" s="5" t="s">
        <v>16</v>
      </c>
      <c r="E4272" s="5" t="s">
        <v>5373</v>
      </c>
      <c r="F4272" s="6">
        <v>6790</v>
      </c>
    </row>
    <row r="4273" spans="1:6" x14ac:dyDescent="0.15">
      <c r="A4273" s="5" t="s">
        <v>37</v>
      </c>
      <c r="B4273" s="5" t="s">
        <v>7950</v>
      </c>
      <c r="C4273" s="9">
        <v>44116</v>
      </c>
      <c r="D4273" s="5" t="s">
        <v>16</v>
      </c>
      <c r="E4273" s="5" t="s">
        <v>5373</v>
      </c>
      <c r="F4273" s="6">
        <v>12187.5</v>
      </c>
    </row>
    <row r="4274" spans="1:6" x14ac:dyDescent="0.15">
      <c r="A4274" s="5" t="s">
        <v>49</v>
      </c>
      <c r="B4274" s="5" t="s">
        <v>8702</v>
      </c>
      <c r="C4274" s="9">
        <v>44116</v>
      </c>
      <c r="D4274" s="5" t="s">
        <v>16</v>
      </c>
      <c r="E4274" s="5" t="s">
        <v>5373</v>
      </c>
      <c r="F4274" s="6">
        <v>1500</v>
      </c>
    </row>
    <row r="4275" spans="1:6" x14ac:dyDescent="0.15">
      <c r="A4275" s="5" t="s">
        <v>42</v>
      </c>
      <c r="B4275" s="5" t="s">
        <v>6005</v>
      </c>
      <c r="C4275" s="9">
        <v>44116</v>
      </c>
      <c r="D4275" s="5" t="s">
        <v>16</v>
      </c>
      <c r="E4275" s="5" t="s">
        <v>6006</v>
      </c>
      <c r="F4275" s="6">
        <v>7950</v>
      </c>
    </row>
    <row r="4276" spans="1:6" x14ac:dyDescent="0.15">
      <c r="A4276" s="5" t="s">
        <v>37</v>
      </c>
      <c r="B4276" s="5" t="s">
        <v>7951</v>
      </c>
      <c r="C4276" s="9">
        <v>44116</v>
      </c>
      <c r="D4276" s="5" t="s">
        <v>16</v>
      </c>
      <c r="E4276" s="5" t="s">
        <v>6006</v>
      </c>
      <c r="F4276" s="6">
        <v>20670</v>
      </c>
    </row>
    <row r="4277" spans="1:6" x14ac:dyDescent="0.15">
      <c r="A4277" s="5" t="s">
        <v>35</v>
      </c>
      <c r="B4277" s="5" t="s">
        <v>3931</v>
      </c>
      <c r="C4277" s="9">
        <v>44116</v>
      </c>
      <c r="D4277" s="5" t="s">
        <v>16</v>
      </c>
      <c r="E4277" s="5" t="s">
        <v>3932</v>
      </c>
      <c r="F4277" s="6">
        <v>6630</v>
      </c>
    </row>
    <row r="4278" spans="1:6" x14ac:dyDescent="0.15">
      <c r="A4278" s="5" t="s">
        <v>37</v>
      </c>
      <c r="B4278" s="5" t="s">
        <v>7952</v>
      </c>
      <c r="C4278" s="9">
        <v>44116</v>
      </c>
      <c r="D4278" s="5" t="s">
        <v>16</v>
      </c>
      <c r="E4278" s="5" t="s">
        <v>7953</v>
      </c>
      <c r="F4278" s="6">
        <v>6337.5</v>
      </c>
    </row>
    <row r="4279" spans="1:6" x14ac:dyDescent="0.15">
      <c r="A4279" s="5" t="s">
        <v>43</v>
      </c>
      <c r="B4279" s="5" t="s">
        <v>5374</v>
      </c>
      <c r="C4279" s="9">
        <v>44117</v>
      </c>
      <c r="D4279" s="5" t="s">
        <v>16</v>
      </c>
      <c r="E4279" s="5" t="s">
        <v>5375</v>
      </c>
      <c r="F4279" s="6">
        <v>4850</v>
      </c>
    </row>
    <row r="4280" spans="1:6" x14ac:dyDescent="0.15">
      <c r="A4280" s="5" t="s">
        <v>37</v>
      </c>
      <c r="B4280" s="5" t="s">
        <v>7954</v>
      </c>
      <c r="C4280" s="9">
        <v>44117</v>
      </c>
      <c r="D4280" s="5" t="s">
        <v>16</v>
      </c>
      <c r="E4280" s="5" t="s">
        <v>5375</v>
      </c>
      <c r="F4280" s="6">
        <v>19500</v>
      </c>
    </row>
    <row r="4281" spans="1:6" x14ac:dyDescent="0.15">
      <c r="A4281" s="5" t="s">
        <v>43</v>
      </c>
      <c r="B4281" s="5" t="s">
        <v>5376</v>
      </c>
      <c r="C4281" s="9">
        <v>44118</v>
      </c>
      <c r="D4281" s="5" t="s">
        <v>16</v>
      </c>
      <c r="E4281" s="5" t="s">
        <v>5377</v>
      </c>
      <c r="F4281" s="6">
        <v>97</v>
      </c>
    </row>
    <row r="4282" spans="1:6" x14ac:dyDescent="0.15">
      <c r="A4282" s="5" t="s">
        <v>42</v>
      </c>
      <c r="B4282" s="5" t="s">
        <v>6007</v>
      </c>
      <c r="C4282" s="9">
        <v>44118</v>
      </c>
      <c r="D4282" s="5" t="s">
        <v>16</v>
      </c>
      <c r="E4282" s="5" t="s">
        <v>5377</v>
      </c>
      <c r="F4282" s="6">
        <v>75</v>
      </c>
    </row>
    <row r="4283" spans="1:6" x14ac:dyDescent="0.15">
      <c r="A4283" s="5" t="s">
        <v>37</v>
      </c>
      <c r="B4283" s="5" t="s">
        <v>7955</v>
      </c>
      <c r="C4283" s="9">
        <v>44118</v>
      </c>
      <c r="D4283" s="5" t="s">
        <v>16</v>
      </c>
      <c r="E4283" s="5" t="s">
        <v>5377</v>
      </c>
      <c r="F4283" s="6">
        <v>585</v>
      </c>
    </row>
    <row r="4284" spans="1:6" x14ac:dyDescent="0.15">
      <c r="A4284" s="5" t="s">
        <v>43</v>
      </c>
      <c r="B4284" s="5" t="s">
        <v>5378</v>
      </c>
      <c r="C4284" s="9">
        <v>44118</v>
      </c>
      <c r="D4284" s="5" t="s">
        <v>16</v>
      </c>
      <c r="E4284" s="5" t="s">
        <v>5379</v>
      </c>
      <c r="F4284" s="6">
        <v>242.5</v>
      </c>
    </row>
    <row r="4285" spans="1:6" x14ac:dyDescent="0.15">
      <c r="A4285" s="5" t="s">
        <v>43</v>
      </c>
      <c r="B4285" s="5" t="s">
        <v>5380</v>
      </c>
      <c r="C4285" s="9">
        <v>44118</v>
      </c>
      <c r="D4285" s="5" t="s">
        <v>16</v>
      </c>
      <c r="E4285" s="5" t="s">
        <v>5381</v>
      </c>
      <c r="F4285" s="6">
        <v>145.5</v>
      </c>
    </row>
    <row r="4286" spans="1:6" x14ac:dyDescent="0.15">
      <c r="A4286" s="5" t="s">
        <v>42</v>
      </c>
      <c r="B4286" s="5" t="s">
        <v>6008</v>
      </c>
      <c r="C4286" s="9">
        <v>44118</v>
      </c>
      <c r="D4286" s="5" t="s">
        <v>16</v>
      </c>
      <c r="E4286" s="5" t="s">
        <v>5381</v>
      </c>
      <c r="F4286" s="6">
        <v>4500</v>
      </c>
    </row>
    <row r="4287" spans="1:6" x14ac:dyDescent="0.15">
      <c r="A4287" s="5" t="s">
        <v>37</v>
      </c>
      <c r="B4287" s="5" t="s">
        <v>7956</v>
      </c>
      <c r="C4287" s="9">
        <v>44118</v>
      </c>
      <c r="D4287" s="5" t="s">
        <v>16</v>
      </c>
      <c r="E4287" s="5" t="s">
        <v>5381</v>
      </c>
      <c r="F4287" s="6">
        <v>1462.5</v>
      </c>
    </row>
    <row r="4288" spans="1:6" x14ac:dyDescent="0.15">
      <c r="A4288" s="5" t="s">
        <v>37</v>
      </c>
      <c r="B4288" s="5" t="s">
        <v>7957</v>
      </c>
      <c r="C4288" s="9">
        <v>44118</v>
      </c>
      <c r="D4288" s="5" t="s">
        <v>16</v>
      </c>
      <c r="E4288" s="5" t="s">
        <v>7958</v>
      </c>
      <c r="F4288" s="6">
        <v>7800</v>
      </c>
    </row>
    <row r="4289" spans="1:6" x14ac:dyDescent="0.15">
      <c r="A4289" s="5" t="s">
        <v>35</v>
      </c>
      <c r="B4289" s="5" t="s">
        <v>3933</v>
      </c>
      <c r="C4289" s="9">
        <v>44120</v>
      </c>
      <c r="D4289" s="5" t="s">
        <v>16</v>
      </c>
      <c r="E4289" s="5" t="s">
        <v>3934</v>
      </c>
      <c r="F4289" s="6">
        <v>10627.5</v>
      </c>
    </row>
    <row r="4290" spans="1:6" x14ac:dyDescent="0.15">
      <c r="A4290" s="5" t="s">
        <v>37</v>
      </c>
      <c r="B4290" s="5" t="s">
        <v>7959</v>
      </c>
      <c r="C4290" s="9">
        <v>44119</v>
      </c>
      <c r="D4290" s="5" t="s">
        <v>16</v>
      </c>
      <c r="E4290" s="5" t="s">
        <v>7960</v>
      </c>
      <c r="F4290" s="6">
        <v>292.5</v>
      </c>
    </row>
    <row r="4291" spans="1:6" x14ac:dyDescent="0.15">
      <c r="A4291" s="5" t="s">
        <v>40</v>
      </c>
      <c r="B4291" s="5" t="s">
        <v>2578</v>
      </c>
      <c r="C4291" s="9">
        <v>44120</v>
      </c>
      <c r="D4291" s="5" t="s">
        <v>16</v>
      </c>
      <c r="E4291" s="5" t="s">
        <v>2084</v>
      </c>
      <c r="F4291" s="6">
        <v>6750</v>
      </c>
    </row>
    <row r="4292" spans="1:6" x14ac:dyDescent="0.15">
      <c r="A4292" s="5" t="s">
        <v>41</v>
      </c>
      <c r="B4292" s="5" t="s">
        <v>2083</v>
      </c>
      <c r="C4292" s="9">
        <v>44120</v>
      </c>
      <c r="D4292" s="5" t="s">
        <v>16</v>
      </c>
      <c r="E4292" s="5" t="s">
        <v>2084</v>
      </c>
      <c r="F4292" s="6">
        <v>1455</v>
      </c>
    </row>
    <row r="4293" spans="1:6" x14ac:dyDescent="0.15">
      <c r="A4293" s="5" t="s">
        <v>37</v>
      </c>
      <c r="B4293" s="5" t="s">
        <v>7961</v>
      </c>
      <c r="C4293" s="9">
        <v>44119</v>
      </c>
      <c r="D4293" s="5" t="s">
        <v>16</v>
      </c>
      <c r="E4293" s="5" t="s">
        <v>7962</v>
      </c>
      <c r="F4293" s="6">
        <v>3022.5</v>
      </c>
    </row>
    <row r="4294" spans="1:6" x14ac:dyDescent="0.15">
      <c r="A4294" s="5" t="s">
        <v>37</v>
      </c>
      <c r="B4294" s="5" t="s">
        <v>7963</v>
      </c>
      <c r="C4294" s="9">
        <v>44119</v>
      </c>
      <c r="D4294" s="5" t="s">
        <v>16</v>
      </c>
      <c r="E4294" s="5" t="s">
        <v>5383</v>
      </c>
      <c r="F4294" s="6">
        <v>1462.5</v>
      </c>
    </row>
    <row r="4295" spans="1:6" x14ac:dyDescent="0.15">
      <c r="A4295" s="5" t="s">
        <v>42</v>
      </c>
      <c r="B4295" s="5" t="s">
        <v>6009</v>
      </c>
      <c r="C4295" s="9">
        <v>44119</v>
      </c>
      <c r="D4295" s="5" t="s">
        <v>16</v>
      </c>
      <c r="E4295" s="5" t="s">
        <v>5383</v>
      </c>
      <c r="F4295" s="6">
        <v>4500</v>
      </c>
    </row>
    <row r="4296" spans="1:6" x14ac:dyDescent="0.15">
      <c r="A4296" s="5" t="s">
        <v>43</v>
      </c>
      <c r="B4296" s="5" t="s">
        <v>5382</v>
      </c>
      <c r="C4296" s="9">
        <v>44119</v>
      </c>
      <c r="D4296" s="5" t="s">
        <v>16</v>
      </c>
      <c r="E4296" s="5" t="s">
        <v>5383</v>
      </c>
      <c r="F4296" s="6">
        <v>145.5</v>
      </c>
    </row>
    <row r="4297" spans="1:6" x14ac:dyDescent="0.15">
      <c r="A4297" s="5" t="s">
        <v>37</v>
      </c>
      <c r="B4297" s="5" t="s">
        <v>7964</v>
      </c>
      <c r="C4297" s="9">
        <v>44120</v>
      </c>
      <c r="D4297" s="5" t="s">
        <v>16</v>
      </c>
      <c r="E4297" s="5" t="s">
        <v>5383</v>
      </c>
      <c r="F4297" s="6">
        <v>-1462.5</v>
      </c>
    </row>
    <row r="4298" spans="1:6" x14ac:dyDescent="0.15">
      <c r="A4298" s="5" t="s">
        <v>42</v>
      </c>
      <c r="B4298" s="5" t="s">
        <v>6010</v>
      </c>
      <c r="C4298" s="9">
        <v>44120</v>
      </c>
      <c r="D4298" s="5" t="s">
        <v>16</v>
      </c>
      <c r="E4298" s="5" t="s">
        <v>5383</v>
      </c>
      <c r="F4298" s="6">
        <v>-4500</v>
      </c>
    </row>
    <row r="4299" spans="1:6" x14ac:dyDescent="0.15">
      <c r="A4299" s="5" t="s">
        <v>43</v>
      </c>
      <c r="B4299" s="5" t="s">
        <v>5384</v>
      </c>
      <c r="C4299" s="9">
        <v>44120</v>
      </c>
      <c r="D4299" s="5" t="s">
        <v>16</v>
      </c>
      <c r="E4299" s="5" t="s">
        <v>5383</v>
      </c>
      <c r="F4299" s="6">
        <v>-145.5</v>
      </c>
    </row>
    <row r="4300" spans="1:6" x14ac:dyDescent="0.15">
      <c r="A4300" s="5" t="s">
        <v>37</v>
      </c>
      <c r="B4300" s="5" t="s">
        <v>7965</v>
      </c>
      <c r="C4300" s="9">
        <v>44120</v>
      </c>
      <c r="D4300" s="5" t="s">
        <v>16</v>
      </c>
      <c r="E4300" s="5" t="s">
        <v>7962</v>
      </c>
      <c r="F4300" s="6">
        <v>-3022.5</v>
      </c>
    </row>
    <row r="4301" spans="1:6" x14ac:dyDescent="0.15">
      <c r="A4301" s="5" t="s">
        <v>37</v>
      </c>
      <c r="B4301" s="5" t="s">
        <v>7966</v>
      </c>
      <c r="C4301" s="9">
        <v>44120</v>
      </c>
      <c r="D4301" s="5" t="s">
        <v>16</v>
      </c>
      <c r="E4301" s="5" t="s">
        <v>7962</v>
      </c>
      <c r="F4301" s="6">
        <v>3022.5</v>
      </c>
    </row>
    <row r="4302" spans="1:6" x14ac:dyDescent="0.15">
      <c r="A4302" s="5" t="s">
        <v>42</v>
      </c>
      <c r="B4302" s="5" t="s">
        <v>6011</v>
      </c>
      <c r="C4302" s="9">
        <v>44123</v>
      </c>
      <c r="D4302" s="5" t="s">
        <v>16</v>
      </c>
      <c r="E4302" s="5" t="s">
        <v>6012</v>
      </c>
      <c r="F4302" s="6">
        <v>3000</v>
      </c>
    </row>
    <row r="4303" spans="1:6" x14ac:dyDescent="0.15">
      <c r="A4303" s="5" t="s">
        <v>37</v>
      </c>
      <c r="B4303" s="5" t="s">
        <v>7969</v>
      </c>
      <c r="C4303" s="9">
        <v>44124</v>
      </c>
      <c r="D4303" s="5" t="s">
        <v>16</v>
      </c>
      <c r="E4303" s="5" t="s">
        <v>7970</v>
      </c>
      <c r="F4303" s="6">
        <v>6337.5</v>
      </c>
    </row>
    <row r="4304" spans="1:6" x14ac:dyDescent="0.15">
      <c r="A4304" s="5" t="s">
        <v>37</v>
      </c>
      <c r="B4304" s="5" t="s">
        <v>7967</v>
      </c>
      <c r="C4304" s="9">
        <v>44120</v>
      </c>
      <c r="D4304" s="5" t="s">
        <v>16</v>
      </c>
      <c r="E4304" s="5" t="s">
        <v>2086</v>
      </c>
      <c r="F4304" s="6">
        <v>4680</v>
      </c>
    </row>
    <row r="4305" spans="1:6" x14ac:dyDescent="0.15">
      <c r="A4305" s="5" t="s">
        <v>43</v>
      </c>
      <c r="B4305" s="5" t="s">
        <v>5385</v>
      </c>
      <c r="C4305" s="9">
        <v>44120</v>
      </c>
      <c r="D4305" s="5" t="s">
        <v>16</v>
      </c>
      <c r="E4305" s="5" t="s">
        <v>2086</v>
      </c>
      <c r="F4305" s="6">
        <v>776</v>
      </c>
    </row>
    <row r="4306" spans="1:6" x14ac:dyDescent="0.15">
      <c r="A4306" s="5" t="s">
        <v>41</v>
      </c>
      <c r="B4306" s="5" t="s">
        <v>2085</v>
      </c>
      <c r="C4306" s="9">
        <v>44120</v>
      </c>
      <c r="D4306" s="5" t="s">
        <v>16</v>
      </c>
      <c r="E4306" s="5" t="s">
        <v>2086</v>
      </c>
      <c r="F4306" s="6">
        <v>339.5</v>
      </c>
    </row>
    <row r="4307" spans="1:6" x14ac:dyDescent="0.15">
      <c r="A4307" s="5" t="s">
        <v>43</v>
      </c>
      <c r="B4307" s="5" t="s">
        <v>5386</v>
      </c>
      <c r="C4307" s="9">
        <v>44123</v>
      </c>
      <c r="D4307" s="5" t="s">
        <v>16</v>
      </c>
      <c r="E4307" s="5" t="s">
        <v>2088</v>
      </c>
      <c r="F4307" s="6">
        <v>1406.5</v>
      </c>
    </row>
    <row r="4308" spans="1:6" x14ac:dyDescent="0.15">
      <c r="A4308" s="5" t="s">
        <v>37</v>
      </c>
      <c r="B4308" s="5" t="s">
        <v>7968</v>
      </c>
      <c r="C4308" s="9">
        <v>44123</v>
      </c>
      <c r="D4308" s="5" t="s">
        <v>16</v>
      </c>
      <c r="E4308" s="5" t="s">
        <v>2088</v>
      </c>
      <c r="F4308" s="6">
        <v>2632.5</v>
      </c>
    </row>
    <row r="4309" spans="1:6" x14ac:dyDescent="0.15">
      <c r="A4309" s="5" t="s">
        <v>41</v>
      </c>
      <c r="B4309" s="5" t="s">
        <v>2087</v>
      </c>
      <c r="C4309" s="9">
        <v>44123</v>
      </c>
      <c r="D4309" s="5" t="s">
        <v>16</v>
      </c>
      <c r="E4309" s="5" t="s">
        <v>2088</v>
      </c>
      <c r="F4309" s="6">
        <v>1406.5</v>
      </c>
    </row>
    <row r="4310" spans="1:6" x14ac:dyDescent="0.15">
      <c r="A4310" s="5" t="s">
        <v>35</v>
      </c>
      <c r="B4310" s="5" t="s">
        <v>3935</v>
      </c>
      <c r="C4310" s="9">
        <v>44123</v>
      </c>
      <c r="D4310" s="5" t="s">
        <v>16</v>
      </c>
      <c r="E4310" s="5" t="s">
        <v>2088</v>
      </c>
      <c r="F4310" s="6">
        <v>2632.5</v>
      </c>
    </row>
    <row r="4311" spans="1:6" x14ac:dyDescent="0.15">
      <c r="A4311" s="5" t="s">
        <v>37</v>
      </c>
      <c r="B4311" s="5" t="s">
        <v>7971</v>
      </c>
      <c r="C4311" s="9">
        <v>44124</v>
      </c>
      <c r="D4311" s="5" t="s">
        <v>16</v>
      </c>
      <c r="E4311" s="5" t="s">
        <v>7972</v>
      </c>
      <c r="F4311" s="6">
        <v>5070</v>
      </c>
    </row>
    <row r="4312" spans="1:6" x14ac:dyDescent="0.15">
      <c r="A4312" s="5" t="s">
        <v>37</v>
      </c>
      <c r="B4312" s="5" t="s">
        <v>7973</v>
      </c>
      <c r="C4312" s="9">
        <v>44124</v>
      </c>
      <c r="D4312" s="5" t="s">
        <v>16</v>
      </c>
      <c r="E4312" s="5" t="s">
        <v>3937</v>
      </c>
      <c r="F4312" s="6">
        <v>2535</v>
      </c>
    </row>
    <row r="4313" spans="1:6" x14ac:dyDescent="0.15">
      <c r="A4313" s="5" t="s">
        <v>35</v>
      </c>
      <c r="B4313" s="5" t="s">
        <v>3936</v>
      </c>
      <c r="C4313" s="9">
        <v>44124</v>
      </c>
      <c r="D4313" s="5" t="s">
        <v>16</v>
      </c>
      <c r="E4313" s="5" t="s">
        <v>3937</v>
      </c>
      <c r="F4313" s="6">
        <v>585</v>
      </c>
    </row>
    <row r="4314" spans="1:6" x14ac:dyDescent="0.15">
      <c r="A4314" s="5" t="s">
        <v>37</v>
      </c>
      <c r="B4314" s="5" t="s">
        <v>7974</v>
      </c>
      <c r="C4314" s="9">
        <v>44124</v>
      </c>
      <c r="D4314" s="5" t="s">
        <v>16</v>
      </c>
      <c r="E4314" s="5" t="s">
        <v>7975</v>
      </c>
      <c r="F4314" s="6">
        <v>2145</v>
      </c>
    </row>
    <row r="4315" spans="1:6" x14ac:dyDescent="0.15">
      <c r="A4315" s="5" t="s">
        <v>37</v>
      </c>
      <c r="B4315" s="5" t="s">
        <v>7976</v>
      </c>
      <c r="C4315" s="9">
        <v>44124</v>
      </c>
      <c r="D4315" s="5" t="s">
        <v>16</v>
      </c>
      <c r="E4315" s="5" t="s">
        <v>7977</v>
      </c>
      <c r="F4315" s="6">
        <v>4095</v>
      </c>
    </row>
    <row r="4316" spans="1:6" x14ac:dyDescent="0.15">
      <c r="A4316" s="5" t="s">
        <v>42</v>
      </c>
      <c r="B4316" s="5" t="s">
        <v>6013</v>
      </c>
      <c r="C4316" s="9">
        <v>44123</v>
      </c>
      <c r="D4316" s="5" t="s">
        <v>16</v>
      </c>
      <c r="E4316" s="5" t="s">
        <v>6014</v>
      </c>
      <c r="F4316" s="6">
        <v>6225</v>
      </c>
    </row>
    <row r="4317" spans="1:6" x14ac:dyDescent="0.15">
      <c r="A4317" s="5" t="s">
        <v>43</v>
      </c>
      <c r="B4317" s="5" t="s">
        <v>5387</v>
      </c>
      <c r="C4317" s="9">
        <v>44124</v>
      </c>
      <c r="D4317" s="5" t="s">
        <v>16</v>
      </c>
      <c r="E4317" s="5" t="s">
        <v>5388</v>
      </c>
      <c r="F4317" s="6">
        <v>2425</v>
      </c>
    </row>
    <row r="4318" spans="1:6" x14ac:dyDescent="0.15">
      <c r="A4318" s="5" t="s">
        <v>35</v>
      </c>
      <c r="B4318" s="5" t="s">
        <v>3938</v>
      </c>
      <c r="C4318" s="9">
        <v>44124</v>
      </c>
      <c r="D4318" s="5" t="s">
        <v>16</v>
      </c>
      <c r="E4318" s="5" t="s">
        <v>3939</v>
      </c>
      <c r="F4318" s="6">
        <v>2535</v>
      </c>
    </row>
    <row r="4319" spans="1:6" x14ac:dyDescent="0.15">
      <c r="A4319" s="5" t="s">
        <v>44</v>
      </c>
      <c r="B4319" s="5" t="s">
        <v>4437</v>
      </c>
      <c r="C4319" s="9">
        <v>44130</v>
      </c>
      <c r="D4319" s="5" t="s">
        <v>16</v>
      </c>
      <c r="E4319" s="5" t="s">
        <v>4438</v>
      </c>
      <c r="F4319" s="6">
        <v>22620</v>
      </c>
    </row>
    <row r="4320" spans="1:6" x14ac:dyDescent="0.15">
      <c r="A4320" s="5" t="s">
        <v>37</v>
      </c>
      <c r="B4320" s="5" t="s">
        <v>7978</v>
      </c>
      <c r="C4320" s="9">
        <v>44125</v>
      </c>
      <c r="D4320" s="5" t="s">
        <v>16</v>
      </c>
      <c r="E4320" s="5" t="s">
        <v>7979</v>
      </c>
      <c r="F4320" s="6">
        <v>1267.5</v>
      </c>
    </row>
    <row r="4321" spans="1:6" x14ac:dyDescent="0.15">
      <c r="A4321" s="5" t="s">
        <v>65</v>
      </c>
      <c r="B4321" s="5" t="s">
        <v>4279</v>
      </c>
      <c r="C4321" s="9">
        <v>44130</v>
      </c>
      <c r="D4321" s="5" t="s">
        <v>16</v>
      </c>
      <c r="E4321" s="5" t="s">
        <v>4280</v>
      </c>
      <c r="F4321" s="6">
        <v>2775</v>
      </c>
    </row>
    <row r="4322" spans="1:6" x14ac:dyDescent="0.15">
      <c r="A4322" s="5" t="s">
        <v>40</v>
      </c>
      <c r="B4322" s="5" t="s">
        <v>2579</v>
      </c>
      <c r="C4322" s="9">
        <v>44124</v>
      </c>
      <c r="D4322" s="5" t="s">
        <v>16</v>
      </c>
      <c r="E4322" s="5" t="s">
        <v>2580</v>
      </c>
      <c r="F4322" s="6">
        <v>4650</v>
      </c>
    </row>
    <row r="4323" spans="1:6" x14ac:dyDescent="0.15">
      <c r="A4323" s="5" t="s">
        <v>37</v>
      </c>
      <c r="B4323" s="5" t="s">
        <v>7980</v>
      </c>
      <c r="C4323" s="9">
        <v>44126</v>
      </c>
      <c r="D4323" s="5" t="s">
        <v>16</v>
      </c>
      <c r="E4323" s="5" t="s">
        <v>5390</v>
      </c>
      <c r="F4323" s="6">
        <v>3412.5</v>
      </c>
    </row>
    <row r="4324" spans="1:6" x14ac:dyDescent="0.15">
      <c r="A4324" s="5" t="s">
        <v>43</v>
      </c>
      <c r="B4324" s="5" t="s">
        <v>5389</v>
      </c>
      <c r="C4324" s="9">
        <v>44126</v>
      </c>
      <c r="D4324" s="5" t="s">
        <v>16</v>
      </c>
      <c r="E4324" s="5" t="s">
        <v>5390</v>
      </c>
      <c r="F4324" s="6">
        <v>1115.5</v>
      </c>
    </row>
    <row r="4325" spans="1:6" x14ac:dyDescent="0.15">
      <c r="A4325" s="5" t="s">
        <v>42</v>
      </c>
      <c r="B4325" s="5" t="s">
        <v>6015</v>
      </c>
      <c r="C4325" s="9">
        <v>44127</v>
      </c>
      <c r="D4325" s="5" t="s">
        <v>16</v>
      </c>
      <c r="E4325" s="5" t="s">
        <v>6016</v>
      </c>
      <c r="F4325" s="6">
        <v>7500</v>
      </c>
    </row>
    <row r="4326" spans="1:6" x14ac:dyDescent="0.15">
      <c r="A4326" s="5" t="s">
        <v>35</v>
      </c>
      <c r="B4326" s="5" t="s">
        <v>3942</v>
      </c>
      <c r="C4326" s="9">
        <v>44127</v>
      </c>
      <c r="D4326" s="5" t="s">
        <v>16</v>
      </c>
      <c r="E4326" s="5" t="s">
        <v>3943</v>
      </c>
      <c r="F4326" s="6">
        <v>3022.5</v>
      </c>
    </row>
    <row r="4327" spans="1:6" x14ac:dyDescent="0.15">
      <c r="A4327" s="5" t="s">
        <v>35</v>
      </c>
      <c r="B4327" s="5" t="s">
        <v>3944</v>
      </c>
      <c r="C4327" s="9">
        <v>44127</v>
      </c>
      <c r="D4327" s="5" t="s">
        <v>16</v>
      </c>
      <c r="E4327" s="5" t="s">
        <v>3945</v>
      </c>
      <c r="F4327" s="6">
        <v>2730</v>
      </c>
    </row>
    <row r="4328" spans="1:6" x14ac:dyDescent="0.15">
      <c r="A4328" s="5" t="s">
        <v>43</v>
      </c>
      <c r="B4328" s="5" t="s">
        <v>5391</v>
      </c>
      <c r="C4328" s="9">
        <v>44130</v>
      </c>
      <c r="D4328" s="5" t="s">
        <v>16</v>
      </c>
      <c r="E4328" s="5" t="s">
        <v>5392</v>
      </c>
      <c r="F4328" s="6">
        <v>388</v>
      </c>
    </row>
    <row r="4329" spans="1:6" x14ac:dyDescent="0.15">
      <c r="A4329" s="5" t="s">
        <v>35</v>
      </c>
      <c r="B4329" s="5" t="s">
        <v>3946</v>
      </c>
      <c r="C4329" s="9">
        <v>44130</v>
      </c>
      <c r="D4329" s="5" t="s">
        <v>16</v>
      </c>
      <c r="E4329" s="5" t="s">
        <v>2582</v>
      </c>
      <c r="F4329" s="6">
        <v>6727.5</v>
      </c>
    </row>
    <row r="4330" spans="1:6" x14ac:dyDescent="0.15">
      <c r="A4330" s="5" t="s">
        <v>40</v>
      </c>
      <c r="B4330" s="5" t="s">
        <v>2581</v>
      </c>
      <c r="C4330" s="9">
        <v>44130</v>
      </c>
      <c r="D4330" s="5" t="s">
        <v>16</v>
      </c>
      <c r="E4330" s="5" t="s">
        <v>2582</v>
      </c>
      <c r="F4330" s="6">
        <v>1725</v>
      </c>
    </row>
    <row r="4331" spans="1:6" x14ac:dyDescent="0.15">
      <c r="A4331" s="5" t="s">
        <v>37</v>
      </c>
      <c r="B4331" s="5" t="s">
        <v>7981</v>
      </c>
      <c r="C4331" s="9">
        <v>44131</v>
      </c>
      <c r="D4331" s="5" t="s">
        <v>16</v>
      </c>
      <c r="E4331" s="5" t="s">
        <v>7982</v>
      </c>
      <c r="F4331" s="6">
        <v>5850</v>
      </c>
    </row>
    <row r="4332" spans="1:6" x14ac:dyDescent="0.15">
      <c r="A4332" s="5" t="s">
        <v>37</v>
      </c>
      <c r="B4332" s="5" t="s">
        <v>7983</v>
      </c>
      <c r="C4332" s="9">
        <v>44131</v>
      </c>
      <c r="D4332" s="5" t="s">
        <v>16</v>
      </c>
      <c r="E4332" s="5" t="s">
        <v>6018</v>
      </c>
      <c r="F4332" s="6">
        <v>3120</v>
      </c>
    </row>
    <row r="4333" spans="1:6" x14ac:dyDescent="0.15">
      <c r="A4333" s="5" t="s">
        <v>42</v>
      </c>
      <c r="B4333" s="5" t="s">
        <v>6017</v>
      </c>
      <c r="C4333" s="9">
        <v>44131</v>
      </c>
      <c r="D4333" s="5" t="s">
        <v>16</v>
      </c>
      <c r="E4333" s="5" t="s">
        <v>6018</v>
      </c>
      <c r="F4333" s="6">
        <v>1200</v>
      </c>
    </row>
    <row r="4334" spans="1:6" x14ac:dyDescent="0.15">
      <c r="A4334" s="5" t="s">
        <v>37</v>
      </c>
      <c r="B4334" s="5" t="s">
        <v>7984</v>
      </c>
      <c r="C4334" s="9">
        <v>44131</v>
      </c>
      <c r="D4334" s="5" t="s">
        <v>16</v>
      </c>
      <c r="E4334" s="5" t="s">
        <v>7985</v>
      </c>
      <c r="F4334" s="6">
        <v>6045</v>
      </c>
    </row>
    <row r="4335" spans="1:6" x14ac:dyDescent="0.15">
      <c r="A4335" s="5" t="s">
        <v>37</v>
      </c>
      <c r="B4335" s="5" t="s">
        <v>7989</v>
      </c>
      <c r="C4335" s="9">
        <v>44137</v>
      </c>
      <c r="D4335" s="5" t="s">
        <v>16</v>
      </c>
      <c r="E4335" s="5" t="s">
        <v>7990</v>
      </c>
      <c r="F4335" s="6">
        <v>25350</v>
      </c>
    </row>
    <row r="4336" spans="1:6" x14ac:dyDescent="0.15">
      <c r="A4336" s="5" t="s">
        <v>37</v>
      </c>
      <c r="B4336" s="5" t="s">
        <v>8003</v>
      </c>
      <c r="C4336" s="9">
        <v>44144</v>
      </c>
      <c r="D4336" s="5" t="s">
        <v>16</v>
      </c>
      <c r="E4336" s="5" t="s">
        <v>2094</v>
      </c>
      <c r="F4336" s="6">
        <v>5850</v>
      </c>
    </row>
    <row r="4337" spans="1:6" x14ac:dyDescent="0.15">
      <c r="A4337" s="5" t="s">
        <v>58</v>
      </c>
      <c r="B4337" s="5" t="s">
        <v>6198</v>
      </c>
      <c r="C4337" s="9">
        <v>44144</v>
      </c>
      <c r="D4337" s="5" t="s">
        <v>16</v>
      </c>
      <c r="E4337" s="5" t="s">
        <v>2094</v>
      </c>
      <c r="F4337" s="6">
        <v>3375</v>
      </c>
    </row>
    <row r="4338" spans="1:6" x14ac:dyDescent="0.15">
      <c r="A4338" s="5" t="s">
        <v>174</v>
      </c>
      <c r="B4338" s="5" t="s">
        <v>2681</v>
      </c>
      <c r="C4338" s="9">
        <v>44144</v>
      </c>
      <c r="D4338" s="5" t="s">
        <v>16</v>
      </c>
      <c r="E4338" s="5" t="s">
        <v>2094</v>
      </c>
      <c r="F4338" s="6">
        <v>1500</v>
      </c>
    </row>
    <row r="4339" spans="1:6" x14ac:dyDescent="0.15">
      <c r="A4339" s="5" t="s">
        <v>41</v>
      </c>
      <c r="B4339" s="5" t="s">
        <v>2093</v>
      </c>
      <c r="C4339" s="9">
        <v>44144</v>
      </c>
      <c r="D4339" s="5" t="s">
        <v>16</v>
      </c>
      <c r="E4339" s="5" t="s">
        <v>2094</v>
      </c>
      <c r="F4339" s="6">
        <v>3880</v>
      </c>
    </row>
    <row r="4340" spans="1:6" x14ac:dyDescent="0.15">
      <c r="A4340" s="5" t="s">
        <v>57</v>
      </c>
      <c r="B4340" s="5" t="s">
        <v>5614</v>
      </c>
      <c r="C4340" s="9">
        <v>44144</v>
      </c>
      <c r="D4340" s="5" t="s">
        <v>16</v>
      </c>
      <c r="E4340" s="5" t="s">
        <v>2094</v>
      </c>
      <c r="F4340" s="6">
        <v>5820</v>
      </c>
    </row>
    <row r="4341" spans="1:6" x14ac:dyDescent="0.15">
      <c r="A4341" s="5" t="s">
        <v>53</v>
      </c>
      <c r="B4341" s="5" t="s">
        <v>8507</v>
      </c>
      <c r="C4341" s="9">
        <v>44144</v>
      </c>
      <c r="D4341" s="5" t="s">
        <v>16</v>
      </c>
      <c r="E4341" s="5" t="s">
        <v>2094</v>
      </c>
      <c r="F4341" s="6">
        <v>1950</v>
      </c>
    </row>
    <row r="4342" spans="1:6" x14ac:dyDescent="0.15">
      <c r="A4342" s="5" t="s">
        <v>37</v>
      </c>
      <c r="B4342" s="5" t="s">
        <v>7987</v>
      </c>
      <c r="C4342" s="9">
        <v>44132</v>
      </c>
      <c r="D4342" s="5" t="s">
        <v>16</v>
      </c>
      <c r="E4342" s="5" t="s">
        <v>7988</v>
      </c>
      <c r="F4342" s="6">
        <v>8385</v>
      </c>
    </row>
    <row r="4343" spans="1:6" x14ac:dyDescent="0.15">
      <c r="A4343" s="5" t="s">
        <v>37</v>
      </c>
      <c r="B4343" s="5" t="s">
        <v>7986</v>
      </c>
      <c r="C4343" s="9">
        <v>44131</v>
      </c>
      <c r="D4343" s="5" t="s">
        <v>16</v>
      </c>
      <c r="E4343" s="5" t="s">
        <v>5394</v>
      </c>
      <c r="F4343" s="6">
        <v>15210</v>
      </c>
    </row>
    <row r="4344" spans="1:6" x14ac:dyDescent="0.15">
      <c r="A4344" s="5" t="s">
        <v>43</v>
      </c>
      <c r="B4344" s="5" t="s">
        <v>5393</v>
      </c>
      <c r="C4344" s="9">
        <v>44131</v>
      </c>
      <c r="D4344" s="5" t="s">
        <v>16</v>
      </c>
      <c r="E4344" s="5" t="s">
        <v>5394</v>
      </c>
      <c r="F4344" s="6">
        <v>2813</v>
      </c>
    </row>
    <row r="4345" spans="1:6" x14ac:dyDescent="0.15">
      <c r="A4345" s="5" t="s">
        <v>61</v>
      </c>
      <c r="B4345" s="5" t="s">
        <v>6147</v>
      </c>
      <c r="C4345" s="9">
        <v>44134</v>
      </c>
      <c r="D4345" s="5" t="s">
        <v>16</v>
      </c>
      <c r="E4345" s="5" t="s">
        <v>6148</v>
      </c>
      <c r="F4345" s="6">
        <v>6000</v>
      </c>
    </row>
    <row r="4346" spans="1:6" x14ac:dyDescent="0.15">
      <c r="A4346" s="5" t="s">
        <v>37</v>
      </c>
      <c r="B4346" s="5" t="s">
        <v>8028</v>
      </c>
      <c r="C4346" s="9">
        <v>44152</v>
      </c>
      <c r="D4346" s="5" t="s">
        <v>16</v>
      </c>
      <c r="E4346" s="5" t="s">
        <v>6028</v>
      </c>
      <c r="F4346" s="6">
        <v>12870</v>
      </c>
    </row>
    <row r="4347" spans="1:6" x14ac:dyDescent="0.15">
      <c r="A4347" s="5" t="s">
        <v>42</v>
      </c>
      <c r="B4347" s="5" t="s">
        <v>6027</v>
      </c>
      <c r="C4347" s="9">
        <v>44152</v>
      </c>
      <c r="D4347" s="5" t="s">
        <v>16</v>
      </c>
      <c r="E4347" s="5" t="s">
        <v>6028</v>
      </c>
      <c r="F4347" s="6">
        <v>1650</v>
      </c>
    </row>
    <row r="4348" spans="1:6" x14ac:dyDescent="0.15">
      <c r="A4348" s="5" t="s">
        <v>53</v>
      </c>
      <c r="B4348" s="5" t="s">
        <v>8508</v>
      </c>
      <c r="C4348" s="9">
        <v>44152</v>
      </c>
      <c r="D4348" s="5" t="s">
        <v>16</v>
      </c>
      <c r="E4348" s="5" t="s">
        <v>6028</v>
      </c>
      <c r="F4348" s="6">
        <v>10725</v>
      </c>
    </row>
    <row r="4349" spans="1:6" x14ac:dyDescent="0.15">
      <c r="A4349" s="5" t="s">
        <v>64</v>
      </c>
      <c r="B4349" s="5" t="s">
        <v>6139</v>
      </c>
      <c r="C4349" s="9">
        <v>44152</v>
      </c>
      <c r="D4349" s="5" t="s">
        <v>16</v>
      </c>
      <c r="E4349" s="5" t="s">
        <v>6028</v>
      </c>
      <c r="F4349" s="6">
        <v>1650</v>
      </c>
    </row>
    <row r="4350" spans="1:6" x14ac:dyDescent="0.15">
      <c r="A4350" s="5" t="s">
        <v>40</v>
      </c>
      <c r="B4350" s="5" t="s">
        <v>2583</v>
      </c>
      <c r="C4350" s="9">
        <v>44132</v>
      </c>
      <c r="D4350" s="5" t="s">
        <v>16</v>
      </c>
      <c r="E4350" s="5" t="s">
        <v>2584</v>
      </c>
      <c r="F4350" s="6">
        <v>1725</v>
      </c>
    </row>
    <row r="4351" spans="1:6" x14ac:dyDescent="0.15">
      <c r="A4351" s="5" t="s">
        <v>35</v>
      </c>
      <c r="B4351" s="5" t="s">
        <v>3947</v>
      </c>
      <c r="C4351" s="9">
        <v>44132</v>
      </c>
      <c r="D4351" s="5" t="s">
        <v>16</v>
      </c>
      <c r="E4351" s="5" t="s">
        <v>2584</v>
      </c>
      <c r="F4351" s="6">
        <v>13455</v>
      </c>
    </row>
    <row r="4352" spans="1:6" x14ac:dyDescent="0.15">
      <c r="A4352" s="5" t="s">
        <v>51</v>
      </c>
      <c r="B4352" s="5" t="s">
        <v>4256</v>
      </c>
      <c r="C4352" s="9">
        <v>44132</v>
      </c>
      <c r="D4352" s="5" t="s">
        <v>16</v>
      </c>
      <c r="E4352" s="5" t="s">
        <v>4257</v>
      </c>
      <c r="F4352" s="6">
        <v>1560</v>
      </c>
    </row>
    <row r="4353" spans="1:6" x14ac:dyDescent="0.15">
      <c r="A4353" s="5" t="s">
        <v>43</v>
      </c>
      <c r="B4353" s="5" t="s">
        <v>5395</v>
      </c>
      <c r="C4353" s="9">
        <v>44133</v>
      </c>
      <c r="D4353" s="5" t="s">
        <v>16</v>
      </c>
      <c r="E4353" s="5" t="s">
        <v>5396</v>
      </c>
      <c r="F4353" s="6">
        <v>2522</v>
      </c>
    </row>
    <row r="4354" spans="1:6" x14ac:dyDescent="0.15">
      <c r="A4354" s="5" t="s">
        <v>44</v>
      </c>
      <c r="B4354" s="5" t="s">
        <v>4439</v>
      </c>
      <c r="C4354" s="9">
        <v>44133</v>
      </c>
      <c r="D4354" s="5" t="s">
        <v>16</v>
      </c>
      <c r="E4354" s="5" t="s">
        <v>4440</v>
      </c>
      <c r="F4354" s="6">
        <v>3997.5</v>
      </c>
    </row>
    <row r="4355" spans="1:6" x14ac:dyDescent="0.15">
      <c r="A4355" s="5" t="s">
        <v>61</v>
      </c>
      <c r="B4355" s="5" t="s">
        <v>6149</v>
      </c>
      <c r="C4355" s="9">
        <v>44134</v>
      </c>
      <c r="D4355" s="5" t="s">
        <v>16</v>
      </c>
      <c r="E4355" s="5" t="s">
        <v>6020</v>
      </c>
      <c r="F4355" s="6">
        <v>1500</v>
      </c>
    </row>
    <row r="4356" spans="1:6" x14ac:dyDescent="0.15">
      <c r="A4356" s="5" t="s">
        <v>42</v>
      </c>
      <c r="B4356" s="5" t="s">
        <v>6019</v>
      </c>
      <c r="C4356" s="9">
        <v>44134</v>
      </c>
      <c r="D4356" s="5" t="s">
        <v>16</v>
      </c>
      <c r="E4356" s="5" t="s">
        <v>6020</v>
      </c>
      <c r="F4356" s="6">
        <v>5325</v>
      </c>
    </row>
    <row r="4357" spans="1:6" x14ac:dyDescent="0.15">
      <c r="A4357" s="5" t="s">
        <v>35</v>
      </c>
      <c r="B4357" s="5" t="s">
        <v>3948</v>
      </c>
      <c r="C4357" s="9">
        <v>44134</v>
      </c>
      <c r="D4357" s="5" t="s">
        <v>16</v>
      </c>
      <c r="E4357" s="5" t="s">
        <v>2090</v>
      </c>
      <c r="F4357" s="6">
        <v>7507.5</v>
      </c>
    </row>
    <row r="4358" spans="1:6" x14ac:dyDescent="0.15">
      <c r="A4358" s="5" t="s">
        <v>41</v>
      </c>
      <c r="B4358" s="5" t="s">
        <v>2089</v>
      </c>
      <c r="C4358" s="9">
        <v>44134</v>
      </c>
      <c r="D4358" s="5" t="s">
        <v>16</v>
      </c>
      <c r="E4358" s="5" t="s">
        <v>2090</v>
      </c>
      <c r="F4358" s="6">
        <v>485</v>
      </c>
    </row>
    <row r="4359" spans="1:6" x14ac:dyDescent="0.15">
      <c r="A4359" s="5" t="s">
        <v>37</v>
      </c>
      <c r="B4359" s="5" t="s">
        <v>7991</v>
      </c>
      <c r="C4359" s="9">
        <v>44137</v>
      </c>
      <c r="D4359" s="5" t="s">
        <v>16</v>
      </c>
      <c r="E4359" s="5" t="s">
        <v>5398</v>
      </c>
      <c r="F4359" s="6">
        <v>6727.5</v>
      </c>
    </row>
    <row r="4360" spans="1:6" x14ac:dyDescent="0.15">
      <c r="A4360" s="5" t="s">
        <v>42</v>
      </c>
      <c r="B4360" s="5" t="s">
        <v>6021</v>
      </c>
      <c r="C4360" s="9">
        <v>44137</v>
      </c>
      <c r="D4360" s="5" t="s">
        <v>16</v>
      </c>
      <c r="E4360" s="5" t="s">
        <v>5398</v>
      </c>
      <c r="F4360" s="6">
        <v>1425</v>
      </c>
    </row>
    <row r="4361" spans="1:6" x14ac:dyDescent="0.15">
      <c r="A4361" s="5" t="s">
        <v>43</v>
      </c>
      <c r="B4361" s="5" t="s">
        <v>5397</v>
      </c>
      <c r="C4361" s="9">
        <v>44137</v>
      </c>
      <c r="D4361" s="5" t="s">
        <v>16</v>
      </c>
      <c r="E4361" s="5" t="s">
        <v>5398</v>
      </c>
      <c r="F4361" s="6">
        <v>48.5</v>
      </c>
    </row>
    <row r="4362" spans="1:6" x14ac:dyDescent="0.15">
      <c r="A4362" s="5" t="s">
        <v>35</v>
      </c>
      <c r="B4362" s="5" t="s">
        <v>3949</v>
      </c>
      <c r="C4362" s="9">
        <v>44137</v>
      </c>
      <c r="D4362" s="5" t="s">
        <v>16</v>
      </c>
      <c r="E4362" s="5" t="s">
        <v>3950</v>
      </c>
      <c r="F4362" s="6">
        <v>97.5</v>
      </c>
    </row>
    <row r="4363" spans="1:6" x14ac:dyDescent="0.15">
      <c r="A4363" s="5" t="s">
        <v>35</v>
      </c>
      <c r="B4363" s="5" t="s">
        <v>3951</v>
      </c>
      <c r="C4363" s="9">
        <v>44137</v>
      </c>
      <c r="D4363" s="5" t="s">
        <v>16</v>
      </c>
      <c r="E4363" s="5" t="s">
        <v>3952</v>
      </c>
      <c r="F4363" s="6">
        <v>97.5</v>
      </c>
    </row>
    <row r="4364" spans="1:6" x14ac:dyDescent="0.15">
      <c r="A4364" s="5" t="s">
        <v>35</v>
      </c>
      <c r="B4364" s="5" t="s">
        <v>3953</v>
      </c>
      <c r="C4364" s="9">
        <v>44137</v>
      </c>
      <c r="D4364" s="5" t="s">
        <v>16</v>
      </c>
      <c r="E4364" s="5" t="s">
        <v>3954</v>
      </c>
      <c r="F4364" s="6">
        <v>15600</v>
      </c>
    </row>
    <row r="4365" spans="1:6" x14ac:dyDescent="0.15">
      <c r="A4365" s="5" t="s">
        <v>37</v>
      </c>
      <c r="B4365" s="5" t="s">
        <v>7992</v>
      </c>
      <c r="C4365" s="9">
        <v>44138</v>
      </c>
      <c r="D4365" s="5" t="s">
        <v>16</v>
      </c>
      <c r="E4365" s="5" t="s">
        <v>7993</v>
      </c>
      <c r="F4365" s="6">
        <v>2730</v>
      </c>
    </row>
    <row r="4366" spans="1:6" x14ac:dyDescent="0.15">
      <c r="A4366" s="5" t="s">
        <v>37</v>
      </c>
      <c r="B4366" s="5" t="s">
        <v>7994</v>
      </c>
      <c r="C4366" s="9">
        <v>44138</v>
      </c>
      <c r="D4366" s="5" t="s">
        <v>16</v>
      </c>
      <c r="E4366" s="5" t="s">
        <v>7995</v>
      </c>
      <c r="F4366" s="6">
        <v>3997.5</v>
      </c>
    </row>
    <row r="4367" spans="1:6" x14ac:dyDescent="0.15">
      <c r="A4367" s="5" t="s">
        <v>37</v>
      </c>
      <c r="B4367" s="5" t="s">
        <v>7996</v>
      </c>
      <c r="C4367" s="9">
        <v>44138</v>
      </c>
      <c r="D4367" s="5" t="s">
        <v>16</v>
      </c>
      <c r="E4367" s="5" t="s">
        <v>6023</v>
      </c>
      <c r="F4367" s="6">
        <v>11700</v>
      </c>
    </row>
    <row r="4368" spans="1:6" x14ac:dyDescent="0.15">
      <c r="A4368" s="5" t="s">
        <v>42</v>
      </c>
      <c r="B4368" s="5" t="s">
        <v>6022</v>
      </c>
      <c r="C4368" s="9">
        <v>44138</v>
      </c>
      <c r="D4368" s="5" t="s">
        <v>16</v>
      </c>
      <c r="E4368" s="5" t="s">
        <v>6023</v>
      </c>
      <c r="F4368" s="6">
        <v>6000</v>
      </c>
    </row>
    <row r="4369" spans="1:6" x14ac:dyDescent="0.15">
      <c r="A4369" s="5" t="s">
        <v>35</v>
      </c>
      <c r="B4369" s="5" t="s">
        <v>3955</v>
      </c>
      <c r="C4369" s="9">
        <v>44139</v>
      </c>
      <c r="D4369" s="5" t="s">
        <v>16</v>
      </c>
      <c r="E4369" s="5" t="s">
        <v>3956</v>
      </c>
      <c r="F4369" s="6">
        <v>8385</v>
      </c>
    </row>
    <row r="4370" spans="1:6" x14ac:dyDescent="0.15">
      <c r="A4370" s="5" t="s">
        <v>35</v>
      </c>
      <c r="B4370" s="5" t="s">
        <v>3957</v>
      </c>
      <c r="C4370" s="9">
        <v>44139</v>
      </c>
      <c r="D4370" s="5" t="s">
        <v>16</v>
      </c>
      <c r="E4370" s="5" t="s">
        <v>3958</v>
      </c>
      <c r="F4370" s="6">
        <v>4387.5</v>
      </c>
    </row>
    <row r="4371" spans="1:6" x14ac:dyDescent="0.15">
      <c r="A4371" s="5" t="s">
        <v>35</v>
      </c>
      <c r="B4371" s="5" t="s">
        <v>3959</v>
      </c>
      <c r="C4371" s="9">
        <v>44142</v>
      </c>
      <c r="D4371" s="5" t="s">
        <v>16</v>
      </c>
      <c r="E4371" s="5" t="s">
        <v>3960</v>
      </c>
      <c r="F4371" s="6">
        <v>7020</v>
      </c>
    </row>
    <row r="4372" spans="1:6" x14ac:dyDescent="0.15">
      <c r="A4372" s="5" t="s">
        <v>43</v>
      </c>
      <c r="B4372" s="5" t="s">
        <v>5399</v>
      </c>
      <c r="C4372" s="9">
        <v>44139</v>
      </c>
      <c r="D4372" s="5" t="s">
        <v>16</v>
      </c>
      <c r="E4372" s="5" t="s">
        <v>5400</v>
      </c>
      <c r="F4372" s="6">
        <v>4025.5</v>
      </c>
    </row>
    <row r="4373" spans="1:6" x14ac:dyDescent="0.15">
      <c r="A4373" s="5" t="s">
        <v>37</v>
      </c>
      <c r="B4373" s="5" t="s">
        <v>7997</v>
      </c>
      <c r="C4373" s="9">
        <v>44139</v>
      </c>
      <c r="D4373" s="5" t="s">
        <v>16</v>
      </c>
      <c r="E4373" s="5" t="s">
        <v>7998</v>
      </c>
      <c r="F4373" s="6">
        <v>2437.5</v>
      </c>
    </row>
    <row r="4374" spans="1:6" x14ac:dyDescent="0.15">
      <c r="A4374" s="5" t="s">
        <v>41</v>
      </c>
      <c r="B4374" s="5" t="s">
        <v>2091</v>
      </c>
      <c r="C4374" s="9">
        <v>44139</v>
      </c>
      <c r="D4374" s="5" t="s">
        <v>16</v>
      </c>
      <c r="E4374" s="5" t="s">
        <v>2092</v>
      </c>
      <c r="F4374" s="6">
        <v>1940</v>
      </c>
    </row>
    <row r="4375" spans="1:6" x14ac:dyDescent="0.15">
      <c r="A4375" s="5" t="s">
        <v>44</v>
      </c>
      <c r="B4375" s="5" t="s">
        <v>4441</v>
      </c>
      <c r="C4375" s="9">
        <v>44144</v>
      </c>
      <c r="D4375" s="5" t="s">
        <v>16</v>
      </c>
      <c r="E4375" s="5" t="s">
        <v>4442</v>
      </c>
      <c r="F4375" s="6">
        <v>11700</v>
      </c>
    </row>
    <row r="4376" spans="1:6" x14ac:dyDescent="0.15">
      <c r="A4376" s="5" t="s">
        <v>37</v>
      </c>
      <c r="B4376" s="5" t="s">
        <v>8004</v>
      </c>
      <c r="C4376" s="9">
        <v>44144</v>
      </c>
      <c r="D4376" s="5" t="s">
        <v>16</v>
      </c>
      <c r="E4376" s="5" t="s">
        <v>8005</v>
      </c>
      <c r="F4376" s="6">
        <v>9750</v>
      </c>
    </row>
    <row r="4377" spans="1:6" x14ac:dyDescent="0.15">
      <c r="A4377" s="5" t="s">
        <v>37</v>
      </c>
      <c r="B4377" s="5" t="s">
        <v>7999</v>
      </c>
      <c r="C4377" s="9">
        <v>44141</v>
      </c>
      <c r="D4377" s="5" t="s">
        <v>16</v>
      </c>
      <c r="E4377" s="5" t="s">
        <v>8000</v>
      </c>
      <c r="F4377" s="6">
        <v>14235</v>
      </c>
    </row>
    <row r="4378" spans="1:6" x14ac:dyDescent="0.15">
      <c r="A4378" s="5" t="s">
        <v>37</v>
      </c>
      <c r="B4378" s="5" t="s">
        <v>8001</v>
      </c>
      <c r="C4378" s="9">
        <v>44141</v>
      </c>
      <c r="D4378" s="5" t="s">
        <v>16</v>
      </c>
      <c r="E4378" s="5" t="s">
        <v>5402</v>
      </c>
      <c r="F4378" s="6">
        <v>2730</v>
      </c>
    </row>
    <row r="4379" spans="1:6" x14ac:dyDescent="0.15">
      <c r="A4379" s="5" t="s">
        <v>43</v>
      </c>
      <c r="B4379" s="5" t="s">
        <v>5401</v>
      </c>
      <c r="C4379" s="9">
        <v>44141</v>
      </c>
      <c r="D4379" s="5" t="s">
        <v>16</v>
      </c>
      <c r="E4379" s="5" t="s">
        <v>5402</v>
      </c>
      <c r="F4379" s="6">
        <v>679</v>
      </c>
    </row>
    <row r="4380" spans="1:6" x14ac:dyDescent="0.15">
      <c r="A4380" s="5" t="s">
        <v>42</v>
      </c>
      <c r="B4380" s="5" t="s">
        <v>6024</v>
      </c>
      <c r="C4380" s="9">
        <v>44144</v>
      </c>
      <c r="D4380" s="5" t="s">
        <v>16</v>
      </c>
      <c r="E4380" s="5" t="s">
        <v>6025</v>
      </c>
      <c r="F4380" s="6">
        <v>19125</v>
      </c>
    </row>
    <row r="4381" spans="1:6" x14ac:dyDescent="0.15">
      <c r="A4381" s="5" t="s">
        <v>37</v>
      </c>
      <c r="B4381" s="5" t="s">
        <v>8006</v>
      </c>
      <c r="C4381" s="9">
        <v>44144</v>
      </c>
      <c r="D4381" s="5" t="s">
        <v>16</v>
      </c>
      <c r="E4381" s="5" t="s">
        <v>4505</v>
      </c>
      <c r="F4381" s="6">
        <v>6435</v>
      </c>
    </row>
    <row r="4382" spans="1:6" x14ac:dyDescent="0.15">
      <c r="A4382" s="5" t="s">
        <v>55</v>
      </c>
      <c r="B4382" s="5" t="s">
        <v>4504</v>
      </c>
      <c r="C4382" s="9">
        <v>44144</v>
      </c>
      <c r="D4382" s="5" t="s">
        <v>16</v>
      </c>
      <c r="E4382" s="5" t="s">
        <v>4505</v>
      </c>
      <c r="F4382" s="6">
        <v>500</v>
      </c>
    </row>
    <row r="4383" spans="1:6" x14ac:dyDescent="0.15">
      <c r="A4383" s="5" t="s">
        <v>43</v>
      </c>
      <c r="B4383" s="5" t="s">
        <v>5405</v>
      </c>
      <c r="C4383" s="9">
        <v>44144</v>
      </c>
      <c r="D4383" s="5" t="s">
        <v>16</v>
      </c>
      <c r="E4383" s="5" t="s">
        <v>5406</v>
      </c>
      <c r="F4383" s="6">
        <v>485</v>
      </c>
    </row>
    <row r="4384" spans="1:6" x14ac:dyDescent="0.15">
      <c r="A4384" s="5" t="s">
        <v>43</v>
      </c>
      <c r="B4384" s="5" t="s">
        <v>5407</v>
      </c>
      <c r="C4384" s="9">
        <v>44144</v>
      </c>
      <c r="D4384" s="5" t="s">
        <v>16</v>
      </c>
      <c r="E4384" s="5" t="s">
        <v>5408</v>
      </c>
      <c r="F4384" s="6">
        <v>727.5</v>
      </c>
    </row>
    <row r="4385" spans="1:6" x14ac:dyDescent="0.15">
      <c r="A4385" s="5" t="s">
        <v>41</v>
      </c>
      <c r="B4385" s="5" t="s">
        <v>2095</v>
      </c>
      <c r="C4385" s="9">
        <v>44144</v>
      </c>
      <c r="D4385" s="5" t="s">
        <v>16</v>
      </c>
      <c r="E4385" s="5" t="s">
        <v>2096</v>
      </c>
      <c r="F4385" s="6">
        <v>145.5</v>
      </c>
    </row>
    <row r="4386" spans="1:6" x14ac:dyDescent="0.15">
      <c r="A4386" s="5" t="s">
        <v>41</v>
      </c>
      <c r="B4386" s="5" t="s">
        <v>2097</v>
      </c>
      <c r="C4386" s="9">
        <v>44145</v>
      </c>
      <c r="D4386" s="5" t="s">
        <v>16</v>
      </c>
      <c r="E4386" s="5" t="s">
        <v>2098</v>
      </c>
      <c r="F4386" s="6">
        <v>1940</v>
      </c>
    </row>
    <row r="4387" spans="1:6" x14ac:dyDescent="0.15">
      <c r="A4387" s="5" t="s">
        <v>35</v>
      </c>
      <c r="B4387" s="5" t="s">
        <v>3961</v>
      </c>
      <c r="C4387" s="9">
        <v>44145</v>
      </c>
      <c r="D4387" s="5" t="s">
        <v>16</v>
      </c>
      <c r="E4387" s="5" t="s">
        <v>2098</v>
      </c>
      <c r="F4387" s="6">
        <v>1365</v>
      </c>
    </row>
    <row r="4388" spans="1:6" x14ac:dyDescent="0.15">
      <c r="A4388" s="5" t="s">
        <v>35</v>
      </c>
      <c r="B4388" s="5" t="s">
        <v>3962</v>
      </c>
      <c r="C4388" s="9">
        <v>44145</v>
      </c>
      <c r="D4388" s="5" t="s">
        <v>16</v>
      </c>
      <c r="E4388" s="5" t="s">
        <v>2100</v>
      </c>
      <c r="F4388" s="6">
        <v>3315</v>
      </c>
    </row>
    <row r="4389" spans="1:6" x14ac:dyDescent="0.15">
      <c r="A4389" s="5" t="s">
        <v>41</v>
      </c>
      <c r="B4389" s="5" t="s">
        <v>2099</v>
      </c>
      <c r="C4389" s="9">
        <v>44145</v>
      </c>
      <c r="D4389" s="5" t="s">
        <v>16</v>
      </c>
      <c r="E4389" s="5" t="s">
        <v>2100</v>
      </c>
      <c r="F4389" s="6">
        <v>388</v>
      </c>
    </row>
    <row r="4390" spans="1:6" x14ac:dyDescent="0.15">
      <c r="A4390" s="5" t="s">
        <v>37</v>
      </c>
      <c r="B4390" s="5" t="s">
        <v>8007</v>
      </c>
      <c r="C4390" s="9">
        <v>44145</v>
      </c>
      <c r="D4390" s="5" t="s">
        <v>16</v>
      </c>
      <c r="E4390" s="5" t="s">
        <v>8008</v>
      </c>
      <c r="F4390" s="6">
        <v>2047.5</v>
      </c>
    </row>
    <row r="4391" spans="1:6" x14ac:dyDescent="0.15">
      <c r="A4391" s="5" t="s">
        <v>37</v>
      </c>
      <c r="B4391" s="5" t="s">
        <v>8009</v>
      </c>
      <c r="C4391" s="9">
        <v>44145</v>
      </c>
      <c r="D4391" s="5" t="s">
        <v>16</v>
      </c>
      <c r="E4391" s="5" t="s">
        <v>5410</v>
      </c>
      <c r="F4391" s="6">
        <v>4192.5</v>
      </c>
    </row>
    <row r="4392" spans="1:6" x14ac:dyDescent="0.15">
      <c r="A4392" s="5" t="s">
        <v>43</v>
      </c>
      <c r="B4392" s="5" t="s">
        <v>5409</v>
      </c>
      <c r="C4392" s="9">
        <v>44145</v>
      </c>
      <c r="D4392" s="5" t="s">
        <v>16</v>
      </c>
      <c r="E4392" s="5" t="s">
        <v>5410</v>
      </c>
      <c r="F4392" s="6">
        <v>727.5</v>
      </c>
    </row>
    <row r="4393" spans="1:6" x14ac:dyDescent="0.15">
      <c r="A4393" s="5" t="s">
        <v>35</v>
      </c>
      <c r="B4393" s="5" t="s">
        <v>3963</v>
      </c>
      <c r="C4393" s="9">
        <v>44145</v>
      </c>
      <c r="D4393" s="5" t="s">
        <v>16</v>
      </c>
      <c r="E4393" s="5" t="s">
        <v>3964</v>
      </c>
      <c r="F4393" s="6">
        <v>3510</v>
      </c>
    </row>
    <row r="4394" spans="1:6" x14ac:dyDescent="0.15">
      <c r="A4394" s="5" t="s">
        <v>37</v>
      </c>
      <c r="B4394" s="5" t="s">
        <v>8010</v>
      </c>
      <c r="C4394" s="9">
        <v>44145</v>
      </c>
      <c r="D4394" s="5" t="s">
        <v>16</v>
      </c>
      <c r="E4394" s="5" t="s">
        <v>8011</v>
      </c>
      <c r="F4394" s="6">
        <v>1365</v>
      </c>
    </row>
    <row r="4395" spans="1:6" x14ac:dyDescent="0.15">
      <c r="A4395" s="5" t="s">
        <v>37</v>
      </c>
      <c r="B4395" s="5" t="s">
        <v>8012</v>
      </c>
      <c r="C4395" s="9">
        <v>44147</v>
      </c>
      <c r="D4395" s="5" t="s">
        <v>16</v>
      </c>
      <c r="E4395" s="5" t="s">
        <v>8013</v>
      </c>
      <c r="F4395" s="6">
        <v>5850</v>
      </c>
    </row>
    <row r="4396" spans="1:6" x14ac:dyDescent="0.15">
      <c r="A4396" s="5" t="s">
        <v>37</v>
      </c>
      <c r="B4396" s="5" t="s">
        <v>8018</v>
      </c>
      <c r="C4396" s="9">
        <v>44148</v>
      </c>
      <c r="D4396" s="5" t="s">
        <v>16</v>
      </c>
      <c r="E4396" s="5" t="s">
        <v>8013</v>
      </c>
      <c r="F4396" s="6">
        <v>-3802.5</v>
      </c>
    </row>
    <row r="4397" spans="1:6" x14ac:dyDescent="0.15">
      <c r="A4397" s="5" t="s">
        <v>43</v>
      </c>
      <c r="B4397" s="5" t="s">
        <v>5411</v>
      </c>
      <c r="C4397" s="9">
        <v>44148</v>
      </c>
      <c r="D4397" s="5" t="s">
        <v>16</v>
      </c>
      <c r="E4397" s="5" t="s">
        <v>5412</v>
      </c>
      <c r="F4397" s="6">
        <v>291</v>
      </c>
    </row>
    <row r="4398" spans="1:6" x14ac:dyDescent="0.15">
      <c r="A4398" s="5" t="s">
        <v>37</v>
      </c>
      <c r="B4398" s="5" t="s">
        <v>8019</v>
      </c>
      <c r="C4398" s="9">
        <v>44148</v>
      </c>
      <c r="D4398" s="5" t="s">
        <v>16</v>
      </c>
      <c r="E4398" s="5" t="s">
        <v>8020</v>
      </c>
      <c r="F4398" s="6">
        <v>6045</v>
      </c>
    </row>
    <row r="4399" spans="1:6" x14ac:dyDescent="0.15">
      <c r="A4399" s="5" t="s">
        <v>37</v>
      </c>
      <c r="B4399" s="5" t="s">
        <v>8021</v>
      </c>
      <c r="C4399" s="9">
        <v>44148</v>
      </c>
      <c r="D4399" s="5" t="s">
        <v>16</v>
      </c>
      <c r="E4399" s="5" t="s">
        <v>8022</v>
      </c>
      <c r="F4399" s="6">
        <v>3510</v>
      </c>
    </row>
    <row r="4400" spans="1:6" x14ac:dyDescent="0.15">
      <c r="A4400" s="5" t="s">
        <v>37</v>
      </c>
      <c r="B4400" s="5" t="s">
        <v>8014</v>
      </c>
      <c r="C4400" s="9">
        <v>44147</v>
      </c>
      <c r="D4400" s="5" t="s">
        <v>16</v>
      </c>
      <c r="E4400" s="5" t="s">
        <v>8015</v>
      </c>
      <c r="F4400" s="6">
        <v>12577.5</v>
      </c>
    </row>
    <row r="4401" spans="1:6" x14ac:dyDescent="0.15">
      <c r="A4401" s="5" t="s">
        <v>35</v>
      </c>
      <c r="B4401" s="5" t="s">
        <v>3965</v>
      </c>
      <c r="C4401" s="9">
        <v>44147</v>
      </c>
      <c r="D4401" s="5" t="s">
        <v>16</v>
      </c>
      <c r="E4401" s="5" t="s">
        <v>3966</v>
      </c>
      <c r="F4401" s="6">
        <v>2340</v>
      </c>
    </row>
    <row r="4402" spans="1:6" x14ac:dyDescent="0.15">
      <c r="A4402" s="5" t="s">
        <v>35</v>
      </c>
      <c r="B4402" s="5" t="s">
        <v>3967</v>
      </c>
      <c r="C4402" s="9">
        <v>44147</v>
      </c>
      <c r="D4402" s="5" t="s">
        <v>16</v>
      </c>
      <c r="E4402" s="5" t="s">
        <v>3968</v>
      </c>
      <c r="F4402" s="6">
        <v>3900</v>
      </c>
    </row>
    <row r="4403" spans="1:6" x14ac:dyDescent="0.15">
      <c r="A4403" s="5" t="s">
        <v>37</v>
      </c>
      <c r="B4403" s="5" t="s">
        <v>8025</v>
      </c>
      <c r="C4403" s="9">
        <v>44151</v>
      </c>
      <c r="D4403" s="5" t="s">
        <v>16</v>
      </c>
      <c r="E4403" s="5" t="s">
        <v>8013</v>
      </c>
      <c r="F4403" s="6">
        <v>-2047.5</v>
      </c>
    </row>
    <row r="4404" spans="1:6" x14ac:dyDescent="0.15">
      <c r="A4404" s="5" t="s">
        <v>37</v>
      </c>
      <c r="B4404" s="5" t="s">
        <v>8016</v>
      </c>
      <c r="C4404" s="9">
        <v>44147</v>
      </c>
      <c r="D4404" s="5" t="s">
        <v>16</v>
      </c>
      <c r="E4404" s="5" t="s">
        <v>8017</v>
      </c>
      <c r="F4404" s="6">
        <v>2047.5</v>
      </c>
    </row>
    <row r="4405" spans="1:6" x14ac:dyDescent="0.15">
      <c r="A4405" s="5" t="s">
        <v>37</v>
      </c>
      <c r="B4405" s="5" t="s">
        <v>8026</v>
      </c>
      <c r="C4405" s="9">
        <v>44151</v>
      </c>
      <c r="D4405" s="5" t="s">
        <v>16</v>
      </c>
      <c r="E4405" s="5" t="s">
        <v>8027</v>
      </c>
      <c r="F4405" s="6">
        <v>-3510</v>
      </c>
    </row>
    <row r="4406" spans="1:6" x14ac:dyDescent="0.15">
      <c r="A4406" s="5" t="s">
        <v>37</v>
      </c>
      <c r="B4406" s="5" t="s">
        <v>8023</v>
      </c>
      <c r="C4406" s="9">
        <v>44148</v>
      </c>
      <c r="D4406" s="5" t="s">
        <v>16</v>
      </c>
      <c r="E4406" s="5" t="s">
        <v>8024</v>
      </c>
      <c r="F4406" s="6">
        <v>3510</v>
      </c>
    </row>
    <row r="4407" spans="1:6" x14ac:dyDescent="0.15">
      <c r="A4407" s="5" t="s">
        <v>43</v>
      </c>
      <c r="B4407" s="5" t="s">
        <v>5429</v>
      </c>
      <c r="C4407" s="9">
        <v>44166</v>
      </c>
      <c r="D4407" s="5" t="s">
        <v>16</v>
      </c>
      <c r="E4407" s="5" t="s">
        <v>2589</v>
      </c>
      <c r="F4407" s="6">
        <v>1940</v>
      </c>
    </row>
    <row r="4408" spans="1:6" x14ac:dyDescent="0.15">
      <c r="A4408" s="5" t="s">
        <v>40</v>
      </c>
      <c r="B4408" s="5" t="s">
        <v>2588</v>
      </c>
      <c r="C4408" s="9">
        <v>44166</v>
      </c>
      <c r="D4408" s="5" t="s">
        <v>16</v>
      </c>
      <c r="E4408" s="5" t="s">
        <v>2589</v>
      </c>
      <c r="F4408" s="6">
        <v>4500</v>
      </c>
    </row>
    <row r="4409" spans="1:6" x14ac:dyDescent="0.15">
      <c r="A4409" s="5" t="s">
        <v>37</v>
      </c>
      <c r="B4409" s="5" t="s">
        <v>8063</v>
      </c>
      <c r="C4409" s="9">
        <v>44166</v>
      </c>
      <c r="D4409" s="5" t="s">
        <v>16</v>
      </c>
      <c r="E4409" s="5" t="s">
        <v>2589</v>
      </c>
      <c r="F4409" s="6">
        <v>9750</v>
      </c>
    </row>
    <row r="4410" spans="1:6" x14ac:dyDescent="0.15">
      <c r="A4410" s="5" t="s">
        <v>53</v>
      </c>
      <c r="B4410" s="5" t="s">
        <v>8511</v>
      </c>
      <c r="C4410" s="9">
        <v>44166</v>
      </c>
      <c r="D4410" s="5" t="s">
        <v>16</v>
      </c>
      <c r="E4410" s="5" t="s">
        <v>2589</v>
      </c>
      <c r="F4410" s="6">
        <v>7800</v>
      </c>
    </row>
    <row r="4411" spans="1:6" x14ac:dyDescent="0.15">
      <c r="A4411" s="5" t="s">
        <v>44</v>
      </c>
      <c r="B4411" s="5" t="s">
        <v>4443</v>
      </c>
      <c r="C4411" s="9">
        <v>44180</v>
      </c>
      <c r="D4411" s="5" t="s">
        <v>16</v>
      </c>
      <c r="E4411" s="5" t="s">
        <v>4444</v>
      </c>
      <c r="F4411" s="6">
        <v>11700</v>
      </c>
    </row>
    <row r="4412" spans="1:6" x14ac:dyDescent="0.15">
      <c r="A4412" s="5" t="s">
        <v>158</v>
      </c>
      <c r="B4412" s="5" t="s">
        <v>8578</v>
      </c>
      <c r="C4412" s="9">
        <v>44180</v>
      </c>
      <c r="D4412" s="5" t="s">
        <v>16</v>
      </c>
      <c r="E4412" s="5" t="s">
        <v>4444</v>
      </c>
      <c r="F4412" s="6">
        <v>8190</v>
      </c>
    </row>
    <row r="4413" spans="1:6" x14ac:dyDescent="0.15">
      <c r="A4413" s="5" t="s">
        <v>43</v>
      </c>
      <c r="B4413" s="5" t="s">
        <v>5413</v>
      </c>
      <c r="C4413" s="9">
        <v>44151</v>
      </c>
      <c r="D4413" s="5" t="s">
        <v>16</v>
      </c>
      <c r="E4413" s="5" t="s">
        <v>5414</v>
      </c>
      <c r="F4413" s="6">
        <v>7372</v>
      </c>
    </row>
    <row r="4414" spans="1:6" x14ac:dyDescent="0.15">
      <c r="A4414" s="5" t="s">
        <v>42</v>
      </c>
      <c r="B4414" s="5" t="s">
        <v>6026</v>
      </c>
      <c r="C4414" s="9">
        <v>44151</v>
      </c>
      <c r="D4414" s="5" t="s">
        <v>16</v>
      </c>
      <c r="E4414" s="5" t="s">
        <v>5414</v>
      </c>
      <c r="F4414" s="6">
        <v>2850</v>
      </c>
    </row>
    <row r="4415" spans="1:6" x14ac:dyDescent="0.15">
      <c r="A4415" s="5" t="s">
        <v>35</v>
      </c>
      <c r="B4415" s="5" t="s">
        <v>3969</v>
      </c>
      <c r="C4415" s="9">
        <v>44152</v>
      </c>
      <c r="D4415" s="5" t="s">
        <v>16</v>
      </c>
      <c r="E4415" s="5" t="s">
        <v>3970</v>
      </c>
      <c r="F4415" s="6">
        <v>1072.5</v>
      </c>
    </row>
    <row r="4416" spans="1:6" x14ac:dyDescent="0.15">
      <c r="A4416" s="5" t="s">
        <v>37</v>
      </c>
      <c r="B4416" s="5" t="s">
        <v>8029</v>
      </c>
      <c r="C4416" s="9">
        <v>44152</v>
      </c>
      <c r="D4416" s="5" t="s">
        <v>16</v>
      </c>
      <c r="E4416" s="5" t="s">
        <v>8030</v>
      </c>
      <c r="F4416" s="6">
        <v>1072.5</v>
      </c>
    </row>
    <row r="4417" spans="1:6" x14ac:dyDescent="0.15">
      <c r="A4417" s="5" t="s">
        <v>37</v>
      </c>
      <c r="B4417" s="5" t="s">
        <v>8031</v>
      </c>
      <c r="C4417" s="9">
        <v>44152</v>
      </c>
      <c r="D4417" s="5" t="s">
        <v>16</v>
      </c>
      <c r="E4417" s="5" t="s">
        <v>8032</v>
      </c>
      <c r="F4417" s="6">
        <v>2047.5</v>
      </c>
    </row>
    <row r="4418" spans="1:6" x14ac:dyDescent="0.15">
      <c r="A4418" s="5" t="s">
        <v>35</v>
      </c>
      <c r="B4418" s="5" t="s">
        <v>3971</v>
      </c>
      <c r="C4418" s="9">
        <v>44152</v>
      </c>
      <c r="D4418" s="5" t="s">
        <v>16</v>
      </c>
      <c r="E4418" s="5" t="s">
        <v>3972</v>
      </c>
      <c r="F4418" s="6">
        <v>2145</v>
      </c>
    </row>
    <row r="4419" spans="1:6" x14ac:dyDescent="0.15">
      <c r="A4419" s="5" t="s">
        <v>35</v>
      </c>
      <c r="B4419" s="5" t="s">
        <v>3973</v>
      </c>
      <c r="C4419" s="9">
        <v>44152</v>
      </c>
      <c r="D4419" s="5" t="s">
        <v>16</v>
      </c>
      <c r="E4419" s="5" t="s">
        <v>3974</v>
      </c>
      <c r="F4419" s="6">
        <v>2047.5</v>
      </c>
    </row>
    <row r="4420" spans="1:6" x14ac:dyDescent="0.15">
      <c r="A4420" s="5" t="s">
        <v>35</v>
      </c>
      <c r="B4420" s="5" t="s">
        <v>3976</v>
      </c>
      <c r="C4420" s="9">
        <v>44153</v>
      </c>
      <c r="D4420" s="5" t="s">
        <v>16</v>
      </c>
      <c r="E4420" s="5" t="s">
        <v>3977</v>
      </c>
      <c r="F4420" s="6">
        <v>10042.5</v>
      </c>
    </row>
    <row r="4421" spans="1:6" x14ac:dyDescent="0.15">
      <c r="A4421" s="5" t="s">
        <v>35</v>
      </c>
      <c r="B4421" s="5" t="s">
        <v>3978</v>
      </c>
      <c r="C4421" s="9">
        <v>44153</v>
      </c>
      <c r="D4421" s="5" t="s">
        <v>16</v>
      </c>
      <c r="E4421" s="5" t="s">
        <v>3979</v>
      </c>
      <c r="F4421" s="6">
        <v>5070</v>
      </c>
    </row>
    <row r="4422" spans="1:6" x14ac:dyDescent="0.15">
      <c r="A4422" s="5" t="s">
        <v>35</v>
      </c>
      <c r="B4422" s="5" t="s">
        <v>3975</v>
      </c>
      <c r="C4422" s="9">
        <v>44152</v>
      </c>
      <c r="D4422" s="5" t="s">
        <v>16</v>
      </c>
      <c r="E4422" s="5" t="s">
        <v>2102</v>
      </c>
      <c r="F4422" s="6">
        <v>3900</v>
      </c>
    </row>
    <row r="4423" spans="1:6" x14ac:dyDescent="0.15">
      <c r="A4423" s="5" t="s">
        <v>40</v>
      </c>
      <c r="B4423" s="5" t="s">
        <v>2585</v>
      </c>
      <c r="C4423" s="9">
        <v>44152</v>
      </c>
      <c r="D4423" s="5" t="s">
        <v>16</v>
      </c>
      <c r="E4423" s="5" t="s">
        <v>2102</v>
      </c>
      <c r="F4423" s="6">
        <v>900</v>
      </c>
    </row>
    <row r="4424" spans="1:6" x14ac:dyDescent="0.15">
      <c r="A4424" s="5" t="s">
        <v>41</v>
      </c>
      <c r="B4424" s="5" t="s">
        <v>2101</v>
      </c>
      <c r="C4424" s="9">
        <v>44152</v>
      </c>
      <c r="D4424" s="5" t="s">
        <v>16</v>
      </c>
      <c r="E4424" s="5" t="s">
        <v>2102</v>
      </c>
      <c r="F4424" s="6">
        <v>873</v>
      </c>
    </row>
    <row r="4425" spans="1:6" x14ac:dyDescent="0.15">
      <c r="A4425" s="5" t="s">
        <v>37</v>
      </c>
      <c r="B4425" s="5" t="s">
        <v>8036</v>
      </c>
      <c r="C4425" s="9">
        <v>44154</v>
      </c>
      <c r="D4425" s="5" t="s">
        <v>16</v>
      </c>
      <c r="E4425" s="5" t="s">
        <v>5418</v>
      </c>
      <c r="F4425" s="6">
        <v>1170</v>
      </c>
    </row>
    <row r="4426" spans="1:6" x14ac:dyDescent="0.15">
      <c r="A4426" s="5" t="s">
        <v>42</v>
      </c>
      <c r="B4426" s="5" t="s">
        <v>6030</v>
      </c>
      <c r="C4426" s="9">
        <v>44154</v>
      </c>
      <c r="D4426" s="5" t="s">
        <v>16</v>
      </c>
      <c r="E4426" s="5" t="s">
        <v>5418</v>
      </c>
      <c r="F4426" s="6">
        <v>750</v>
      </c>
    </row>
    <row r="4427" spans="1:6" x14ac:dyDescent="0.15">
      <c r="A4427" s="5" t="s">
        <v>43</v>
      </c>
      <c r="B4427" s="5" t="s">
        <v>5417</v>
      </c>
      <c r="C4427" s="9">
        <v>44154</v>
      </c>
      <c r="D4427" s="5" t="s">
        <v>16</v>
      </c>
      <c r="E4427" s="5" t="s">
        <v>5418</v>
      </c>
      <c r="F4427" s="6">
        <v>1455</v>
      </c>
    </row>
    <row r="4428" spans="1:6" x14ac:dyDescent="0.15">
      <c r="A4428" s="5" t="s">
        <v>37</v>
      </c>
      <c r="B4428" s="5" t="s">
        <v>8033</v>
      </c>
      <c r="C4428" s="9">
        <v>44153</v>
      </c>
      <c r="D4428" s="5" t="s">
        <v>16</v>
      </c>
      <c r="E4428" s="5" t="s">
        <v>5416</v>
      </c>
      <c r="F4428" s="6">
        <v>5947.5</v>
      </c>
    </row>
    <row r="4429" spans="1:6" x14ac:dyDescent="0.15">
      <c r="A4429" s="5" t="s">
        <v>42</v>
      </c>
      <c r="B4429" s="5" t="s">
        <v>6029</v>
      </c>
      <c r="C4429" s="9">
        <v>44153</v>
      </c>
      <c r="D4429" s="5" t="s">
        <v>16</v>
      </c>
      <c r="E4429" s="5" t="s">
        <v>5416</v>
      </c>
      <c r="F4429" s="6">
        <v>2325</v>
      </c>
    </row>
    <row r="4430" spans="1:6" x14ac:dyDescent="0.15">
      <c r="A4430" s="5" t="s">
        <v>43</v>
      </c>
      <c r="B4430" s="5" t="s">
        <v>5415</v>
      </c>
      <c r="C4430" s="9">
        <v>44153</v>
      </c>
      <c r="D4430" s="5" t="s">
        <v>16</v>
      </c>
      <c r="E4430" s="5" t="s">
        <v>5416</v>
      </c>
      <c r="F4430" s="6">
        <v>1503.5</v>
      </c>
    </row>
    <row r="4431" spans="1:6" x14ac:dyDescent="0.15">
      <c r="A4431" s="5" t="s">
        <v>37</v>
      </c>
      <c r="B4431" s="5" t="s">
        <v>8034</v>
      </c>
      <c r="C4431" s="9">
        <v>44153</v>
      </c>
      <c r="D4431" s="5" t="s">
        <v>16</v>
      </c>
      <c r="E4431" s="5" t="s">
        <v>8035</v>
      </c>
      <c r="F4431" s="6">
        <v>9750</v>
      </c>
    </row>
    <row r="4432" spans="1:6" x14ac:dyDescent="0.15">
      <c r="A4432" s="5" t="s">
        <v>37</v>
      </c>
      <c r="B4432" s="5" t="s">
        <v>8037</v>
      </c>
      <c r="C4432" s="9">
        <v>44154</v>
      </c>
      <c r="D4432" s="5" t="s">
        <v>16</v>
      </c>
      <c r="E4432" s="5" t="s">
        <v>8038</v>
      </c>
      <c r="F4432" s="6">
        <v>2047.5</v>
      </c>
    </row>
    <row r="4433" spans="1:6" x14ac:dyDescent="0.15">
      <c r="A4433" s="5" t="s">
        <v>53</v>
      </c>
      <c r="B4433" s="5" t="s">
        <v>8509</v>
      </c>
      <c r="C4433" s="9">
        <v>44154</v>
      </c>
      <c r="D4433" s="5" t="s">
        <v>16</v>
      </c>
      <c r="E4433" s="5" t="s">
        <v>8510</v>
      </c>
      <c r="F4433" s="6">
        <v>2535</v>
      </c>
    </row>
    <row r="4434" spans="1:6" x14ac:dyDescent="0.15">
      <c r="A4434" s="5" t="s">
        <v>35</v>
      </c>
      <c r="B4434" s="5" t="s">
        <v>3980</v>
      </c>
      <c r="C4434" s="9">
        <v>44153</v>
      </c>
      <c r="D4434" s="5" t="s">
        <v>16</v>
      </c>
      <c r="E4434" s="5" t="s">
        <v>3981</v>
      </c>
      <c r="F4434" s="6">
        <v>6630</v>
      </c>
    </row>
    <row r="4435" spans="1:6" x14ac:dyDescent="0.15">
      <c r="A4435" s="5" t="s">
        <v>41</v>
      </c>
      <c r="B4435" s="5" t="s">
        <v>2103</v>
      </c>
      <c r="C4435" s="9">
        <v>44154</v>
      </c>
      <c r="D4435" s="5" t="s">
        <v>16</v>
      </c>
      <c r="E4435" s="5" t="s">
        <v>2104</v>
      </c>
      <c r="F4435" s="6">
        <v>679</v>
      </c>
    </row>
    <row r="4436" spans="1:6" x14ac:dyDescent="0.15">
      <c r="A4436" s="5" t="s">
        <v>35</v>
      </c>
      <c r="B4436" s="5" t="s">
        <v>3982</v>
      </c>
      <c r="C4436" s="9">
        <v>44154</v>
      </c>
      <c r="D4436" s="5" t="s">
        <v>16</v>
      </c>
      <c r="E4436" s="5" t="s">
        <v>2104</v>
      </c>
      <c r="F4436" s="6">
        <v>195</v>
      </c>
    </row>
    <row r="4437" spans="1:6" x14ac:dyDescent="0.15">
      <c r="A4437" s="5" t="s">
        <v>37</v>
      </c>
      <c r="B4437" s="5" t="s">
        <v>8039</v>
      </c>
      <c r="C4437" s="9">
        <v>44154</v>
      </c>
      <c r="D4437" s="5" t="s">
        <v>16</v>
      </c>
      <c r="E4437" s="5" t="s">
        <v>5420</v>
      </c>
      <c r="F4437" s="6">
        <v>390</v>
      </c>
    </row>
    <row r="4438" spans="1:6" x14ac:dyDescent="0.15">
      <c r="A4438" s="5" t="s">
        <v>43</v>
      </c>
      <c r="B4438" s="5" t="s">
        <v>5419</v>
      </c>
      <c r="C4438" s="9">
        <v>44154</v>
      </c>
      <c r="D4438" s="5" t="s">
        <v>16</v>
      </c>
      <c r="E4438" s="5" t="s">
        <v>5420</v>
      </c>
      <c r="F4438" s="6">
        <v>194</v>
      </c>
    </row>
    <row r="4439" spans="1:6" x14ac:dyDescent="0.15">
      <c r="A4439" s="5" t="s">
        <v>37</v>
      </c>
      <c r="B4439" s="5" t="s">
        <v>8040</v>
      </c>
      <c r="C4439" s="9">
        <v>44154</v>
      </c>
      <c r="D4439" s="5" t="s">
        <v>16</v>
      </c>
      <c r="E4439" s="5" t="s">
        <v>6032</v>
      </c>
      <c r="F4439" s="6">
        <v>1950</v>
      </c>
    </row>
    <row r="4440" spans="1:6" x14ac:dyDescent="0.15">
      <c r="A4440" s="5" t="s">
        <v>42</v>
      </c>
      <c r="B4440" s="5" t="s">
        <v>6031</v>
      </c>
      <c r="C4440" s="9">
        <v>44154</v>
      </c>
      <c r="D4440" s="5" t="s">
        <v>16</v>
      </c>
      <c r="E4440" s="5" t="s">
        <v>6032</v>
      </c>
      <c r="F4440" s="6">
        <v>750</v>
      </c>
    </row>
    <row r="4441" spans="1:6" x14ac:dyDescent="0.15">
      <c r="A4441" s="5" t="s">
        <v>35</v>
      </c>
      <c r="B4441" s="5" t="s">
        <v>3983</v>
      </c>
      <c r="C4441" s="9">
        <v>44154</v>
      </c>
      <c r="D4441" s="5" t="s">
        <v>16</v>
      </c>
      <c r="E4441" s="5" t="s">
        <v>3984</v>
      </c>
      <c r="F4441" s="6">
        <v>6825</v>
      </c>
    </row>
    <row r="4442" spans="1:6" x14ac:dyDescent="0.15">
      <c r="A4442" s="5" t="s">
        <v>35</v>
      </c>
      <c r="B4442" s="5" t="s">
        <v>3987</v>
      </c>
      <c r="C4442" s="9">
        <v>44158</v>
      </c>
      <c r="D4442" s="5" t="s">
        <v>16</v>
      </c>
      <c r="E4442" s="5" t="s">
        <v>2106</v>
      </c>
      <c r="F4442" s="6">
        <v>7020</v>
      </c>
    </row>
    <row r="4443" spans="1:6" x14ac:dyDescent="0.15">
      <c r="A4443" s="5" t="s">
        <v>41</v>
      </c>
      <c r="B4443" s="5" t="s">
        <v>2105</v>
      </c>
      <c r="C4443" s="9">
        <v>44158</v>
      </c>
      <c r="D4443" s="5" t="s">
        <v>16</v>
      </c>
      <c r="E4443" s="5" t="s">
        <v>2106</v>
      </c>
      <c r="F4443" s="6">
        <v>3540.5</v>
      </c>
    </row>
    <row r="4444" spans="1:6" x14ac:dyDescent="0.15">
      <c r="A4444" s="5" t="s">
        <v>37</v>
      </c>
      <c r="B4444" s="5" t="s">
        <v>8041</v>
      </c>
      <c r="C4444" s="9">
        <v>44158</v>
      </c>
      <c r="D4444" s="5" t="s">
        <v>16</v>
      </c>
      <c r="E4444" s="5" t="s">
        <v>8042</v>
      </c>
      <c r="F4444" s="6">
        <v>9750</v>
      </c>
    </row>
    <row r="4445" spans="1:6" x14ac:dyDescent="0.15">
      <c r="A4445" s="5" t="s">
        <v>35</v>
      </c>
      <c r="B4445" s="5" t="s">
        <v>3988</v>
      </c>
      <c r="C4445" s="9">
        <v>44159</v>
      </c>
      <c r="D4445" s="5" t="s">
        <v>16</v>
      </c>
      <c r="E4445" s="5" t="s">
        <v>2108</v>
      </c>
      <c r="F4445" s="6">
        <v>6045</v>
      </c>
    </row>
    <row r="4446" spans="1:6" x14ac:dyDescent="0.15">
      <c r="A4446" s="5" t="s">
        <v>41</v>
      </c>
      <c r="B4446" s="5" t="s">
        <v>2107</v>
      </c>
      <c r="C4446" s="9">
        <v>44159</v>
      </c>
      <c r="D4446" s="5" t="s">
        <v>16</v>
      </c>
      <c r="E4446" s="5" t="s">
        <v>2108</v>
      </c>
      <c r="F4446" s="6">
        <v>533.5</v>
      </c>
    </row>
    <row r="4447" spans="1:6" x14ac:dyDescent="0.15">
      <c r="A4447" s="5" t="s">
        <v>35</v>
      </c>
      <c r="B4447" s="5" t="s">
        <v>3989</v>
      </c>
      <c r="C4447" s="9">
        <v>44159</v>
      </c>
      <c r="D4447" s="5" t="s">
        <v>16</v>
      </c>
      <c r="E4447" s="5" t="s">
        <v>3990</v>
      </c>
      <c r="F4447" s="6">
        <v>6922.5</v>
      </c>
    </row>
    <row r="4448" spans="1:6" x14ac:dyDescent="0.15">
      <c r="A4448" s="5" t="s">
        <v>35</v>
      </c>
      <c r="B4448" s="5" t="s">
        <v>3991</v>
      </c>
      <c r="C4448" s="9">
        <v>44159</v>
      </c>
      <c r="D4448" s="5" t="s">
        <v>16</v>
      </c>
      <c r="E4448" s="5" t="s">
        <v>3992</v>
      </c>
      <c r="F4448" s="6">
        <v>4582.5</v>
      </c>
    </row>
    <row r="4449" spans="1:6" x14ac:dyDescent="0.15">
      <c r="A4449" s="5" t="s">
        <v>37</v>
      </c>
      <c r="B4449" s="5" t="s">
        <v>8043</v>
      </c>
      <c r="C4449" s="9">
        <v>44159</v>
      </c>
      <c r="D4449" s="5" t="s">
        <v>16</v>
      </c>
      <c r="E4449" s="5" t="s">
        <v>8044</v>
      </c>
      <c r="F4449" s="6">
        <v>1267.5</v>
      </c>
    </row>
    <row r="4450" spans="1:6" x14ac:dyDescent="0.15">
      <c r="A4450" s="5" t="s">
        <v>35</v>
      </c>
      <c r="B4450" s="5" t="s">
        <v>3985</v>
      </c>
      <c r="C4450" s="9">
        <v>44155</v>
      </c>
      <c r="D4450" s="5" t="s">
        <v>16</v>
      </c>
      <c r="E4450" s="5" t="s">
        <v>3986</v>
      </c>
      <c r="F4450" s="6">
        <v>1462.5</v>
      </c>
    </row>
    <row r="4451" spans="1:6" x14ac:dyDescent="0.15">
      <c r="A4451" s="5" t="s">
        <v>37</v>
      </c>
      <c r="B4451" s="5" t="s">
        <v>8045</v>
      </c>
      <c r="C4451" s="9">
        <v>44160</v>
      </c>
      <c r="D4451" s="5" t="s">
        <v>16</v>
      </c>
      <c r="E4451" s="5" t="s">
        <v>8046</v>
      </c>
      <c r="F4451" s="6">
        <v>4192.5</v>
      </c>
    </row>
    <row r="4452" spans="1:6" x14ac:dyDescent="0.15">
      <c r="A4452" s="5" t="s">
        <v>37</v>
      </c>
      <c r="B4452" s="5" t="s">
        <v>8047</v>
      </c>
      <c r="C4452" s="9">
        <v>44160</v>
      </c>
      <c r="D4452" s="5" t="s">
        <v>16</v>
      </c>
      <c r="E4452" s="5" t="s">
        <v>8048</v>
      </c>
      <c r="F4452" s="6">
        <v>4095</v>
      </c>
    </row>
    <row r="4453" spans="1:6" x14ac:dyDescent="0.15">
      <c r="A4453" s="5" t="s">
        <v>35</v>
      </c>
      <c r="B4453" s="5" t="s">
        <v>3993</v>
      </c>
      <c r="C4453" s="9">
        <v>44160</v>
      </c>
      <c r="D4453" s="5" t="s">
        <v>16</v>
      </c>
      <c r="E4453" s="5" t="s">
        <v>3994</v>
      </c>
      <c r="F4453" s="6">
        <v>2340</v>
      </c>
    </row>
    <row r="4454" spans="1:6" x14ac:dyDescent="0.15">
      <c r="A4454" s="5" t="s">
        <v>35</v>
      </c>
      <c r="B4454" s="5" t="s">
        <v>3995</v>
      </c>
      <c r="C4454" s="9">
        <v>44160</v>
      </c>
      <c r="D4454" s="5" t="s">
        <v>16</v>
      </c>
      <c r="E4454" s="5" t="s">
        <v>3996</v>
      </c>
      <c r="F4454" s="6">
        <v>1560</v>
      </c>
    </row>
    <row r="4455" spans="1:6" x14ac:dyDescent="0.15">
      <c r="A4455" s="5" t="s">
        <v>35</v>
      </c>
      <c r="B4455" s="5" t="s">
        <v>3997</v>
      </c>
      <c r="C4455" s="9">
        <v>44160</v>
      </c>
      <c r="D4455" s="5" t="s">
        <v>16</v>
      </c>
      <c r="E4455" s="5" t="s">
        <v>3998</v>
      </c>
      <c r="F4455" s="6">
        <v>1657.5</v>
      </c>
    </row>
    <row r="4456" spans="1:6" x14ac:dyDescent="0.15">
      <c r="A4456" s="5" t="s">
        <v>35</v>
      </c>
      <c r="B4456" s="5" t="s">
        <v>4001</v>
      </c>
      <c r="C4456" s="9">
        <v>44161</v>
      </c>
      <c r="D4456" s="5" t="s">
        <v>16</v>
      </c>
      <c r="E4456" s="5" t="s">
        <v>2587</v>
      </c>
      <c r="F4456" s="6">
        <v>682.5</v>
      </c>
    </row>
    <row r="4457" spans="1:6" x14ac:dyDescent="0.15">
      <c r="A4457" s="5" t="s">
        <v>40</v>
      </c>
      <c r="B4457" s="5" t="s">
        <v>2586</v>
      </c>
      <c r="C4457" s="9">
        <v>44161</v>
      </c>
      <c r="D4457" s="5" t="s">
        <v>16</v>
      </c>
      <c r="E4457" s="5" t="s">
        <v>2587</v>
      </c>
      <c r="F4457" s="6">
        <v>525</v>
      </c>
    </row>
    <row r="4458" spans="1:6" x14ac:dyDescent="0.15">
      <c r="A4458" s="5" t="s">
        <v>37</v>
      </c>
      <c r="B4458" s="5" t="s">
        <v>8051</v>
      </c>
      <c r="C4458" s="9">
        <v>44161</v>
      </c>
      <c r="D4458" s="5" t="s">
        <v>16</v>
      </c>
      <c r="E4458" s="5" t="s">
        <v>5422</v>
      </c>
      <c r="F4458" s="6">
        <v>2145</v>
      </c>
    </row>
    <row r="4459" spans="1:6" x14ac:dyDescent="0.15">
      <c r="A4459" s="5" t="s">
        <v>43</v>
      </c>
      <c r="B4459" s="5" t="s">
        <v>5421</v>
      </c>
      <c r="C4459" s="9">
        <v>44161</v>
      </c>
      <c r="D4459" s="5" t="s">
        <v>16</v>
      </c>
      <c r="E4459" s="5" t="s">
        <v>5422</v>
      </c>
      <c r="F4459" s="6">
        <v>485</v>
      </c>
    </row>
    <row r="4460" spans="1:6" x14ac:dyDescent="0.15">
      <c r="A4460" s="5" t="s">
        <v>37</v>
      </c>
      <c r="B4460" s="5" t="s">
        <v>8052</v>
      </c>
      <c r="C4460" s="9">
        <v>44161</v>
      </c>
      <c r="D4460" s="5" t="s">
        <v>16</v>
      </c>
      <c r="E4460" s="5" t="s">
        <v>4003</v>
      </c>
      <c r="F4460" s="6">
        <v>2047.5</v>
      </c>
    </row>
    <row r="4461" spans="1:6" x14ac:dyDescent="0.15">
      <c r="A4461" s="5" t="s">
        <v>35</v>
      </c>
      <c r="B4461" s="5" t="s">
        <v>4002</v>
      </c>
      <c r="C4461" s="9">
        <v>44161</v>
      </c>
      <c r="D4461" s="5" t="s">
        <v>16</v>
      </c>
      <c r="E4461" s="5" t="s">
        <v>4003</v>
      </c>
      <c r="F4461" s="6">
        <v>487.5</v>
      </c>
    </row>
    <row r="4462" spans="1:6" x14ac:dyDescent="0.15">
      <c r="A4462" s="5" t="s">
        <v>41</v>
      </c>
      <c r="B4462" s="5" t="s">
        <v>2109</v>
      </c>
      <c r="C4462" s="9">
        <v>44161</v>
      </c>
      <c r="D4462" s="5" t="s">
        <v>16</v>
      </c>
      <c r="E4462" s="5" t="s">
        <v>2110</v>
      </c>
      <c r="F4462" s="6">
        <v>388</v>
      </c>
    </row>
    <row r="4463" spans="1:6" x14ac:dyDescent="0.15">
      <c r="A4463" s="5" t="s">
        <v>37</v>
      </c>
      <c r="B4463" s="5" t="s">
        <v>8053</v>
      </c>
      <c r="C4463" s="9">
        <v>44161</v>
      </c>
      <c r="D4463" s="5" t="s">
        <v>16</v>
      </c>
      <c r="E4463" s="5" t="s">
        <v>8054</v>
      </c>
      <c r="F4463" s="6">
        <v>1072.5</v>
      </c>
    </row>
    <row r="4464" spans="1:6" x14ac:dyDescent="0.15">
      <c r="A4464" s="5" t="s">
        <v>35</v>
      </c>
      <c r="B4464" s="5" t="s">
        <v>4004</v>
      </c>
      <c r="C4464" s="9">
        <v>44161</v>
      </c>
      <c r="D4464" s="5" t="s">
        <v>16</v>
      </c>
      <c r="E4464" s="5" t="s">
        <v>4005</v>
      </c>
      <c r="F4464" s="6">
        <v>877.5</v>
      </c>
    </row>
    <row r="4465" spans="1:6" x14ac:dyDescent="0.15">
      <c r="A4465" s="5" t="s">
        <v>35</v>
      </c>
      <c r="B4465" s="5" t="s">
        <v>4006</v>
      </c>
      <c r="C4465" s="9">
        <v>44161</v>
      </c>
      <c r="D4465" s="5" t="s">
        <v>16</v>
      </c>
      <c r="E4465" s="5" t="s">
        <v>2112</v>
      </c>
      <c r="F4465" s="6">
        <v>682.5</v>
      </c>
    </row>
    <row r="4466" spans="1:6" x14ac:dyDescent="0.15">
      <c r="A4466" s="5" t="s">
        <v>41</v>
      </c>
      <c r="B4466" s="5" t="s">
        <v>2111</v>
      </c>
      <c r="C4466" s="9">
        <v>44161</v>
      </c>
      <c r="D4466" s="5" t="s">
        <v>16</v>
      </c>
      <c r="E4466" s="5" t="s">
        <v>2112</v>
      </c>
      <c r="F4466" s="6">
        <v>48.5</v>
      </c>
    </row>
    <row r="4467" spans="1:6" x14ac:dyDescent="0.15">
      <c r="A4467" s="5" t="s">
        <v>37</v>
      </c>
      <c r="B4467" s="5" t="s">
        <v>8055</v>
      </c>
      <c r="C4467" s="9">
        <v>44161</v>
      </c>
      <c r="D4467" s="5" t="s">
        <v>16</v>
      </c>
      <c r="E4467" s="5" t="s">
        <v>2112</v>
      </c>
      <c r="F4467" s="6">
        <v>585</v>
      </c>
    </row>
    <row r="4468" spans="1:6" x14ac:dyDescent="0.15">
      <c r="A4468" s="5" t="s">
        <v>43</v>
      </c>
      <c r="B4468" s="5" t="s">
        <v>5423</v>
      </c>
      <c r="C4468" s="9">
        <v>44161</v>
      </c>
      <c r="D4468" s="5" t="s">
        <v>16</v>
      </c>
      <c r="E4468" s="5" t="s">
        <v>2112</v>
      </c>
      <c r="F4468" s="6">
        <v>97</v>
      </c>
    </row>
    <row r="4469" spans="1:6" x14ac:dyDescent="0.15">
      <c r="A4469" s="5" t="s">
        <v>35</v>
      </c>
      <c r="B4469" s="5" t="s">
        <v>4007</v>
      </c>
      <c r="C4469" s="9">
        <v>44161</v>
      </c>
      <c r="D4469" s="5" t="s">
        <v>16</v>
      </c>
      <c r="E4469" s="5" t="s">
        <v>2112</v>
      </c>
      <c r="F4469" s="6">
        <v>-682.5</v>
      </c>
    </row>
    <row r="4470" spans="1:6" x14ac:dyDescent="0.15">
      <c r="A4470" s="5" t="s">
        <v>41</v>
      </c>
      <c r="B4470" s="5" t="s">
        <v>2113</v>
      </c>
      <c r="C4470" s="9">
        <v>44161</v>
      </c>
      <c r="D4470" s="5" t="s">
        <v>16</v>
      </c>
      <c r="E4470" s="5" t="s">
        <v>2112</v>
      </c>
      <c r="F4470" s="6">
        <v>-48.5</v>
      </c>
    </row>
    <row r="4471" spans="1:6" x14ac:dyDescent="0.15">
      <c r="A4471" s="5" t="s">
        <v>37</v>
      </c>
      <c r="B4471" s="5" t="s">
        <v>8056</v>
      </c>
      <c r="C4471" s="9">
        <v>44161</v>
      </c>
      <c r="D4471" s="5" t="s">
        <v>16</v>
      </c>
      <c r="E4471" s="5" t="s">
        <v>2112</v>
      </c>
      <c r="F4471" s="6">
        <v>-585</v>
      </c>
    </row>
    <row r="4472" spans="1:6" x14ac:dyDescent="0.15">
      <c r="A4472" s="5" t="s">
        <v>43</v>
      </c>
      <c r="B4472" s="5" t="s">
        <v>5424</v>
      </c>
      <c r="C4472" s="9">
        <v>44161</v>
      </c>
      <c r="D4472" s="5" t="s">
        <v>16</v>
      </c>
      <c r="E4472" s="5" t="s">
        <v>2112</v>
      </c>
      <c r="F4472" s="6">
        <v>-97</v>
      </c>
    </row>
    <row r="4473" spans="1:6" x14ac:dyDescent="0.15">
      <c r="A4473" s="5" t="s">
        <v>35</v>
      </c>
      <c r="B4473" s="5" t="s">
        <v>4008</v>
      </c>
      <c r="C4473" s="9">
        <v>44161</v>
      </c>
      <c r="D4473" s="5" t="s">
        <v>16</v>
      </c>
      <c r="E4473" s="5" t="s">
        <v>3998</v>
      </c>
      <c r="F4473" s="6">
        <v>-1657.5</v>
      </c>
    </row>
    <row r="4474" spans="1:6" x14ac:dyDescent="0.15">
      <c r="A4474" s="5" t="s">
        <v>35</v>
      </c>
      <c r="B4474" s="5" t="s">
        <v>3999</v>
      </c>
      <c r="C4474" s="9">
        <v>44160</v>
      </c>
      <c r="D4474" s="5" t="s">
        <v>16</v>
      </c>
      <c r="E4474" s="5" t="s">
        <v>4000</v>
      </c>
      <c r="F4474" s="6">
        <v>1170</v>
      </c>
    </row>
    <row r="4475" spans="1:6" x14ac:dyDescent="0.15">
      <c r="A4475" s="5" t="s">
        <v>35</v>
      </c>
      <c r="B4475" s="5" t="s">
        <v>4009</v>
      </c>
      <c r="C4475" s="9">
        <v>44162</v>
      </c>
      <c r="D4475" s="5" t="s">
        <v>16</v>
      </c>
      <c r="E4475" s="5" t="s">
        <v>2115</v>
      </c>
      <c r="F4475" s="6">
        <v>3022.5</v>
      </c>
    </row>
    <row r="4476" spans="1:6" x14ac:dyDescent="0.15">
      <c r="A4476" s="5" t="s">
        <v>41</v>
      </c>
      <c r="B4476" s="5" t="s">
        <v>2114</v>
      </c>
      <c r="C4476" s="9">
        <v>44162</v>
      </c>
      <c r="D4476" s="5" t="s">
        <v>16</v>
      </c>
      <c r="E4476" s="5" t="s">
        <v>2115</v>
      </c>
      <c r="F4476" s="6">
        <v>145.5</v>
      </c>
    </row>
    <row r="4477" spans="1:6" x14ac:dyDescent="0.15">
      <c r="A4477" s="5" t="s">
        <v>37</v>
      </c>
      <c r="B4477" s="5" t="s">
        <v>8057</v>
      </c>
      <c r="C4477" s="9">
        <v>44161</v>
      </c>
      <c r="D4477" s="5" t="s">
        <v>16</v>
      </c>
      <c r="E4477" s="5" t="s">
        <v>8058</v>
      </c>
      <c r="F4477" s="6">
        <v>10627.5</v>
      </c>
    </row>
    <row r="4478" spans="1:6" x14ac:dyDescent="0.15">
      <c r="A4478" s="5" t="s">
        <v>37</v>
      </c>
      <c r="B4478" s="5" t="s">
        <v>8059</v>
      </c>
      <c r="C4478" s="9">
        <v>44162</v>
      </c>
      <c r="D4478" s="5" t="s">
        <v>16</v>
      </c>
      <c r="E4478" s="5" t="s">
        <v>8060</v>
      </c>
      <c r="F4478" s="6">
        <v>2047.5</v>
      </c>
    </row>
    <row r="4479" spans="1:6" x14ac:dyDescent="0.15">
      <c r="A4479" s="5" t="s">
        <v>43</v>
      </c>
      <c r="B4479" s="5" t="s">
        <v>5425</v>
      </c>
      <c r="C4479" s="9">
        <v>44162</v>
      </c>
      <c r="D4479" s="5" t="s">
        <v>16</v>
      </c>
      <c r="E4479" s="5" t="s">
        <v>5426</v>
      </c>
      <c r="F4479" s="6">
        <v>970</v>
      </c>
    </row>
    <row r="4480" spans="1:6" x14ac:dyDescent="0.15">
      <c r="A4480" s="5" t="s">
        <v>37</v>
      </c>
      <c r="B4480" s="5" t="s">
        <v>8061</v>
      </c>
      <c r="C4480" s="9">
        <v>44162</v>
      </c>
      <c r="D4480" s="5" t="s">
        <v>16</v>
      </c>
      <c r="E4480" s="5" t="s">
        <v>5426</v>
      </c>
      <c r="F4480" s="6">
        <v>1950</v>
      </c>
    </row>
    <row r="4481" spans="1:6" x14ac:dyDescent="0.15">
      <c r="A4481" s="5" t="s">
        <v>41</v>
      </c>
      <c r="B4481" s="5" t="s">
        <v>2116</v>
      </c>
      <c r="C4481" s="9">
        <v>44162</v>
      </c>
      <c r="D4481" s="5" t="s">
        <v>16</v>
      </c>
      <c r="E4481" s="5" t="s">
        <v>2117</v>
      </c>
      <c r="F4481" s="6">
        <v>6887</v>
      </c>
    </row>
    <row r="4482" spans="1:6" x14ac:dyDescent="0.15">
      <c r="A4482" s="5" t="s">
        <v>35</v>
      </c>
      <c r="B4482" s="5" t="s">
        <v>4010</v>
      </c>
      <c r="C4482" s="9">
        <v>44162</v>
      </c>
      <c r="D4482" s="5" t="s">
        <v>16</v>
      </c>
      <c r="E4482" s="5" t="s">
        <v>2117</v>
      </c>
      <c r="F4482" s="6">
        <v>13650</v>
      </c>
    </row>
    <row r="4483" spans="1:6" x14ac:dyDescent="0.15">
      <c r="A4483" s="5" t="s">
        <v>43</v>
      </c>
      <c r="B4483" s="5" t="s">
        <v>5427</v>
      </c>
      <c r="C4483" s="9">
        <v>44162</v>
      </c>
      <c r="D4483" s="5" t="s">
        <v>16</v>
      </c>
      <c r="E4483" s="5" t="s">
        <v>5428</v>
      </c>
      <c r="F4483" s="6">
        <v>3880</v>
      </c>
    </row>
    <row r="4484" spans="1:6" x14ac:dyDescent="0.15">
      <c r="A4484" s="5" t="s">
        <v>37</v>
      </c>
      <c r="B4484" s="5" t="s">
        <v>8062</v>
      </c>
      <c r="C4484" s="9">
        <v>44162</v>
      </c>
      <c r="D4484" s="5" t="s">
        <v>16</v>
      </c>
      <c r="E4484" s="5" t="s">
        <v>5428</v>
      </c>
      <c r="F4484" s="6">
        <v>7800</v>
      </c>
    </row>
    <row r="4485" spans="1:6" x14ac:dyDescent="0.15">
      <c r="A4485" s="5" t="s">
        <v>42</v>
      </c>
      <c r="B4485" s="5" t="s">
        <v>6033</v>
      </c>
      <c r="C4485" s="9">
        <v>44162</v>
      </c>
      <c r="D4485" s="5" t="s">
        <v>16</v>
      </c>
      <c r="E4485" s="5" t="s">
        <v>6034</v>
      </c>
      <c r="F4485" s="6">
        <v>7500</v>
      </c>
    </row>
    <row r="4486" spans="1:6" x14ac:dyDescent="0.15">
      <c r="A4486" s="5" t="s">
        <v>37</v>
      </c>
      <c r="B4486" s="5" t="s">
        <v>8049</v>
      </c>
      <c r="C4486" s="9">
        <v>44160</v>
      </c>
      <c r="D4486" s="5" t="s">
        <v>16</v>
      </c>
      <c r="E4486" s="5" t="s">
        <v>8050</v>
      </c>
      <c r="F4486" s="6">
        <v>585</v>
      </c>
    </row>
    <row r="4487" spans="1:6" x14ac:dyDescent="0.15">
      <c r="A4487" s="5" t="s">
        <v>35</v>
      </c>
      <c r="B4487" s="5" t="s">
        <v>4011</v>
      </c>
      <c r="C4487" s="9">
        <v>44166</v>
      </c>
      <c r="D4487" s="5" t="s">
        <v>16</v>
      </c>
      <c r="E4487" s="5" t="s">
        <v>4012</v>
      </c>
      <c r="F4487" s="6">
        <v>3022.5</v>
      </c>
    </row>
    <row r="4488" spans="1:6" x14ac:dyDescent="0.15">
      <c r="A4488" s="5" t="s">
        <v>37</v>
      </c>
      <c r="B4488" s="5" t="s">
        <v>8064</v>
      </c>
      <c r="C4488" s="9">
        <v>44166</v>
      </c>
      <c r="D4488" s="5" t="s">
        <v>16</v>
      </c>
      <c r="E4488" s="5" t="s">
        <v>8065</v>
      </c>
      <c r="F4488" s="6">
        <v>5557.5</v>
      </c>
    </row>
    <row r="4489" spans="1:6" x14ac:dyDescent="0.15">
      <c r="A4489" s="5" t="s">
        <v>53</v>
      </c>
      <c r="B4489" s="5" t="s">
        <v>8512</v>
      </c>
      <c r="C4489" s="9">
        <v>44167</v>
      </c>
      <c r="D4489" s="5" t="s">
        <v>16</v>
      </c>
      <c r="E4489" s="5" t="s">
        <v>8513</v>
      </c>
      <c r="F4489" s="6">
        <v>1462.5</v>
      </c>
    </row>
    <row r="4490" spans="1:6" x14ac:dyDescent="0.15">
      <c r="A4490" s="5" t="s">
        <v>40</v>
      </c>
      <c r="B4490" s="5" t="s">
        <v>2590</v>
      </c>
      <c r="C4490" s="9">
        <v>44168</v>
      </c>
      <c r="D4490" s="5" t="s">
        <v>16</v>
      </c>
      <c r="E4490" s="5" t="s">
        <v>2119</v>
      </c>
      <c r="F4490" s="6">
        <v>7200</v>
      </c>
    </row>
    <row r="4491" spans="1:6" x14ac:dyDescent="0.15">
      <c r="A4491" s="5" t="s">
        <v>41</v>
      </c>
      <c r="B4491" s="5" t="s">
        <v>2118</v>
      </c>
      <c r="C4491" s="9">
        <v>44168</v>
      </c>
      <c r="D4491" s="5" t="s">
        <v>16</v>
      </c>
      <c r="E4491" s="5" t="s">
        <v>2119</v>
      </c>
      <c r="F4491" s="6">
        <v>1552</v>
      </c>
    </row>
    <row r="4492" spans="1:6" x14ac:dyDescent="0.15">
      <c r="A4492" s="5" t="s">
        <v>49</v>
      </c>
      <c r="B4492" s="5" t="s">
        <v>8703</v>
      </c>
      <c r="C4492" s="9">
        <v>44167</v>
      </c>
      <c r="D4492" s="5" t="s">
        <v>16</v>
      </c>
      <c r="E4492" s="5" t="s">
        <v>8704</v>
      </c>
      <c r="F4492" s="6">
        <v>1100</v>
      </c>
    </row>
    <row r="4493" spans="1:6" x14ac:dyDescent="0.15">
      <c r="A4493" s="5" t="s">
        <v>35</v>
      </c>
      <c r="B4493" s="5" t="s">
        <v>4013</v>
      </c>
      <c r="C4493" s="9">
        <v>44168</v>
      </c>
      <c r="D4493" s="5" t="s">
        <v>16</v>
      </c>
      <c r="E4493" s="5" t="s">
        <v>4014</v>
      </c>
      <c r="F4493" s="6">
        <v>1072.5</v>
      </c>
    </row>
    <row r="4494" spans="1:6" x14ac:dyDescent="0.15">
      <c r="A4494" s="5" t="s">
        <v>35</v>
      </c>
      <c r="B4494" s="5" t="s">
        <v>4015</v>
      </c>
      <c r="C4494" s="9">
        <v>44168</v>
      </c>
      <c r="D4494" s="5" t="s">
        <v>16</v>
      </c>
      <c r="E4494" s="5" t="s">
        <v>4016</v>
      </c>
      <c r="F4494" s="6">
        <v>390</v>
      </c>
    </row>
    <row r="4495" spans="1:6" x14ac:dyDescent="0.15">
      <c r="A4495" s="5" t="s">
        <v>35</v>
      </c>
      <c r="B4495" s="5" t="s">
        <v>4017</v>
      </c>
      <c r="C4495" s="9">
        <v>44168</v>
      </c>
      <c r="D4495" s="5" t="s">
        <v>16</v>
      </c>
      <c r="E4495" s="5" t="s">
        <v>4018</v>
      </c>
      <c r="F4495" s="6">
        <v>1072.5</v>
      </c>
    </row>
    <row r="4496" spans="1:6" x14ac:dyDescent="0.15">
      <c r="A4496" s="5" t="s">
        <v>37</v>
      </c>
      <c r="B4496" s="5" t="s">
        <v>8066</v>
      </c>
      <c r="C4496" s="9">
        <v>44168</v>
      </c>
      <c r="D4496" s="5" t="s">
        <v>16</v>
      </c>
      <c r="E4496" s="5" t="s">
        <v>8067</v>
      </c>
      <c r="F4496" s="6">
        <v>487.5</v>
      </c>
    </row>
    <row r="4497" spans="1:6" x14ac:dyDescent="0.15">
      <c r="A4497" s="5" t="s">
        <v>35</v>
      </c>
      <c r="B4497" s="5" t="s">
        <v>4019</v>
      </c>
      <c r="C4497" s="9">
        <v>44168</v>
      </c>
      <c r="D4497" s="5" t="s">
        <v>16</v>
      </c>
      <c r="E4497" s="5" t="s">
        <v>4020</v>
      </c>
      <c r="F4497" s="6">
        <v>97.5</v>
      </c>
    </row>
    <row r="4498" spans="1:6" x14ac:dyDescent="0.15">
      <c r="A4498" s="5" t="s">
        <v>37</v>
      </c>
      <c r="B4498" s="5" t="s">
        <v>8068</v>
      </c>
      <c r="C4498" s="9">
        <v>44169</v>
      </c>
      <c r="D4498" s="5" t="s">
        <v>16</v>
      </c>
      <c r="E4498" s="5" t="s">
        <v>8069</v>
      </c>
      <c r="F4498" s="6">
        <v>585</v>
      </c>
    </row>
    <row r="4499" spans="1:6" x14ac:dyDescent="0.15">
      <c r="A4499" s="5" t="s">
        <v>37</v>
      </c>
      <c r="B4499" s="5" t="s">
        <v>8079</v>
      </c>
      <c r="C4499" s="9">
        <v>44172</v>
      </c>
      <c r="D4499" s="5" t="s">
        <v>16</v>
      </c>
      <c r="E4499" s="5" t="s">
        <v>5433</v>
      </c>
      <c r="F4499" s="6">
        <v>5070</v>
      </c>
    </row>
    <row r="4500" spans="1:6" x14ac:dyDescent="0.15">
      <c r="A4500" s="5" t="s">
        <v>43</v>
      </c>
      <c r="B4500" s="5" t="s">
        <v>5432</v>
      </c>
      <c r="C4500" s="9">
        <v>44172</v>
      </c>
      <c r="D4500" s="5" t="s">
        <v>16</v>
      </c>
      <c r="E4500" s="5" t="s">
        <v>5433</v>
      </c>
      <c r="F4500" s="6">
        <v>1746</v>
      </c>
    </row>
    <row r="4501" spans="1:6" x14ac:dyDescent="0.15">
      <c r="A4501" s="5" t="s">
        <v>37</v>
      </c>
      <c r="B4501" s="5" t="s">
        <v>8070</v>
      </c>
      <c r="C4501" s="9">
        <v>44169</v>
      </c>
      <c r="D4501" s="5" t="s">
        <v>16</v>
      </c>
      <c r="E4501" s="5" t="s">
        <v>5431</v>
      </c>
      <c r="F4501" s="6">
        <v>7800</v>
      </c>
    </row>
    <row r="4502" spans="1:6" x14ac:dyDescent="0.15">
      <c r="A4502" s="5" t="s">
        <v>42</v>
      </c>
      <c r="B4502" s="5" t="s">
        <v>6035</v>
      </c>
      <c r="C4502" s="9">
        <v>44169</v>
      </c>
      <c r="D4502" s="5" t="s">
        <v>16</v>
      </c>
      <c r="E4502" s="5" t="s">
        <v>5431</v>
      </c>
      <c r="F4502" s="6">
        <v>3000</v>
      </c>
    </row>
    <row r="4503" spans="1:6" x14ac:dyDescent="0.15">
      <c r="A4503" s="5" t="s">
        <v>43</v>
      </c>
      <c r="B4503" s="5" t="s">
        <v>5430</v>
      </c>
      <c r="C4503" s="9">
        <v>44169</v>
      </c>
      <c r="D4503" s="5" t="s">
        <v>16</v>
      </c>
      <c r="E4503" s="5" t="s">
        <v>5431</v>
      </c>
      <c r="F4503" s="6">
        <v>1940</v>
      </c>
    </row>
    <row r="4504" spans="1:6" x14ac:dyDescent="0.15">
      <c r="A4504" s="5" t="s">
        <v>37</v>
      </c>
      <c r="B4504" s="5" t="s">
        <v>8071</v>
      </c>
      <c r="C4504" s="9">
        <v>44169</v>
      </c>
      <c r="D4504" s="5" t="s">
        <v>16</v>
      </c>
      <c r="E4504" s="5" t="s">
        <v>8072</v>
      </c>
      <c r="F4504" s="6">
        <v>97.5</v>
      </c>
    </row>
    <row r="4505" spans="1:6" x14ac:dyDescent="0.15">
      <c r="A4505" s="5" t="s">
        <v>37</v>
      </c>
      <c r="B4505" s="5" t="s">
        <v>8073</v>
      </c>
      <c r="C4505" s="9">
        <v>44169</v>
      </c>
      <c r="D4505" s="5" t="s">
        <v>16</v>
      </c>
      <c r="E4505" s="5" t="s">
        <v>8074</v>
      </c>
      <c r="F4505" s="6">
        <v>390</v>
      </c>
    </row>
    <row r="4506" spans="1:6" x14ac:dyDescent="0.15">
      <c r="A4506" s="5" t="s">
        <v>37</v>
      </c>
      <c r="B4506" s="5" t="s">
        <v>8075</v>
      </c>
      <c r="C4506" s="9">
        <v>44169</v>
      </c>
      <c r="D4506" s="5" t="s">
        <v>16</v>
      </c>
      <c r="E4506" s="5" t="s">
        <v>8076</v>
      </c>
      <c r="F4506" s="6">
        <v>1755</v>
      </c>
    </row>
    <row r="4507" spans="1:6" x14ac:dyDescent="0.15">
      <c r="A4507" s="5" t="s">
        <v>37</v>
      </c>
      <c r="B4507" s="5" t="s">
        <v>8077</v>
      </c>
      <c r="C4507" s="9">
        <v>44169</v>
      </c>
      <c r="D4507" s="5" t="s">
        <v>16</v>
      </c>
      <c r="E4507" s="5" t="s">
        <v>8078</v>
      </c>
      <c r="F4507" s="6">
        <v>585</v>
      </c>
    </row>
    <row r="4508" spans="1:6" x14ac:dyDescent="0.15">
      <c r="A4508" s="5" t="s">
        <v>43</v>
      </c>
      <c r="B4508" s="5" t="s">
        <v>5434</v>
      </c>
      <c r="C4508" s="9">
        <v>44172</v>
      </c>
      <c r="D4508" s="5" t="s">
        <v>16</v>
      </c>
      <c r="E4508" s="5" t="s">
        <v>5435</v>
      </c>
      <c r="F4508" s="6">
        <v>727.5</v>
      </c>
    </row>
    <row r="4509" spans="1:6" x14ac:dyDescent="0.15">
      <c r="A4509" s="5" t="s">
        <v>37</v>
      </c>
      <c r="B4509" s="5" t="s">
        <v>8080</v>
      </c>
      <c r="C4509" s="9">
        <v>44172</v>
      </c>
      <c r="D4509" s="5" t="s">
        <v>16</v>
      </c>
      <c r="E4509" s="5" t="s">
        <v>6037</v>
      </c>
      <c r="F4509" s="6">
        <v>10237.5</v>
      </c>
    </row>
    <row r="4510" spans="1:6" x14ac:dyDescent="0.15">
      <c r="A4510" s="5" t="s">
        <v>42</v>
      </c>
      <c r="B4510" s="5" t="s">
        <v>6036</v>
      </c>
      <c r="C4510" s="9">
        <v>44172</v>
      </c>
      <c r="D4510" s="5" t="s">
        <v>16</v>
      </c>
      <c r="E4510" s="5" t="s">
        <v>6037</v>
      </c>
      <c r="F4510" s="6">
        <v>2625</v>
      </c>
    </row>
    <row r="4511" spans="1:6" x14ac:dyDescent="0.15">
      <c r="A4511" s="5" t="s">
        <v>37</v>
      </c>
      <c r="B4511" s="5" t="s">
        <v>8081</v>
      </c>
      <c r="C4511" s="9">
        <v>44172</v>
      </c>
      <c r="D4511" s="5" t="s">
        <v>16</v>
      </c>
      <c r="E4511" s="5" t="s">
        <v>6039</v>
      </c>
      <c r="F4511" s="6">
        <v>20475</v>
      </c>
    </row>
    <row r="4512" spans="1:6" x14ac:dyDescent="0.15">
      <c r="A4512" s="5" t="s">
        <v>42</v>
      </c>
      <c r="B4512" s="5" t="s">
        <v>6038</v>
      </c>
      <c r="C4512" s="9">
        <v>44172</v>
      </c>
      <c r="D4512" s="5" t="s">
        <v>16</v>
      </c>
      <c r="E4512" s="5" t="s">
        <v>6039</v>
      </c>
      <c r="F4512" s="6">
        <v>3000</v>
      </c>
    </row>
    <row r="4513" spans="1:6" x14ac:dyDescent="0.15">
      <c r="A4513" s="5" t="s">
        <v>37</v>
      </c>
      <c r="B4513" s="5" t="s">
        <v>8082</v>
      </c>
      <c r="C4513" s="9">
        <v>44172</v>
      </c>
      <c r="D4513" s="5" t="s">
        <v>16</v>
      </c>
      <c r="E4513" s="5" t="s">
        <v>8083</v>
      </c>
      <c r="F4513" s="6">
        <v>2047.5</v>
      </c>
    </row>
    <row r="4514" spans="1:6" x14ac:dyDescent="0.15">
      <c r="A4514" s="5" t="s">
        <v>37</v>
      </c>
      <c r="B4514" s="5" t="s">
        <v>8084</v>
      </c>
      <c r="C4514" s="9">
        <v>44173</v>
      </c>
      <c r="D4514" s="5" t="s">
        <v>16</v>
      </c>
      <c r="E4514" s="5" t="s">
        <v>8085</v>
      </c>
      <c r="F4514" s="6">
        <v>97.5</v>
      </c>
    </row>
    <row r="4515" spans="1:6" x14ac:dyDescent="0.15">
      <c r="A4515" s="5" t="s">
        <v>43</v>
      </c>
      <c r="B4515" s="5" t="s">
        <v>5436</v>
      </c>
      <c r="C4515" s="9">
        <v>44174</v>
      </c>
      <c r="D4515" s="5" t="s">
        <v>16</v>
      </c>
      <c r="E4515" s="5" t="s">
        <v>5437</v>
      </c>
      <c r="F4515" s="6">
        <v>2425</v>
      </c>
    </row>
    <row r="4516" spans="1:6" x14ac:dyDescent="0.15">
      <c r="A4516" s="5" t="s">
        <v>42</v>
      </c>
      <c r="B4516" s="5" t="s">
        <v>6040</v>
      </c>
      <c r="C4516" s="9">
        <v>44174</v>
      </c>
      <c r="D4516" s="5" t="s">
        <v>16</v>
      </c>
      <c r="E4516" s="5" t="s">
        <v>5437</v>
      </c>
      <c r="F4516" s="6">
        <v>3750</v>
      </c>
    </row>
    <row r="4517" spans="1:6" x14ac:dyDescent="0.15">
      <c r="A4517" s="5" t="s">
        <v>37</v>
      </c>
      <c r="B4517" s="5" t="s">
        <v>8086</v>
      </c>
      <c r="C4517" s="9">
        <v>44174</v>
      </c>
      <c r="D4517" s="5" t="s">
        <v>16</v>
      </c>
      <c r="E4517" s="5" t="s">
        <v>5437</v>
      </c>
      <c r="F4517" s="6">
        <v>9750</v>
      </c>
    </row>
    <row r="4518" spans="1:6" x14ac:dyDescent="0.15">
      <c r="A4518" s="5" t="s">
        <v>63</v>
      </c>
      <c r="B4518" s="5" t="s">
        <v>2285</v>
      </c>
      <c r="C4518" s="9">
        <v>44175</v>
      </c>
      <c r="D4518" s="5" t="s">
        <v>16</v>
      </c>
      <c r="E4518" s="5" t="s">
        <v>2286</v>
      </c>
      <c r="F4518" s="6">
        <v>97</v>
      </c>
    </row>
    <row r="4519" spans="1:6" x14ac:dyDescent="0.15">
      <c r="A4519" s="5" t="s">
        <v>37</v>
      </c>
      <c r="B4519" s="5" t="s">
        <v>8087</v>
      </c>
      <c r="C4519" s="9">
        <v>44175</v>
      </c>
      <c r="D4519" s="5" t="s">
        <v>16</v>
      </c>
      <c r="E4519" s="5" t="s">
        <v>8088</v>
      </c>
      <c r="F4519" s="6">
        <v>2047.5</v>
      </c>
    </row>
    <row r="4520" spans="1:6" x14ac:dyDescent="0.15">
      <c r="A4520" s="5" t="s">
        <v>37</v>
      </c>
      <c r="B4520" s="5" t="s">
        <v>8089</v>
      </c>
      <c r="C4520" s="9">
        <v>44175</v>
      </c>
      <c r="D4520" s="5" t="s">
        <v>16</v>
      </c>
      <c r="E4520" s="5" t="s">
        <v>8090</v>
      </c>
      <c r="F4520" s="6">
        <v>1560</v>
      </c>
    </row>
    <row r="4521" spans="1:6" x14ac:dyDescent="0.15">
      <c r="A4521" s="5" t="s">
        <v>43</v>
      </c>
      <c r="B4521" s="5" t="s">
        <v>5438</v>
      </c>
      <c r="C4521" s="9">
        <v>44175</v>
      </c>
      <c r="D4521" s="5" t="s">
        <v>16</v>
      </c>
      <c r="E4521" s="5" t="s">
        <v>5439</v>
      </c>
      <c r="F4521" s="6">
        <v>97</v>
      </c>
    </row>
    <row r="4522" spans="1:6" x14ac:dyDescent="0.15">
      <c r="A4522" s="5" t="s">
        <v>37</v>
      </c>
      <c r="B4522" s="5" t="s">
        <v>8091</v>
      </c>
      <c r="C4522" s="9">
        <v>44175</v>
      </c>
      <c r="D4522" s="5" t="s">
        <v>16</v>
      </c>
      <c r="E4522" s="5" t="s">
        <v>5439</v>
      </c>
      <c r="F4522" s="6">
        <v>585</v>
      </c>
    </row>
    <row r="4523" spans="1:6" x14ac:dyDescent="0.15">
      <c r="A4523" s="5" t="s">
        <v>37</v>
      </c>
      <c r="B4523" s="5" t="s">
        <v>8092</v>
      </c>
      <c r="C4523" s="9">
        <v>44175</v>
      </c>
      <c r="D4523" s="5" t="s">
        <v>16</v>
      </c>
      <c r="E4523" s="5" t="s">
        <v>8093</v>
      </c>
      <c r="F4523" s="6">
        <v>5265</v>
      </c>
    </row>
    <row r="4524" spans="1:6" x14ac:dyDescent="0.15">
      <c r="A4524" s="5" t="s">
        <v>37</v>
      </c>
      <c r="B4524" s="5" t="s">
        <v>8094</v>
      </c>
      <c r="C4524" s="9">
        <v>44176</v>
      </c>
      <c r="D4524" s="5" t="s">
        <v>16</v>
      </c>
      <c r="E4524" s="5" t="s">
        <v>5441</v>
      </c>
      <c r="F4524" s="6">
        <v>5362.5</v>
      </c>
    </row>
    <row r="4525" spans="1:6" x14ac:dyDescent="0.15">
      <c r="A4525" s="5" t="s">
        <v>42</v>
      </c>
      <c r="B4525" s="5" t="s">
        <v>6041</v>
      </c>
      <c r="C4525" s="9">
        <v>44176</v>
      </c>
      <c r="D4525" s="5" t="s">
        <v>16</v>
      </c>
      <c r="E4525" s="5" t="s">
        <v>5441</v>
      </c>
      <c r="F4525" s="6">
        <v>2625</v>
      </c>
    </row>
    <row r="4526" spans="1:6" x14ac:dyDescent="0.15">
      <c r="A4526" s="5" t="s">
        <v>43</v>
      </c>
      <c r="B4526" s="5" t="s">
        <v>5440</v>
      </c>
      <c r="C4526" s="9">
        <v>44176</v>
      </c>
      <c r="D4526" s="5" t="s">
        <v>16</v>
      </c>
      <c r="E4526" s="5" t="s">
        <v>5441</v>
      </c>
      <c r="F4526" s="6">
        <v>4365</v>
      </c>
    </row>
    <row r="4527" spans="1:6" x14ac:dyDescent="0.15">
      <c r="A4527" s="5" t="s">
        <v>42</v>
      </c>
      <c r="B4527" s="5" t="s">
        <v>6042</v>
      </c>
      <c r="C4527" s="9">
        <v>44176</v>
      </c>
      <c r="D4527" s="5" t="s">
        <v>16</v>
      </c>
      <c r="E4527" s="5" t="s">
        <v>6043</v>
      </c>
      <c r="F4527" s="6">
        <v>7500</v>
      </c>
    </row>
    <row r="4528" spans="1:6" x14ac:dyDescent="0.15">
      <c r="A4528" s="5" t="s">
        <v>35</v>
      </c>
      <c r="B4528" s="5" t="s">
        <v>4021</v>
      </c>
      <c r="C4528" s="9">
        <v>44176</v>
      </c>
      <c r="D4528" s="5" t="s">
        <v>16</v>
      </c>
      <c r="E4528" s="5" t="s">
        <v>4022</v>
      </c>
      <c r="F4528" s="6">
        <v>195</v>
      </c>
    </row>
    <row r="4529" spans="1:6" x14ac:dyDescent="0.15">
      <c r="A4529" s="5" t="s">
        <v>37</v>
      </c>
      <c r="B4529" s="5" t="s">
        <v>8095</v>
      </c>
      <c r="C4529" s="9">
        <v>44179</v>
      </c>
      <c r="D4529" s="5" t="s">
        <v>16</v>
      </c>
      <c r="E4529" s="5" t="s">
        <v>8096</v>
      </c>
      <c r="F4529" s="6">
        <v>487.5</v>
      </c>
    </row>
    <row r="4530" spans="1:6" x14ac:dyDescent="0.15">
      <c r="A4530" s="5" t="s">
        <v>37</v>
      </c>
      <c r="B4530" s="5" t="s">
        <v>8097</v>
      </c>
      <c r="C4530" s="9">
        <v>44179</v>
      </c>
      <c r="D4530" s="5" t="s">
        <v>16</v>
      </c>
      <c r="E4530" s="5" t="s">
        <v>8098</v>
      </c>
      <c r="F4530" s="6">
        <v>1950</v>
      </c>
    </row>
    <row r="4531" spans="1:6" x14ac:dyDescent="0.15">
      <c r="A4531" s="5" t="s">
        <v>37</v>
      </c>
      <c r="B4531" s="5" t="s">
        <v>8099</v>
      </c>
      <c r="C4531" s="9">
        <v>44179</v>
      </c>
      <c r="D4531" s="5" t="s">
        <v>16</v>
      </c>
      <c r="E4531" s="5" t="s">
        <v>8100</v>
      </c>
      <c r="F4531" s="6">
        <v>1950</v>
      </c>
    </row>
    <row r="4532" spans="1:6" x14ac:dyDescent="0.15">
      <c r="A4532" s="5" t="s">
        <v>37</v>
      </c>
      <c r="B4532" s="5" t="s">
        <v>8101</v>
      </c>
      <c r="C4532" s="9">
        <v>44180</v>
      </c>
      <c r="D4532" s="5" t="s">
        <v>16</v>
      </c>
      <c r="E4532" s="5" t="s">
        <v>8102</v>
      </c>
      <c r="F4532" s="6">
        <v>975</v>
      </c>
    </row>
    <row r="4533" spans="1:6" x14ac:dyDescent="0.15">
      <c r="A4533" s="5" t="s">
        <v>40</v>
      </c>
      <c r="B4533" s="5" t="s">
        <v>2591</v>
      </c>
      <c r="C4533" s="9">
        <v>44181</v>
      </c>
      <c r="D4533" s="5" t="s">
        <v>16</v>
      </c>
      <c r="E4533" s="5" t="s">
        <v>2592</v>
      </c>
      <c r="F4533" s="6">
        <v>7800</v>
      </c>
    </row>
    <row r="4534" spans="1:6" x14ac:dyDescent="0.15">
      <c r="A4534" s="5" t="s">
        <v>37</v>
      </c>
      <c r="B4534" s="5" t="s">
        <v>8104</v>
      </c>
      <c r="C4534" s="9">
        <v>44182</v>
      </c>
      <c r="D4534" s="5" t="s">
        <v>16</v>
      </c>
      <c r="E4534" s="5" t="s">
        <v>8105</v>
      </c>
      <c r="F4534" s="6">
        <v>10042.5</v>
      </c>
    </row>
    <row r="4535" spans="1:6" x14ac:dyDescent="0.15">
      <c r="A4535" s="5" t="s">
        <v>37</v>
      </c>
      <c r="B4535" s="5" t="s">
        <v>8103</v>
      </c>
      <c r="C4535" s="9">
        <v>44181</v>
      </c>
      <c r="D4535" s="5" t="s">
        <v>16</v>
      </c>
      <c r="E4535" s="5" t="s">
        <v>6045</v>
      </c>
      <c r="F4535" s="6">
        <v>10237.5</v>
      </c>
    </row>
    <row r="4536" spans="1:6" x14ac:dyDescent="0.15">
      <c r="A4536" s="5" t="s">
        <v>42</v>
      </c>
      <c r="B4536" s="5" t="s">
        <v>6044</v>
      </c>
      <c r="C4536" s="9">
        <v>44181</v>
      </c>
      <c r="D4536" s="5" t="s">
        <v>16</v>
      </c>
      <c r="E4536" s="5" t="s">
        <v>6045</v>
      </c>
      <c r="F4536" s="6">
        <v>2625</v>
      </c>
    </row>
    <row r="4537" spans="1:6" x14ac:dyDescent="0.15">
      <c r="A4537" s="5" t="s">
        <v>37</v>
      </c>
      <c r="B4537" s="5" t="s">
        <v>8106</v>
      </c>
      <c r="C4537" s="9">
        <v>44182</v>
      </c>
      <c r="D4537" s="5" t="s">
        <v>16</v>
      </c>
      <c r="E4537" s="5" t="s">
        <v>8107</v>
      </c>
      <c r="F4537" s="6">
        <v>9750</v>
      </c>
    </row>
    <row r="4538" spans="1:6" x14ac:dyDescent="0.15">
      <c r="A4538" s="5" t="s">
        <v>35</v>
      </c>
      <c r="B4538" s="5" t="s">
        <v>4023</v>
      </c>
      <c r="C4538" s="9">
        <v>44182</v>
      </c>
      <c r="D4538" s="5" t="s">
        <v>16</v>
      </c>
      <c r="E4538" s="5" t="s">
        <v>4024</v>
      </c>
      <c r="F4538" s="6">
        <v>1657.5</v>
      </c>
    </row>
    <row r="4539" spans="1:6" x14ac:dyDescent="0.15">
      <c r="A4539" s="5" t="s">
        <v>42</v>
      </c>
      <c r="B4539" s="5" t="s">
        <v>6046</v>
      </c>
      <c r="C4539" s="9">
        <v>44208</v>
      </c>
      <c r="D4539" s="5" t="s">
        <v>16</v>
      </c>
      <c r="E4539" s="5" t="s">
        <v>6047</v>
      </c>
      <c r="F4539" s="6">
        <v>150</v>
      </c>
    </row>
    <row r="4540" spans="1:6" x14ac:dyDescent="0.15">
      <c r="A4540" s="5" t="s">
        <v>41</v>
      </c>
      <c r="B4540" s="5" t="s">
        <v>2120</v>
      </c>
      <c r="C4540" s="9">
        <v>44228</v>
      </c>
      <c r="D4540" s="5" t="s">
        <v>16</v>
      </c>
      <c r="E4540" s="5" t="s">
        <v>2121</v>
      </c>
      <c r="F4540" s="6">
        <v>11203.5</v>
      </c>
    </row>
    <row r="4541" spans="1:6" x14ac:dyDescent="0.15">
      <c r="A4541" s="5" t="s">
        <v>37</v>
      </c>
      <c r="B4541" s="5" t="s">
        <v>8115</v>
      </c>
      <c r="C4541" s="9">
        <v>44228</v>
      </c>
      <c r="D4541" s="5" t="s">
        <v>16</v>
      </c>
      <c r="E4541" s="5" t="s">
        <v>2121</v>
      </c>
      <c r="F4541" s="6">
        <v>3900</v>
      </c>
    </row>
    <row r="4542" spans="1:6" x14ac:dyDescent="0.15">
      <c r="A4542" s="5" t="s">
        <v>35</v>
      </c>
      <c r="B4542" s="5" t="s">
        <v>4025</v>
      </c>
      <c r="C4542" s="9">
        <v>44209</v>
      </c>
      <c r="D4542" s="5" t="s">
        <v>16</v>
      </c>
      <c r="E4542" s="5" t="s">
        <v>4026</v>
      </c>
      <c r="F4542" s="6">
        <v>-2632.5</v>
      </c>
    </row>
    <row r="4543" spans="1:6" x14ac:dyDescent="0.15">
      <c r="A4543" s="5" t="s">
        <v>35</v>
      </c>
      <c r="B4543" s="5" t="s">
        <v>4025</v>
      </c>
      <c r="C4543" s="9">
        <v>44209</v>
      </c>
      <c r="D4543" s="5" t="s">
        <v>16</v>
      </c>
      <c r="E4543" s="5" t="s">
        <v>4026</v>
      </c>
      <c r="F4543" s="6">
        <v>-682.5</v>
      </c>
    </row>
    <row r="4544" spans="1:6" x14ac:dyDescent="0.15">
      <c r="A4544" s="5" t="s">
        <v>35</v>
      </c>
      <c r="B4544" s="5" t="s">
        <v>4027</v>
      </c>
      <c r="C4544" s="9">
        <v>44209</v>
      </c>
      <c r="D4544" s="5" t="s">
        <v>16</v>
      </c>
      <c r="E4544" s="5" t="s">
        <v>4026</v>
      </c>
      <c r="F4544" s="6">
        <v>2632.5</v>
      </c>
    </row>
    <row r="4545" spans="1:6" x14ac:dyDescent="0.15">
      <c r="A4545" s="5" t="s">
        <v>64</v>
      </c>
      <c r="B4545" s="5" t="s">
        <v>6140</v>
      </c>
      <c r="C4545" s="9">
        <v>44215</v>
      </c>
      <c r="D4545" s="5" t="s">
        <v>16</v>
      </c>
      <c r="E4545" s="5" t="s">
        <v>6141</v>
      </c>
      <c r="F4545" s="6">
        <v>3600</v>
      </c>
    </row>
    <row r="4546" spans="1:6" x14ac:dyDescent="0.15">
      <c r="A4546" s="5" t="s">
        <v>53</v>
      </c>
      <c r="B4546" s="5" t="s">
        <v>8514</v>
      </c>
      <c r="C4546" s="9">
        <v>44215</v>
      </c>
      <c r="D4546" s="5" t="s">
        <v>16</v>
      </c>
      <c r="E4546" s="5" t="s">
        <v>6141</v>
      </c>
      <c r="F4546" s="6">
        <v>18427.5</v>
      </c>
    </row>
    <row r="4547" spans="1:6" x14ac:dyDescent="0.15">
      <c r="A4547" s="5" t="s">
        <v>37</v>
      </c>
      <c r="B4547" s="5" t="s">
        <v>8108</v>
      </c>
      <c r="C4547" s="9">
        <v>44215</v>
      </c>
      <c r="D4547" s="5" t="s">
        <v>16</v>
      </c>
      <c r="E4547" s="5" t="s">
        <v>6141</v>
      </c>
      <c r="F4547" s="6">
        <v>2047.5</v>
      </c>
    </row>
    <row r="4548" spans="1:6" x14ac:dyDescent="0.15">
      <c r="A4548" s="5" t="s">
        <v>37</v>
      </c>
      <c r="B4548" s="5" t="s">
        <v>8109</v>
      </c>
      <c r="C4548" s="9">
        <v>44221</v>
      </c>
      <c r="D4548" s="5" t="s">
        <v>16</v>
      </c>
      <c r="E4548" s="5" t="s">
        <v>8110</v>
      </c>
      <c r="F4548" s="6">
        <v>25350</v>
      </c>
    </row>
    <row r="4549" spans="1:6" x14ac:dyDescent="0.15">
      <c r="A4549" s="5" t="s">
        <v>37</v>
      </c>
      <c r="B4549" s="5" t="s">
        <v>8112</v>
      </c>
      <c r="C4549" s="9">
        <v>44222</v>
      </c>
      <c r="D4549" s="5" t="s">
        <v>16</v>
      </c>
      <c r="E4549" s="5" t="s">
        <v>8113</v>
      </c>
      <c r="F4549" s="6">
        <v>25350</v>
      </c>
    </row>
    <row r="4550" spans="1:6" x14ac:dyDescent="0.15">
      <c r="A4550" s="5" t="s">
        <v>37</v>
      </c>
      <c r="B4550" s="5" t="s">
        <v>8114</v>
      </c>
      <c r="C4550" s="9">
        <v>44222</v>
      </c>
      <c r="D4550" s="5" t="s">
        <v>16</v>
      </c>
      <c r="E4550" s="5" t="s">
        <v>6049</v>
      </c>
      <c r="F4550" s="6">
        <v>23400</v>
      </c>
    </row>
    <row r="4551" spans="1:6" x14ac:dyDescent="0.15">
      <c r="A4551" s="5" t="s">
        <v>42</v>
      </c>
      <c r="B4551" s="5" t="s">
        <v>6048</v>
      </c>
      <c r="C4551" s="9">
        <v>44222</v>
      </c>
      <c r="D4551" s="5" t="s">
        <v>16</v>
      </c>
      <c r="E4551" s="5" t="s">
        <v>6049</v>
      </c>
      <c r="F4551" s="6">
        <v>1500</v>
      </c>
    </row>
    <row r="4552" spans="1:6" x14ac:dyDescent="0.15">
      <c r="A4552" s="5" t="s">
        <v>43</v>
      </c>
      <c r="B4552" s="5" t="s">
        <v>5444</v>
      </c>
      <c r="C4552" s="9">
        <v>44222</v>
      </c>
      <c r="D4552" s="5" t="s">
        <v>16</v>
      </c>
      <c r="E4552" s="5" t="s">
        <v>5445</v>
      </c>
      <c r="F4552" s="6">
        <v>17072</v>
      </c>
    </row>
    <row r="4553" spans="1:6" x14ac:dyDescent="0.15">
      <c r="A4553" s="5" t="s">
        <v>63</v>
      </c>
      <c r="B4553" s="5" t="s">
        <v>2287</v>
      </c>
      <c r="C4553" s="9">
        <v>44222</v>
      </c>
      <c r="D4553" s="5" t="s">
        <v>16</v>
      </c>
      <c r="E4553" s="5" t="s">
        <v>2288</v>
      </c>
      <c r="F4553" s="6">
        <v>3880</v>
      </c>
    </row>
    <row r="4554" spans="1:6" x14ac:dyDescent="0.15">
      <c r="A4554" s="5" t="s">
        <v>51</v>
      </c>
      <c r="B4554" s="5" t="s">
        <v>4258</v>
      </c>
      <c r="C4554" s="9">
        <v>44222</v>
      </c>
      <c r="D4554" s="5" t="s">
        <v>16</v>
      </c>
      <c r="E4554" s="5" t="s">
        <v>2288</v>
      </c>
      <c r="F4554" s="6">
        <v>5850</v>
      </c>
    </row>
    <row r="4555" spans="1:6" x14ac:dyDescent="0.15">
      <c r="A4555" s="5" t="s">
        <v>58</v>
      </c>
      <c r="B4555" s="5" t="s">
        <v>6199</v>
      </c>
      <c r="C4555" s="9">
        <v>44222</v>
      </c>
      <c r="D4555" s="5" t="s">
        <v>16</v>
      </c>
      <c r="E4555" s="5" t="s">
        <v>2288</v>
      </c>
      <c r="F4555" s="6">
        <v>3375</v>
      </c>
    </row>
    <row r="4556" spans="1:6" x14ac:dyDescent="0.15">
      <c r="A4556" s="5" t="s">
        <v>158</v>
      </c>
      <c r="B4556" s="5" t="s">
        <v>8579</v>
      </c>
      <c r="C4556" s="9">
        <v>44222</v>
      </c>
      <c r="D4556" s="5" t="s">
        <v>16</v>
      </c>
      <c r="E4556" s="5" t="s">
        <v>2288</v>
      </c>
      <c r="F4556" s="6">
        <v>5850</v>
      </c>
    </row>
    <row r="4557" spans="1:6" x14ac:dyDescent="0.15">
      <c r="A4557" s="5" t="s">
        <v>43</v>
      </c>
      <c r="B4557" s="5" t="s">
        <v>5442</v>
      </c>
      <c r="C4557" s="9">
        <v>44221</v>
      </c>
      <c r="D4557" s="5" t="s">
        <v>16</v>
      </c>
      <c r="E4557" s="5" t="s">
        <v>5443</v>
      </c>
      <c r="F4557" s="6">
        <v>7760</v>
      </c>
    </row>
    <row r="4558" spans="1:6" x14ac:dyDescent="0.15">
      <c r="A4558" s="5" t="s">
        <v>37</v>
      </c>
      <c r="B4558" s="5" t="s">
        <v>8111</v>
      </c>
      <c r="C4558" s="9">
        <v>44221</v>
      </c>
      <c r="D4558" s="5" t="s">
        <v>16</v>
      </c>
      <c r="E4558" s="5" t="s">
        <v>5443</v>
      </c>
      <c r="F4558" s="6">
        <v>11700</v>
      </c>
    </row>
    <row r="4559" spans="1:6" x14ac:dyDescent="0.15">
      <c r="A4559" s="5" t="s">
        <v>57</v>
      </c>
      <c r="B4559" s="5" t="s">
        <v>5615</v>
      </c>
      <c r="C4559" s="9">
        <v>44221</v>
      </c>
      <c r="D4559" s="5" t="s">
        <v>16</v>
      </c>
      <c r="E4559" s="5" t="s">
        <v>5443</v>
      </c>
      <c r="F4559" s="6">
        <v>5820</v>
      </c>
    </row>
    <row r="4560" spans="1:6" x14ac:dyDescent="0.15">
      <c r="A4560" s="5" t="s">
        <v>37</v>
      </c>
      <c r="B4560" s="5" t="s">
        <v>8116</v>
      </c>
      <c r="C4560" s="9">
        <v>44238</v>
      </c>
      <c r="D4560" s="5" t="s">
        <v>16</v>
      </c>
      <c r="E4560" s="5" t="s">
        <v>8117</v>
      </c>
      <c r="F4560" s="6">
        <v>23400</v>
      </c>
    </row>
    <row r="4561" spans="1:6" x14ac:dyDescent="0.15">
      <c r="A4561" s="5" t="s">
        <v>37</v>
      </c>
      <c r="B4561" s="5" t="s">
        <v>8118</v>
      </c>
      <c r="C4561" s="9">
        <v>44238</v>
      </c>
      <c r="D4561" s="5" t="s">
        <v>16</v>
      </c>
      <c r="E4561" s="5" t="s">
        <v>8119</v>
      </c>
      <c r="F4561" s="6">
        <v>23400</v>
      </c>
    </row>
    <row r="4562" spans="1:6" x14ac:dyDescent="0.15">
      <c r="A4562" s="5" t="s">
        <v>37</v>
      </c>
      <c r="B4562" s="5" t="s">
        <v>8120</v>
      </c>
      <c r="C4562" s="9">
        <v>44238</v>
      </c>
      <c r="D4562" s="5" t="s">
        <v>16</v>
      </c>
      <c r="E4562" s="5" t="s">
        <v>8121</v>
      </c>
      <c r="F4562" s="6">
        <v>23400</v>
      </c>
    </row>
    <row r="4563" spans="1:6" x14ac:dyDescent="0.15">
      <c r="A4563" s="5" t="s">
        <v>8588</v>
      </c>
      <c r="B4563" s="5" t="s">
        <v>8607</v>
      </c>
      <c r="C4563" s="9">
        <v>44270</v>
      </c>
      <c r="D4563" s="5" t="s">
        <v>16</v>
      </c>
      <c r="E4563" s="5" t="s">
        <v>5717</v>
      </c>
      <c r="F4563" s="6">
        <v>19500</v>
      </c>
    </row>
    <row r="4564" spans="1:6" x14ac:dyDescent="0.15">
      <c r="A4564" s="5" t="s">
        <v>66</v>
      </c>
      <c r="B4564" s="5" t="s">
        <v>5716</v>
      </c>
      <c r="C4564" s="9">
        <v>44270</v>
      </c>
      <c r="D4564" s="5" t="s">
        <v>16</v>
      </c>
      <c r="E4564" s="5" t="s">
        <v>5717</v>
      </c>
      <c r="F4564" s="6">
        <v>5820</v>
      </c>
    </row>
    <row r="4565" spans="1:6" x14ac:dyDescent="0.15">
      <c r="A4565" s="5" t="s">
        <v>37</v>
      </c>
      <c r="B4565" s="5" t="s">
        <v>8122</v>
      </c>
      <c r="C4565" s="9">
        <v>44250</v>
      </c>
      <c r="D4565" s="5" t="s">
        <v>16</v>
      </c>
      <c r="E4565" s="5" t="s">
        <v>8123</v>
      </c>
      <c r="F4565" s="6">
        <v>26617.5</v>
      </c>
    </row>
    <row r="4566" spans="1:6" x14ac:dyDescent="0.15">
      <c r="A4566" s="5" t="s">
        <v>41</v>
      </c>
      <c r="B4566" s="5" t="s">
        <v>2122</v>
      </c>
      <c r="C4566" s="9">
        <v>44252</v>
      </c>
      <c r="D4566" s="5" t="s">
        <v>16</v>
      </c>
      <c r="E4566" s="5" t="s">
        <v>2123</v>
      </c>
      <c r="F4566" s="6">
        <v>2134</v>
      </c>
    </row>
    <row r="4567" spans="1:6" x14ac:dyDescent="0.15">
      <c r="A4567" s="5" t="s">
        <v>35</v>
      </c>
      <c r="B4567" s="5" t="s">
        <v>4028</v>
      </c>
      <c r="C4567" s="9">
        <v>44259</v>
      </c>
      <c r="D4567" s="5" t="s">
        <v>16</v>
      </c>
      <c r="E4567" s="5" t="s">
        <v>4029</v>
      </c>
      <c r="F4567" s="6">
        <v>3510</v>
      </c>
    </row>
    <row r="4568" spans="1:6" x14ac:dyDescent="0.15">
      <c r="A4568" s="5" t="s">
        <v>41</v>
      </c>
      <c r="B4568" s="5" t="s">
        <v>2124</v>
      </c>
      <c r="C4568" s="9">
        <v>44263</v>
      </c>
      <c r="D4568" s="5" t="s">
        <v>16</v>
      </c>
      <c r="E4568" s="5" t="s">
        <v>2125</v>
      </c>
      <c r="F4568" s="6">
        <v>1018.5</v>
      </c>
    </row>
    <row r="4569" spans="1:6" x14ac:dyDescent="0.15">
      <c r="A4569" s="5" t="s">
        <v>35</v>
      </c>
      <c r="B4569" s="5" t="s">
        <v>4030</v>
      </c>
      <c r="C4569" s="9">
        <v>44263</v>
      </c>
      <c r="D4569" s="5" t="s">
        <v>16</v>
      </c>
      <c r="E4569" s="5" t="s">
        <v>2125</v>
      </c>
      <c r="F4569" s="6">
        <v>195</v>
      </c>
    </row>
    <row r="4570" spans="1:6" x14ac:dyDescent="0.15">
      <c r="A4570" s="5" t="s">
        <v>43</v>
      </c>
      <c r="B4570" s="5" t="s">
        <v>5446</v>
      </c>
      <c r="C4570" s="9">
        <v>44263</v>
      </c>
      <c r="D4570" s="5" t="s">
        <v>16</v>
      </c>
      <c r="E4570" s="5" t="s">
        <v>5447</v>
      </c>
      <c r="F4570" s="6">
        <v>485</v>
      </c>
    </row>
    <row r="4571" spans="1:6" x14ac:dyDescent="0.15">
      <c r="A4571" s="5" t="s">
        <v>37</v>
      </c>
      <c r="B4571" s="5" t="s">
        <v>8124</v>
      </c>
      <c r="C4571" s="9">
        <v>44263</v>
      </c>
      <c r="D4571" s="5" t="s">
        <v>16</v>
      </c>
      <c r="E4571" s="5" t="s">
        <v>5447</v>
      </c>
      <c r="F4571" s="6">
        <v>975</v>
      </c>
    </row>
    <row r="4572" spans="1:6" x14ac:dyDescent="0.15">
      <c r="A4572" s="5" t="s">
        <v>44</v>
      </c>
      <c r="B4572" s="5" t="s">
        <v>4445</v>
      </c>
      <c r="C4572" s="9">
        <v>44266</v>
      </c>
      <c r="D4572" s="5" t="s">
        <v>16</v>
      </c>
      <c r="E4572" s="5" t="s">
        <v>4446</v>
      </c>
      <c r="F4572" s="6">
        <v>975</v>
      </c>
    </row>
    <row r="4573" spans="1:6" x14ac:dyDescent="0.15">
      <c r="A4573" s="5" t="s">
        <v>42</v>
      </c>
      <c r="B4573" s="5" t="s">
        <v>6050</v>
      </c>
      <c r="C4573" s="9">
        <v>44265</v>
      </c>
      <c r="D4573" s="5" t="s">
        <v>16</v>
      </c>
      <c r="E4573" s="5" t="s">
        <v>6051</v>
      </c>
      <c r="F4573" s="6">
        <v>1500</v>
      </c>
    </row>
    <row r="4574" spans="1:6" x14ac:dyDescent="0.15">
      <c r="A4574" s="5" t="s">
        <v>35</v>
      </c>
      <c r="B4574" s="5" t="s">
        <v>4031</v>
      </c>
      <c r="C4574" s="9">
        <v>44266</v>
      </c>
      <c r="D4574" s="5" t="s">
        <v>16</v>
      </c>
      <c r="E4574" s="5" t="s">
        <v>4032</v>
      </c>
      <c r="F4574" s="6">
        <v>15600</v>
      </c>
    </row>
    <row r="4575" spans="1:6" x14ac:dyDescent="0.15">
      <c r="A4575" s="5" t="s">
        <v>37</v>
      </c>
      <c r="B4575" s="5" t="s">
        <v>8127</v>
      </c>
      <c r="C4575" s="9">
        <v>44266</v>
      </c>
      <c r="D4575" s="5" t="s">
        <v>16</v>
      </c>
      <c r="E4575" s="5" t="s">
        <v>4032</v>
      </c>
      <c r="F4575" s="6">
        <v>3900</v>
      </c>
    </row>
    <row r="4576" spans="1:6" x14ac:dyDescent="0.15">
      <c r="A4576" s="5" t="s">
        <v>43</v>
      </c>
      <c r="B4576" s="5" t="s">
        <v>5448</v>
      </c>
      <c r="C4576" s="9">
        <v>44266</v>
      </c>
      <c r="D4576" s="5" t="s">
        <v>16</v>
      </c>
      <c r="E4576" s="5" t="s">
        <v>4032</v>
      </c>
      <c r="F4576" s="6">
        <v>4268</v>
      </c>
    </row>
    <row r="4577" spans="1:6" x14ac:dyDescent="0.15">
      <c r="A4577" s="5" t="s">
        <v>37</v>
      </c>
      <c r="B4577" s="5" t="s">
        <v>8125</v>
      </c>
      <c r="C4577" s="9">
        <v>44265</v>
      </c>
      <c r="D4577" s="5" t="s">
        <v>16</v>
      </c>
      <c r="E4577" s="5" t="s">
        <v>8126</v>
      </c>
      <c r="F4577" s="6">
        <v>195</v>
      </c>
    </row>
    <row r="4578" spans="1:6" x14ac:dyDescent="0.15">
      <c r="A4578" s="5" t="s">
        <v>43</v>
      </c>
      <c r="B4578" s="5" t="s">
        <v>5449</v>
      </c>
      <c r="C4578" s="9">
        <v>44266</v>
      </c>
      <c r="D4578" s="5" t="s">
        <v>16</v>
      </c>
      <c r="E4578" s="5" t="s">
        <v>5450</v>
      </c>
      <c r="F4578" s="6">
        <v>1600.5</v>
      </c>
    </row>
    <row r="4579" spans="1:6" x14ac:dyDescent="0.15">
      <c r="A4579" s="5" t="s">
        <v>37</v>
      </c>
      <c r="B4579" s="5" t="s">
        <v>8128</v>
      </c>
      <c r="C4579" s="9">
        <v>44271</v>
      </c>
      <c r="D4579" s="5" t="s">
        <v>16</v>
      </c>
      <c r="E4579" s="5" t="s">
        <v>8129</v>
      </c>
      <c r="F4579" s="6">
        <v>26617.5</v>
      </c>
    </row>
    <row r="4580" spans="1:6" x14ac:dyDescent="0.15">
      <c r="A4580" s="5" t="s">
        <v>42</v>
      </c>
      <c r="B4580" s="5" t="s">
        <v>6052</v>
      </c>
      <c r="C4580" s="9">
        <v>44277</v>
      </c>
      <c r="D4580" s="5" t="s">
        <v>16</v>
      </c>
      <c r="E4580" s="5" t="s">
        <v>5452</v>
      </c>
      <c r="F4580" s="6">
        <v>9000</v>
      </c>
    </row>
    <row r="4581" spans="1:6" x14ac:dyDescent="0.15">
      <c r="A4581" s="5" t="s">
        <v>43</v>
      </c>
      <c r="B4581" s="5" t="s">
        <v>5451</v>
      </c>
      <c r="C4581" s="9">
        <v>44277</v>
      </c>
      <c r="D4581" s="5" t="s">
        <v>16</v>
      </c>
      <c r="E4581" s="5" t="s">
        <v>5452</v>
      </c>
      <c r="F4581" s="6">
        <v>13580</v>
      </c>
    </row>
    <row r="4582" spans="1:6" x14ac:dyDescent="0.15">
      <c r="A4582" s="5" t="s">
        <v>58</v>
      </c>
      <c r="B4582" s="5" t="s">
        <v>6200</v>
      </c>
      <c r="C4582" s="9">
        <v>44284</v>
      </c>
      <c r="D4582" s="5" t="s">
        <v>16</v>
      </c>
      <c r="E4582" s="5" t="s">
        <v>2683</v>
      </c>
      <c r="F4582" s="6">
        <v>9000</v>
      </c>
    </row>
    <row r="4583" spans="1:6" x14ac:dyDescent="0.15">
      <c r="A4583" s="5" t="s">
        <v>64</v>
      </c>
      <c r="B4583" s="5" t="s">
        <v>6142</v>
      </c>
      <c r="C4583" s="9">
        <v>44284</v>
      </c>
      <c r="D4583" s="5" t="s">
        <v>16</v>
      </c>
      <c r="E4583" s="5" t="s">
        <v>2683</v>
      </c>
      <c r="F4583" s="6">
        <v>3000</v>
      </c>
    </row>
    <row r="4584" spans="1:6" x14ac:dyDescent="0.15">
      <c r="A4584" s="5" t="s">
        <v>174</v>
      </c>
      <c r="B4584" s="5" t="s">
        <v>2682</v>
      </c>
      <c r="C4584" s="9">
        <v>44284</v>
      </c>
      <c r="D4584" s="5" t="s">
        <v>16</v>
      </c>
      <c r="E4584" s="5" t="s">
        <v>2683</v>
      </c>
      <c r="F4584" s="6">
        <v>1500</v>
      </c>
    </row>
    <row r="4585" spans="1:6" x14ac:dyDescent="0.15">
      <c r="A4585" s="5" t="s">
        <v>51</v>
      </c>
      <c r="B4585" s="5" t="s">
        <v>4259</v>
      </c>
      <c r="C4585" s="9">
        <v>44284</v>
      </c>
      <c r="D4585" s="5" t="s">
        <v>16</v>
      </c>
      <c r="E4585" s="5" t="s">
        <v>2683</v>
      </c>
      <c r="F4585" s="6">
        <v>3900</v>
      </c>
    </row>
    <row r="4586" spans="1:6" x14ac:dyDescent="0.15">
      <c r="A4586" s="5" t="s">
        <v>37</v>
      </c>
      <c r="B4586" s="5" t="s">
        <v>8130</v>
      </c>
      <c r="C4586" s="9">
        <v>44274</v>
      </c>
      <c r="D4586" s="5" t="s">
        <v>16</v>
      </c>
      <c r="E4586" s="5" t="s">
        <v>8131</v>
      </c>
      <c r="F4586" s="6">
        <v>2047.5</v>
      </c>
    </row>
    <row r="4587" spans="1:6" x14ac:dyDescent="0.15">
      <c r="A4587" s="5" t="s">
        <v>43</v>
      </c>
      <c r="B4587" s="5" t="s">
        <v>5453</v>
      </c>
      <c r="C4587" s="9">
        <v>44277</v>
      </c>
      <c r="D4587" s="5" t="s">
        <v>16</v>
      </c>
      <c r="E4587" s="5" t="s">
        <v>5454</v>
      </c>
      <c r="F4587" s="6">
        <v>4122.5</v>
      </c>
    </row>
    <row r="4588" spans="1:6" x14ac:dyDescent="0.15">
      <c r="A4588" s="5" t="s">
        <v>35</v>
      </c>
      <c r="B4588" s="5" t="s">
        <v>4033</v>
      </c>
      <c r="C4588" s="9">
        <v>44277</v>
      </c>
      <c r="D4588" s="5" t="s">
        <v>16</v>
      </c>
      <c r="E4588" s="5" t="s">
        <v>4034</v>
      </c>
      <c r="F4588" s="6">
        <v>9262.5</v>
      </c>
    </row>
    <row r="4589" spans="1:6" x14ac:dyDescent="0.15">
      <c r="A4589" s="5" t="s">
        <v>37</v>
      </c>
      <c r="B4589" s="5" t="s">
        <v>8134</v>
      </c>
      <c r="C4589" s="9">
        <v>44277</v>
      </c>
      <c r="D4589" s="5" t="s">
        <v>16</v>
      </c>
      <c r="E4589" s="5" t="s">
        <v>8135</v>
      </c>
      <c r="F4589" s="6">
        <v>292.5</v>
      </c>
    </row>
    <row r="4590" spans="1:6" x14ac:dyDescent="0.15">
      <c r="A4590" s="5" t="s">
        <v>37</v>
      </c>
      <c r="B4590" s="5" t="s">
        <v>8136</v>
      </c>
      <c r="C4590" s="9">
        <v>44278</v>
      </c>
      <c r="D4590" s="5" t="s">
        <v>16</v>
      </c>
      <c r="E4590" s="5" t="s">
        <v>6054</v>
      </c>
      <c r="F4590" s="6">
        <v>3510</v>
      </c>
    </row>
    <row r="4591" spans="1:6" x14ac:dyDescent="0.15">
      <c r="A4591" s="5" t="s">
        <v>42</v>
      </c>
      <c r="B4591" s="5" t="s">
        <v>6053</v>
      </c>
      <c r="C4591" s="9">
        <v>44278</v>
      </c>
      <c r="D4591" s="5" t="s">
        <v>16</v>
      </c>
      <c r="E4591" s="5" t="s">
        <v>6054</v>
      </c>
      <c r="F4591" s="6">
        <v>8025</v>
      </c>
    </row>
    <row r="4592" spans="1:6" x14ac:dyDescent="0.15">
      <c r="A4592" s="5" t="s">
        <v>37</v>
      </c>
      <c r="B4592" s="5" t="s">
        <v>8137</v>
      </c>
      <c r="C4592" s="9">
        <v>44278</v>
      </c>
      <c r="D4592" s="5" t="s">
        <v>16</v>
      </c>
      <c r="E4592" s="5" t="s">
        <v>8138</v>
      </c>
      <c r="F4592" s="6">
        <v>487.5</v>
      </c>
    </row>
    <row r="4593" spans="1:6" x14ac:dyDescent="0.15">
      <c r="A4593" s="5" t="s">
        <v>53</v>
      </c>
      <c r="B4593" s="5" t="s">
        <v>8515</v>
      </c>
      <c r="C4593" s="9">
        <v>44281</v>
      </c>
      <c r="D4593" s="5" t="s">
        <v>16</v>
      </c>
      <c r="E4593" s="5" t="s">
        <v>8516</v>
      </c>
      <c r="F4593" s="6">
        <v>12285</v>
      </c>
    </row>
    <row r="4594" spans="1:6" x14ac:dyDescent="0.15">
      <c r="A4594" s="5" t="s">
        <v>57</v>
      </c>
      <c r="B4594" s="5" t="s">
        <v>5616</v>
      </c>
      <c r="C4594" s="9">
        <v>44293</v>
      </c>
      <c r="D4594" s="5" t="s">
        <v>16</v>
      </c>
      <c r="E4594" s="5" t="s">
        <v>5617</v>
      </c>
      <c r="F4594" s="6">
        <v>5820</v>
      </c>
    </row>
    <row r="4595" spans="1:6" x14ac:dyDescent="0.15">
      <c r="A4595" s="5" t="s">
        <v>148</v>
      </c>
      <c r="B4595" s="5" t="s">
        <v>5697</v>
      </c>
      <c r="C4595" s="9">
        <v>44293</v>
      </c>
      <c r="D4595" s="5" t="s">
        <v>16</v>
      </c>
      <c r="E4595" s="5" t="s">
        <v>5617</v>
      </c>
      <c r="F4595" s="6">
        <v>2910</v>
      </c>
    </row>
    <row r="4596" spans="1:6" x14ac:dyDescent="0.15">
      <c r="A4596" s="5" t="s">
        <v>58</v>
      </c>
      <c r="B4596" s="5" t="s">
        <v>6201</v>
      </c>
      <c r="C4596" s="9">
        <v>44293</v>
      </c>
      <c r="D4596" s="5" t="s">
        <v>16</v>
      </c>
      <c r="E4596" s="5" t="s">
        <v>5617</v>
      </c>
      <c r="F4596" s="6">
        <v>2250</v>
      </c>
    </row>
    <row r="4597" spans="1:6" x14ac:dyDescent="0.15">
      <c r="A4597" s="5" t="s">
        <v>158</v>
      </c>
      <c r="B4597" s="5" t="s">
        <v>8580</v>
      </c>
      <c r="C4597" s="9">
        <v>44293</v>
      </c>
      <c r="D4597" s="5" t="s">
        <v>16</v>
      </c>
      <c r="E4597" s="5" t="s">
        <v>5617</v>
      </c>
      <c r="F4597" s="6">
        <v>7020</v>
      </c>
    </row>
    <row r="4598" spans="1:6" x14ac:dyDescent="0.15">
      <c r="A4598" s="5" t="s">
        <v>37</v>
      </c>
      <c r="B4598" s="5" t="s">
        <v>8132</v>
      </c>
      <c r="C4598" s="9">
        <v>44274</v>
      </c>
      <c r="D4598" s="5" t="s">
        <v>16</v>
      </c>
      <c r="E4598" s="5" t="s">
        <v>8133</v>
      </c>
      <c r="F4598" s="6">
        <v>2047.5</v>
      </c>
    </row>
    <row r="4599" spans="1:6" x14ac:dyDescent="0.15">
      <c r="A4599" s="5" t="s">
        <v>37</v>
      </c>
      <c r="B4599" s="5" t="s">
        <v>8139</v>
      </c>
      <c r="C4599" s="9">
        <v>44279</v>
      </c>
      <c r="D4599" s="5" t="s">
        <v>16</v>
      </c>
      <c r="E4599" s="5" t="s">
        <v>8140</v>
      </c>
      <c r="F4599" s="6">
        <v>1072.5</v>
      </c>
    </row>
    <row r="4600" spans="1:6" x14ac:dyDescent="0.15">
      <c r="A4600" s="5" t="s">
        <v>40</v>
      </c>
      <c r="B4600" s="5" t="s">
        <v>2593</v>
      </c>
      <c r="C4600" s="9">
        <v>44279</v>
      </c>
      <c r="D4600" s="5" t="s">
        <v>16</v>
      </c>
      <c r="E4600" s="5" t="s">
        <v>2127</v>
      </c>
      <c r="F4600" s="6">
        <v>6525</v>
      </c>
    </row>
    <row r="4601" spans="1:6" x14ac:dyDescent="0.15">
      <c r="A4601" s="5" t="s">
        <v>41</v>
      </c>
      <c r="B4601" s="5" t="s">
        <v>2126</v>
      </c>
      <c r="C4601" s="9">
        <v>44279</v>
      </c>
      <c r="D4601" s="5" t="s">
        <v>16</v>
      </c>
      <c r="E4601" s="5" t="s">
        <v>2127</v>
      </c>
      <c r="F4601" s="6">
        <v>1067</v>
      </c>
    </row>
    <row r="4602" spans="1:6" x14ac:dyDescent="0.15">
      <c r="A4602" s="5" t="s">
        <v>37</v>
      </c>
      <c r="B4602" s="5" t="s">
        <v>8141</v>
      </c>
      <c r="C4602" s="9">
        <v>44280</v>
      </c>
      <c r="D4602" s="5" t="s">
        <v>16</v>
      </c>
      <c r="E4602" s="5" t="s">
        <v>8142</v>
      </c>
      <c r="F4602" s="6">
        <v>-2047.5</v>
      </c>
    </row>
    <row r="4603" spans="1:6" x14ac:dyDescent="0.15">
      <c r="A4603" s="5" t="s">
        <v>43</v>
      </c>
      <c r="B4603" s="5" t="s">
        <v>5455</v>
      </c>
      <c r="C4603" s="9">
        <v>44280</v>
      </c>
      <c r="D4603" s="5" t="s">
        <v>16</v>
      </c>
      <c r="E4603" s="5" t="s">
        <v>2129</v>
      </c>
      <c r="F4603" s="6">
        <v>2134</v>
      </c>
    </row>
    <row r="4604" spans="1:6" x14ac:dyDescent="0.15">
      <c r="A4604" s="5" t="s">
        <v>41</v>
      </c>
      <c r="B4604" s="5" t="s">
        <v>2128</v>
      </c>
      <c r="C4604" s="9">
        <v>44280</v>
      </c>
      <c r="D4604" s="5" t="s">
        <v>16</v>
      </c>
      <c r="E4604" s="5" t="s">
        <v>2129</v>
      </c>
      <c r="F4604" s="6">
        <v>1212.5</v>
      </c>
    </row>
    <row r="4605" spans="1:6" x14ac:dyDescent="0.15">
      <c r="A4605" s="5" t="s">
        <v>37</v>
      </c>
      <c r="B4605" s="5" t="s">
        <v>8143</v>
      </c>
      <c r="C4605" s="9">
        <v>44281</v>
      </c>
      <c r="D4605" s="5" t="s">
        <v>16</v>
      </c>
      <c r="E4605" s="5" t="s">
        <v>5457</v>
      </c>
      <c r="F4605" s="6">
        <v>23400</v>
      </c>
    </row>
    <row r="4606" spans="1:6" x14ac:dyDescent="0.15">
      <c r="A4606" s="5" t="s">
        <v>43</v>
      </c>
      <c r="B4606" s="5" t="s">
        <v>5456</v>
      </c>
      <c r="C4606" s="9">
        <v>44281</v>
      </c>
      <c r="D4606" s="5" t="s">
        <v>16</v>
      </c>
      <c r="E4606" s="5" t="s">
        <v>5457</v>
      </c>
      <c r="F4606" s="6">
        <v>1940</v>
      </c>
    </row>
    <row r="4607" spans="1:6" x14ac:dyDescent="0.15">
      <c r="A4607" s="5" t="s">
        <v>42</v>
      </c>
      <c r="B4607" s="5" t="s">
        <v>6055</v>
      </c>
      <c r="C4607" s="9">
        <v>44284</v>
      </c>
      <c r="D4607" s="5" t="s">
        <v>16</v>
      </c>
      <c r="E4607" s="5" t="s">
        <v>6056</v>
      </c>
      <c r="F4607" s="6">
        <v>8100</v>
      </c>
    </row>
    <row r="4608" spans="1:6" x14ac:dyDescent="0.15">
      <c r="A4608" s="5" t="s">
        <v>37</v>
      </c>
      <c r="B4608" s="5" t="s">
        <v>8144</v>
      </c>
      <c r="C4608" s="9">
        <v>44281</v>
      </c>
      <c r="D4608" s="5" t="s">
        <v>16</v>
      </c>
      <c r="E4608" s="5" t="s">
        <v>5459</v>
      </c>
      <c r="F4608" s="6">
        <v>4680</v>
      </c>
    </row>
    <row r="4609" spans="1:6" x14ac:dyDescent="0.15">
      <c r="A4609" s="5" t="s">
        <v>43</v>
      </c>
      <c r="B4609" s="5" t="s">
        <v>5458</v>
      </c>
      <c r="C4609" s="9">
        <v>44281</v>
      </c>
      <c r="D4609" s="5" t="s">
        <v>16</v>
      </c>
      <c r="E4609" s="5" t="s">
        <v>5459</v>
      </c>
      <c r="F4609" s="6">
        <v>1164</v>
      </c>
    </row>
    <row r="4610" spans="1:6" x14ac:dyDescent="0.15">
      <c r="A4610" s="5" t="s">
        <v>37</v>
      </c>
      <c r="B4610" s="5" t="s">
        <v>8145</v>
      </c>
      <c r="C4610" s="9">
        <v>44284</v>
      </c>
      <c r="D4610" s="5" t="s">
        <v>16</v>
      </c>
      <c r="E4610" s="5" t="s">
        <v>8146</v>
      </c>
      <c r="F4610" s="6">
        <v>2242.5</v>
      </c>
    </row>
    <row r="4611" spans="1:6" x14ac:dyDescent="0.15">
      <c r="A4611" s="5" t="s">
        <v>37</v>
      </c>
      <c r="B4611" s="5" t="s">
        <v>8147</v>
      </c>
      <c r="C4611" s="9">
        <v>44284</v>
      </c>
      <c r="D4611" s="5" t="s">
        <v>16</v>
      </c>
      <c r="E4611" s="5" t="s">
        <v>8148</v>
      </c>
      <c r="F4611" s="6">
        <v>1657.5</v>
      </c>
    </row>
    <row r="4612" spans="1:6" x14ac:dyDescent="0.15">
      <c r="A4612" s="5" t="s">
        <v>63</v>
      </c>
      <c r="B4612" s="5" t="s">
        <v>2289</v>
      </c>
      <c r="C4612" s="9">
        <v>44284</v>
      </c>
      <c r="D4612" s="5" t="s">
        <v>16</v>
      </c>
      <c r="E4612" s="5" t="s">
        <v>2290</v>
      </c>
      <c r="F4612" s="6">
        <v>824.5</v>
      </c>
    </row>
    <row r="4613" spans="1:6" x14ac:dyDescent="0.15">
      <c r="A4613" s="5" t="s">
        <v>35</v>
      </c>
      <c r="B4613" s="5" t="s">
        <v>4035</v>
      </c>
      <c r="C4613" s="9">
        <v>44285</v>
      </c>
      <c r="D4613" s="5" t="s">
        <v>16</v>
      </c>
      <c r="E4613" s="5" t="s">
        <v>2595</v>
      </c>
      <c r="F4613" s="6">
        <v>12675</v>
      </c>
    </row>
    <row r="4614" spans="1:6" x14ac:dyDescent="0.15">
      <c r="A4614" s="5" t="s">
        <v>40</v>
      </c>
      <c r="B4614" s="5" t="s">
        <v>2594</v>
      </c>
      <c r="C4614" s="9">
        <v>44285</v>
      </c>
      <c r="D4614" s="5" t="s">
        <v>16</v>
      </c>
      <c r="E4614" s="5" t="s">
        <v>2595</v>
      </c>
      <c r="F4614" s="6">
        <v>3900</v>
      </c>
    </row>
    <row r="4615" spans="1:6" x14ac:dyDescent="0.15">
      <c r="A4615" s="5" t="s">
        <v>35</v>
      </c>
      <c r="B4615" s="5" t="s">
        <v>4036</v>
      </c>
      <c r="C4615" s="9">
        <v>44285</v>
      </c>
      <c r="D4615" s="5" t="s">
        <v>16</v>
      </c>
      <c r="E4615" s="5" t="s">
        <v>4037</v>
      </c>
      <c r="F4615" s="6">
        <v>292.5</v>
      </c>
    </row>
    <row r="4616" spans="1:6" x14ac:dyDescent="0.15">
      <c r="A4616" s="5" t="s">
        <v>35</v>
      </c>
      <c r="B4616" s="5" t="s">
        <v>4038</v>
      </c>
      <c r="C4616" s="9">
        <v>44285</v>
      </c>
      <c r="D4616" s="5" t="s">
        <v>16</v>
      </c>
      <c r="E4616" s="5" t="s">
        <v>4037</v>
      </c>
      <c r="F4616" s="6">
        <v>-292.5</v>
      </c>
    </row>
    <row r="4617" spans="1:6" x14ac:dyDescent="0.15">
      <c r="A4617" s="5" t="s">
        <v>37</v>
      </c>
      <c r="B4617" s="5" t="s">
        <v>8149</v>
      </c>
      <c r="C4617" s="9">
        <v>44285</v>
      </c>
      <c r="D4617" s="5" t="s">
        <v>16</v>
      </c>
      <c r="E4617" s="5" t="s">
        <v>4037</v>
      </c>
      <c r="F4617" s="6">
        <v>292.5</v>
      </c>
    </row>
    <row r="4618" spans="1:6" x14ac:dyDescent="0.15">
      <c r="A4618" s="5" t="s">
        <v>44</v>
      </c>
      <c r="B4618" s="5" t="s">
        <v>4447</v>
      </c>
      <c r="C4618" s="9">
        <v>44308</v>
      </c>
      <c r="D4618" s="5" t="s">
        <v>16</v>
      </c>
      <c r="E4618" s="5" t="s">
        <v>4448</v>
      </c>
      <c r="F4618" s="6">
        <v>26617.5</v>
      </c>
    </row>
    <row r="4619" spans="1:6" x14ac:dyDescent="0.15">
      <c r="A4619" s="5" t="s">
        <v>53</v>
      </c>
      <c r="B4619" s="5" t="s">
        <v>8517</v>
      </c>
      <c r="C4619" s="9">
        <v>44295</v>
      </c>
      <c r="D4619" s="5" t="s">
        <v>16</v>
      </c>
      <c r="E4619" s="5" t="s">
        <v>8518</v>
      </c>
      <c r="F4619" s="6">
        <v>26617.5</v>
      </c>
    </row>
    <row r="4620" spans="1:6" x14ac:dyDescent="0.15">
      <c r="A4620" s="5" t="s">
        <v>44</v>
      </c>
      <c r="B4620" s="5" t="s">
        <v>4450</v>
      </c>
      <c r="C4620" s="9">
        <v>44321</v>
      </c>
      <c r="D4620" s="5" t="s">
        <v>16</v>
      </c>
      <c r="E4620" s="5" t="s">
        <v>4451</v>
      </c>
      <c r="F4620" s="6">
        <v>10140</v>
      </c>
    </row>
    <row r="4621" spans="1:6" x14ac:dyDescent="0.15">
      <c r="A4621" s="5" t="s">
        <v>49</v>
      </c>
      <c r="B4621" s="5" t="s">
        <v>8705</v>
      </c>
      <c r="C4621" s="9">
        <v>44293</v>
      </c>
      <c r="D4621" s="5" t="s">
        <v>16</v>
      </c>
      <c r="E4621" s="5" t="s">
        <v>8706</v>
      </c>
      <c r="F4621" s="6">
        <v>200</v>
      </c>
    </row>
    <row r="4622" spans="1:6" x14ac:dyDescent="0.15">
      <c r="A4622" s="5" t="s">
        <v>37</v>
      </c>
      <c r="B4622" s="5" t="s">
        <v>8150</v>
      </c>
      <c r="C4622" s="9">
        <v>44293</v>
      </c>
      <c r="D4622" s="5" t="s">
        <v>16</v>
      </c>
      <c r="E4622" s="5" t="s">
        <v>8151</v>
      </c>
      <c r="F4622" s="6">
        <v>1560</v>
      </c>
    </row>
    <row r="4623" spans="1:6" x14ac:dyDescent="0.15">
      <c r="A4623" s="5" t="s">
        <v>37</v>
      </c>
      <c r="B4623" s="5" t="s">
        <v>8152</v>
      </c>
      <c r="C4623" s="9">
        <v>44293</v>
      </c>
      <c r="D4623" s="5" t="s">
        <v>16</v>
      </c>
      <c r="E4623" s="5" t="s">
        <v>8153</v>
      </c>
      <c r="F4623" s="6">
        <v>3900</v>
      </c>
    </row>
    <row r="4624" spans="1:6" x14ac:dyDescent="0.15">
      <c r="A4624" s="5" t="s">
        <v>37</v>
      </c>
      <c r="B4624" s="5" t="s">
        <v>8154</v>
      </c>
      <c r="C4624" s="9">
        <v>44293</v>
      </c>
      <c r="D4624" s="5" t="s">
        <v>16</v>
      </c>
      <c r="E4624" s="5" t="s">
        <v>8155</v>
      </c>
      <c r="F4624" s="6">
        <v>3997.5</v>
      </c>
    </row>
    <row r="4625" spans="1:6" x14ac:dyDescent="0.15">
      <c r="A4625" s="5" t="s">
        <v>37</v>
      </c>
      <c r="B4625" s="5" t="s">
        <v>8156</v>
      </c>
      <c r="C4625" s="9">
        <v>44293</v>
      </c>
      <c r="D4625" s="5" t="s">
        <v>16</v>
      </c>
      <c r="E4625" s="5" t="s">
        <v>8157</v>
      </c>
      <c r="F4625" s="6">
        <v>5070</v>
      </c>
    </row>
    <row r="4626" spans="1:6" x14ac:dyDescent="0.15">
      <c r="A4626" s="5" t="s">
        <v>37</v>
      </c>
      <c r="B4626" s="5" t="s">
        <v>8158</v>
      </c>
      <c r="C4626" s="9">
        <v>44294</v>
      </c>
      <c r="D4626" s="5" t="s">
        <v>16</v>
      </c>
      <c r="E4626" s="5" t="s">
        <v>8159</v>
      </c>
      <c r="F4626" s="6">
        <v>585</v>
      </c>
    </row>
    <row r="4627" spans="1:6" x14ac:dyDescent="0.15">
      <c r="A4627" s="5" t="s">
        <v>43</v>
      </c>
      <c r="B4627" s="5" t="s">
        <v>5466</v>
      </c>
      <c r="C4627" s="9">
        <v>44301</v>
      </c>
      <c r="D4627" s="5" t="s">
        <v>16</v>
      </c>
      <c r="E4627" s="5" t="s">
        <v>2597</v>
      </c>
      <c r="F4627" s="6">
        <v>7760</v>
      </c>
    </row>
    <row r="4628" spans="1:6" x14ac:dyDescent="0.15">
      <c r="A4628" s="5" t="s">
        <v>57</v>
      </c>
      <c r="B4628" s="5" t="s">
        <v>5618</v>
      </c>
      <c r="C4628" s="9">
        <v>44301</v>
      </c>
      <c r="D4628" s="5" t="s">
        <v>16</v>
      </c>
      <c r="E4628" s="5" t="s">
        <v>2597</v>
      </c>
      <c r="F4628" s="6">
        <v>5820</v>
      </c>
    </row>
    <row r="4629" spans="1:6" x14ac:dyDescent="0.15">
      <c r="A4629" s="5" t="s">
        <v>64</v>
      </c>
      <c r="B4629" s="5" t="s">
        <v>6143</v>
      </c>
      <c r="C4629" s="9">
        <v>44301</v>
      </c>
      <c r="D4629" s="5" t="s">
        <v>16</v>
      </c>
      <c r="E4629" s="5" t="s">
        <v>2597</v>
      </c>
      <c r="F4629" s="6">
        <v>7500</v>
      </c>
    </row>
    <row r="4630" spans="1:6" x14ac:dyDescent="0.15">
      <c r="A4630" s="5" t="s">
        <v>40</v>
      </c>
      <c r="B4630" s="5" t="s">
        <v>2596</v>
      </c>
      <c r="C4630" s="9">
        <v>44301</v>
      </c>
      <c r="D4630" s="5" t="s">
        <v>16</v>
      </c>
      <c r="E4630" s="5" t="s">
        <v>2597</v>
      </c>
      <c r="F4630" s="6">
        <v>1500</v>
      </c>
    </row>
    <row r="4631" spans="1:6" x14ac:dyDescent="0.15">
      <c r="A4631" s="5" t="s">
        <v>53</v>
      </c>
      <c r="B4631" s="5" t="s">
        <v>8519</v>
      </c>
      <c r="C4631" s="9">
        <v>44301</v>
      </c>
      <c r="D4631" s="5" t="s">
        <v>16</v>
      </c>
      <c r="E4631" s="5" t="s">
        <v>2131</v>
      </c>
      <c r="F4631" s="6">
        <v>11700</v>
      </c>
    </row>
    <row r="4632" spans="1:6" x14ac:dyDescent="0.15">
      <c r="A4632" s="5" t="s">
        <v>41</v>
      </c>
      <c r="B4632" s="5" t="s">
        <v>2130</v>
      </c>
      <c r="C4632" s="9">
        <v>44301</v>
      </c>
      <c r="D4632" s="5" t="s">
        <v>16</v>
      </c>
      <c r="E4632" s="5" t="s">
        <v>2131</v>
      </c>
      <c r="F4632" s="6">
        <v>3880</v>
      </c>
    </row>
    <row r="4633" spans="1:6" x14ac:dyDescent="0.15">
      <c r="A4633" s="5" t="s">
        <v>158</v>
      </c>
      <c r="B4633" s="5" t="s">
        <v>8581</v>
      </c>
      <c r="C4633" s="9">
        <v>44301</v>
      </c>
      <c r="D4633" s="5" t="s">
        <v>16</v>
      </c>
      <c r="E4633" s="5" t="s">
        <v>2131</v>
      </c>
      <c r="F4633" s="6">
        <v>5850</v>
      </c>
    </row>
    <row r="4634" spans="1:6" x14ac:dyDescent="0.15">
      <c r="A4634" s="5" t="s">
        <v>37</v>
      </c>
      <c r="B4634" s="5" t="s">
        <v>8160</v>
      </c>
      <c r="C4634" s="9">
        <v>44299</v>
      </c>
      <c r="D4634" s="5" t="s">
        <v>16</v>
      </c>
      <c r="E4634" s="5" t="s">
        <v>5461</v>
      </c>
      <c r="F4634" s="6">
        <v>195</v>
      </c>
    </row>
    <row r="4635" spans="1:6" x14ac:dyDescent="0.15">
      <c r="A4635" s="5" t="s">
        <v>42</v>
      </c>
      <c r="B4635" s="5" t="s">
        <v>6057</v>
      </c>
      <c r="C4635" s="9">
        <v>44299</v>
      </c>
      <c r="D4635" s="5" t="s">
        <v>16</v>
      </c>
      <c r="E4635" s="5" t="s">
        <v>5461</v>
      </c>
      <c r="F4635" s="6">
        <v>75</v>
      </c>
    </row>
    <row r="4636" spans="1:6" x14ac:dyDescent="0.15">
      <c r="A4636" s="5" t="s">
        <v>43</v>
      </c>
      <c r="B4636" s="5" t="s">
        <v>5460</v>
      </c>
      <c r="C4636" s="9">
        <v>44299</v>
      </c>
      <c r="D4636" s="5" t="s">
        <v>16</v>
      </c>
      <c r="E4636" s="5" t="s">
        <v>5461</v>
      </c>
      <c r="F4636" s="6">
        <v>582</v>
      </c>
    </row>
    <row r="4637" spans="1:6" x14ac:dyDescent="0.15">
      <c r="A4637" s="5" t="s">
        <v>49</v>
      </c>
      <c r="B4637" s="5" t="s">
        <v>8707</v>
      </c>
      <c r="C4637" s="9">
        <v>44299</v>
      </c>
      <c r="D4637" s="5" t="s">
        <v>16</v>
      </c>
      <c r="E4637" s="5" t="s">
        <v>8708</v>
      </c>
      <c r="F4637" s="6">
        <v>200</v>
      </c>
    </row>
    <row r="4638" spans="1:6" x14ac:dyDescent="0.15">
      <c r="A4638" s="5" t="s">
        <v>49</v>
      </c>
      <c r="B4638" s="5" t="s">
        <v>8709</v>
      </c>
      <c r="C4638" s="9">
        <v>44299</v>
      </c>
      <c r="D4638" s="5" t="s">
        <v>16</v>
      </c>
      <c r="E4638" s="5" t="s">
        <v>8710</v>
      </c>
      <c r="F4638" s="6">
        <v>10.050000000000001</v>
      </c>
    </row>
    <row r="4639" spans="1:6" x14ac:dyDescent="0.15">
      <c r="A4639" s="5" t="s">
        <v>35</v>
      </c>
      <c r="B4639" s="5" t="s">
        <v>4039</v>
      </c>
      <c r="C4639" s="9">
        <v>44299</v>
      </c>
      <c r="D4639" s="5" t="s">
        <v>16</v>
      </c>
      <c r="E4639" s="5" t="s">
        <v>4040</v>
      </c>
      <c r="F4639" s="6">
        <v>3900</v>
      </c>
    </row>
    <row r="4640" spans="1:6" x14ac:dyDescent="0.15">
      <c r="A4640" s="5" t="s">
        <v>35</v>
      </c>
      <c r="B4640" s="5" t="s">
        <v>4041</v>
      </c>
      <c r="C4640" s="9">
        <v>44299</v>
      </c>
      <c r="D4640" s="5" t="s">
        <v>16</v>
      </c>
      <c r="E4640" s="5" t="s">
        <v>4042</v>
      </c>
      <c r="F4640" s="6">
        <v>11115</v>
      </c>
    </row>
    <row r="4641" spans="1:6" x14ac:dyDescent="0.15">
      <c r="A4641" s="5" t="s">
        <v>37</v>
      </c>
      <c r="B4641" s="5" t="s">
        <v>8161</v>
      </c>
      <c r="C4641" s="9">
        <v>44299</v>
      </c>
      <c r="D4641" s="5" t="s">
        <v>16</v>
      </c>
      <c r="E4641" s="5" t="s">
        <v>8162</v>
      </c>
      <c r="F4641" s="6">
        <v>2047.5</v>
      </c>
    </row>
    <row r="4642" spans="1:6" x14ac:dyDescent="0.15">
      <c r="A4642" s="5" t="s">
        <v>37</v>
      </c>
      <c r="B4642" s="5" t="s">
        <v>8163</v>
      </c>
      <c r="C4642" s="9">
        <v>44299</v>
      </c>
      <c r="D4642" s="5" t="s">
        <v>16</v>
      </c>
      <c r="E4642" s="5" t="s">
        <v>8164</v>
      </c>
      <c r="F4642" s="6">
        <v>6825</v>
      </c>
    </row>
    <row r="4643" spans="1:6" x14ac:dyDescent="0.15">
      <c r="A4643" s="5" t="s">
        <v>37</v>
      </c>
      <c r="B4643" s="5" t="s">
        <v>8165</v>
      </c>
      <c r="C4643" s="9">
        <v>44299</v>
      </c>
      <c r="D4643" s="5" t="s">
        <v>16</v>
      </c>
      <c r="E4643" s="5" t="s">
        <v>5463</v>
      </c>
      <c r="F4643" s="6">
        <v>13650</v>
      </c>
    </row>
    <row r="4644" spans="1:6" x14ac:dyDescent="0.15">
      <c r="A4644" s="5" t="s">
        <v>42</v>
      </c>
      <c r="B4644" s="5" t="s">
        <v>6058</v>
      </c>
      <c r="C4644" s="9">
        <v>44299</v>
      </c>
      <c r="D4644" s="5" t="s">
        <v>16</v>
      </c>
      <c r="E4644" s="5" t="s">
        <v>5463</v>
      </c>
      <c r="F4644" s="6">
        <v>3750</v>
      </c>
    </row>
    <row r="4645" spans="1:6" x14ac:dyDescent="0.15">
      <c r="A4645" s="5" t="s">
        <v>43</v>
      </c>
      <c r="B4645" s="5" t="s">
        <v>5462</v>
      </c>
      <c r="C4645" s="9">
        <v>44299</v>
      </c>
      <c r="D4645" s="5" t="s">
        <v>16</v>
      </c>
      <c r="E4645" s="5" t="s">
        <v>5463</v>
      </c>
      <c r="F4645" s="6">
        <v>2425</v>
      </c>
    </row>
    <row r="4646" spans="1:6" x14ac:dyDescent="0.15">
      <c r="A4646" s="5" t="s">
        <v>37</v>
      </c>
      <c r="B4646" s="5" t="s">
        <v>8166</v>
      </c>
      <c r="C4646" s="9">
        <v>44300</v>
      </c>
      <c r="D4646" s="5" t="s">
        <v>16</v>
      </c>
      <c r="E4646" s="5" t="s">
        <v>5465</v>
      </c>
      <c r="F4646" s="6">
        <v>6825</v>
      </c>
    </row>
    <row r="4647" spans="1:6" x14ac:dyDescent="0.15">
      <c r="A4647" s="5" t="s">
        <v>42</v>
      </c>
      <c r="B4647" s="5" t="s">
        <v>6059</v>
      </c>
      <c r="C4647" s="9">
        <v>44300</v>
      </c>
      <c r="D4647" s="5" t="s">
        <v>16</v>
      </c>
      <c r="E4647" s="5" t="s">
        <v>5465</v>
      </c>
      <c r="F4647" s="6">
        <v>1875</v>
      </c>
    </row>
    <row r="4648" spans="1:6" x14ac:dyDescent="0.15">
      <c r="A4648" s="5" t="s">
        <v>43</v>
      </c>
      <c r="B4648" s="5" t="s">
        <v>5464</v>
      </c>
      <c r="C4648" s="9">
        <v>44300</v>
      </c>
      <c r="D4648" s="5" t="s">
        <v>16</v>
      </c>
      <c r="E4648" s="5" t="s">
        <v>5465</v>
      </c>
      <c r="F4648" s="6">
        <v>1212.5</v>
      </c>
    </row>
    <row r="4649" spans="1:6" x14ac:dyDescent="0.15">
      <c r="A4649" s="5" t="s">
        <v>37</v>
      </c>
      <c r="B4649" s="5" t="s">
        <v>8171</v>
      </c>
      <c r="C4649" s="9">
        <v>44312</v>
      </c>
      <c r="D4649" s="5" t="s">
        <v>16</v>
      </c>
      <c r="E4649" s="5" t="s">
        <v>8172</v>
      </c>
      <c r="F4649" s="6">
        <v>25350</v>
      </c>
    </row>
    <row r="4650" spans="1:6" x14ac:dyDescent="0.15">
      <c r="A4650" s="5" t="s">
        <v>37</v>
      </c>
      <c r="B4650" s="5" t="s">
        <v>8173</v>
      </c>
      <c r="C4650" s="9">
        <v>44312</v>
      </c>
      <c r="D4650" s="5" t="s">
        <v>16</v>
      </c>
      <c r="E4650" s="5" t="s">
        <v>8174</v>
      </c>
      <c r="F4650" s="6">
        <v>25350</v>
      </c>
    </row>
    <row r="4651" spans="1:6" x14ac:dyDescent="0.15">
      <c r="A4651" s="5" t="s">
        <v>37</v>
      </c>
      <c r="B4651" s="5" t="s">
        <v>8175</v>
      </c>
      <c r="C4651" s="9">
        <v>44312</v>
      </c>
      <c r="D4651" s="5" t="s">
        <v>16</v>
      </c>
      <c r="E4651" s="5" t="s">
        <v>2135</v>
      </c>
      <c r="F4651" s="6">
        <v>7800</v>
      </c>
    </row>
    <row r="4652" spans="1:6" x14ac:dyDescent="0.15">
      <c r="A4652" s="5" t="s">
        <v>43</v>
      </c>
      <c r="B4652" s="5" t="s">
        <v>5476</v>
      </c>
      <c r="C4652" s="9">
        <v>44312</v>
      </c>
      <c r="D4652" s="5" t="s">
        <v>16</v>
      </c>
      <c r="E4652" s="5" t="s">
        <v>2135</v>
      </c>
      <c r="F4652" s="6">
        <v>9700</v>
      </c>
    </row>
    <row r="4653" spans="1:6" x14ac:dyDescent="0.15">
      <c r="A4653" s="5" t="s">
        <v>35</v>
      </c>
      <c r="B4653" s="5" t="s">
        <v>4050</v>
      </c>
      <c r="C4653" s="9">
        <v>44312</v>
      </c>
      <c r="D4653" s="5" t="s">
        <v>16</v>
      </c>
      <c r="E4653" s="5" t="s">
        <v>2135</v>
      </c>
      <c r="F4653" s="6">
        <v>3900</v>
      </c>
    </row>
    <row r="4654" spans="1:6" x14ac:dyDescent="0.15">
      <c r="A4654" s="5" t="s">
        <v>41</v>
      </c>
      <c r="B4654" s="5" t="s">
        <v>2134</v>
      </c>
      <c r="C4654" s="9">
        <v>44312</v>
      </c>
      <c r="D4654" s="5" t="s">
        <v>16</v>
      </c>
      <c r="E4654" s="5" t="s">
        <v>2135</v>
      </c>
      <c r="F4654" s="6">
        <v>3880</v>
      </c>
    </row>
    <row r="4655" spans="1:6" x14ac:dyDescent="0.15">
      <c r="A4655" s="5" t="s">
        <v>43</v>
      </c>
      <c r="B4655" s="5" t="s">
        <v>5467</v>
      </c>
      <c r="C4655" s="9">
        <v>44302</v>
      </c>
      <c r="D4655" s="5" t="s">
        <v>16</v>
      </c>
      <c r="E4655" s="5" t="s">
        <v>5468</v>
      </c>
      <c r="F4655" s="6">
        <v>776</v>
      </c>
    </row>
    <row r="4656" spans="1:6" x14ac:dyDescent="0.15">
      <c r="A4656" s="5" t="s">
        <v>43</v>
      </c>
      <c r="B4656" s="5" t="s">
        <v>5477</v>
      </c>
      <c r="C4656" s="9">
        <v>44312</v>
      </c>
      <c r="D4656" s="5" t="s">
        <v>16</v>
      </c>
      <c r="E4656" s="5" t="s">
        <v>5478</v>
      </c>
      <c r="F4656" s="6">
        <v>23280</v>
      </c>
    </row>
    <row r="4657" spans="1:6" x14ac:dyDescent="0.15">
      <c r="A4657" s="5" t="s">
        <v>37</v>
      </c>
      <c r="B4657" s="5" t="s">
        <v>8176</v>
      </c>
      <c r="C4657" s="9">
        <v>44312</v>
      </c>
      <c r="D4657" s="5" t="s">
        <v>16</v>
      </c>
      <c r="E4657" s="5" t="s">
        <v>5478</v>
      </c>
      <c r="F4657" s="6">
        <v>1950</v>
      </c>
    </row>
    <row r="4658" spans="1:6" x14ac:dyDescent="0.15">
      <c r="A4658" s="5" t="s">
        <v>37</v>
      </c>
      <c r="B4658" s="5" t="s">
        <v>8167</v>
      </c>
      <c r="C4658" s="9">
        <v>44306</v>
      </c>
      <c r="D4658" s="5" t="s">
        <v>16</v>
      </c>
      <c r="E4658" s="5" t="s">
        <v>5470</v>
      </c>
      <c r="F4658" s="6">
        <v>1462.5</v>
      </c>
    </row>
    <row r="4659" spans="1:6" x14ac:dyDescent="0.15">
      <c r="A4659" s="5" t="s">
        <v>43</v>
      </c>
      <c r="B4659" s="5" t="s">
        <v>5469</v>
      </c>
      <c r="C4659" s="9">
        <v>44306</v>
      </c>
      <c r="D4659" s="5" t="s">
        <v>16</v>
      </c>
      <c r="E4659" s="5" t="s">
        <v>5470</v>
      </c>
      <c r="F4659" s="6">
        <v>1212.5</v>
      </c>
    </row>
    <row r="4660" spans="1:6" x14ac:dyDescent="0.15">
      <c r="A4660" s="5" t="s">
        <v>37</v>
      </c>
      <c r="B4660" s="5" t="s">
        <v>8168</v>
      </c>
      <c r="C4660" s="9">
        <v>44306</v>
      </c>
      <c r="D4660" s="5" t="s">
        <v>16</v>
      </c>
      <c r="E4660" s="5" t="s">
        <v>4044</v>
      </c>
      <c r="F4660" s="6">
        <v>15990</v>
      </c>
    </row>
    <row r="4661" spans="1:6" x14ac:dyDescent="0.15">
      <c r="A4661" s="5" t="s">
        <v>42</v>
      </c>
      <c r="B4661" s="5" t="s">
        <v>6060</v>
      </c>
      <c r="C4661" s="9">
        <v>44306</v>
      </c>
      <c r="D4661" s="5" t="s">
        <v>16</v>
      </c>
      <c r="E4661" s="5" t="s">
        <v>4044</v>
      </c>
      <c r="F4661" s="6">
        <v>3825</v>
      </c>
    </row>
    <row r="4662" spans="1:6" x14ac:dyDescent="0.15">
      <c r="A4662" s="5" t="s">
        <v>43</v>
      </c>
      <c r="B4662" s="5" t="s">
        <v>5471</v>
      </c>
      <c r="C4662" s="9">
        <v>44306</v>
      </c>
      <c r="D4662" s="5" t="s">
        <v>16</v>
      </c>
      <c r="E4662" s="5" t="s">
        <v>4044</v>
      </c>
      <c r="F4662" s="6">
        <v>3104</v>
      </c>
    </row>
    <row r="4663" spans="1:6" x14ac:dyDescent="0.15">
      <c r="A4663" s="5" t="s">
        <v>35</v>
      </c>
      <c r="B4663" s="5" t="s">
        <v>4043</v>
      </c>
      <c r="C4663" s="9">
        <v>44306</v>
      </c>
      <c r="D4663" s="5" t="s">
        <v>16</v>
      </c>
      <c r="E4663" s="5" t="s">
        <v>4044</v>
      </c>
      <c r="F4663" s="6">
        <v>195</v>
      </c>
    </row>
    <row r="4664" spans="1:6" x14ac:dyDescent="0.15">
      <c r="A4664" s="5" t="s">
        <v>40</v>
      </c>
      <c r="B4664" s="5" t="s">
        <v>2598</v>
      </c>
      <c r="C4664" s="9">
        <v>44307</v>
      </c>
      <c r="D4664" s="5" t="s">
        <v>16</v>
      </c>
      <c r="E4664" s="5" t="s">
        <v>2599</v>
      </c>
      <c r="F4664" s="6">
        <v>14550</v>
      </c>
    </row>
    <row r="4665" spans="1:6" x14ac:dyDescent="0.15">
      <c r="A4665" s="5" t="s">
        <v>35</v>
      </c>
      <c r="B4665" s="5" t="s">
        <v>4045</v>
      </c>
      <c r="C4665" s="9">
        <v>44307</v>
      </c>
      <c r="D4665" s="5" t="s">
        <v>16</v>
      </c>
      <c r="E4665" s="5" t="s">
        <v>2601</v>
      </c>
      <c r="F4665" s="6">
        <v>2925</v>
      </c>
    </row>
    <row r="4666" spans="1:6" x14ac:dyDescent="0.15">
      <c r="A4666" s="5" t="s">
        <v>40</v>
      </c>
      <c r="B4666" s="5" t="s">
        <v>2600</v>
      </c>
      <c r="C4666" s="9">
        <v>44307</v>
      </c>
      <c r="D4666" s="5" t="s">
        <v>16</v>
      </c>
      <c r="E4666" s="5" t="s">
        <v>2601</v>
      </c>
      <c r="F4666" s="6">
        <v>6300</v>
      </c>
    </row>
    <row r="4667" spans="1:6" x14ac:dyDescent="0.15">
      <c r="A4667" s="5" t="s">
        <v>49</v>
      </c>
      <c r="B4667" s="5" t="s">
        <v>8711</v>
      </c>
      <c r="C4667" s="9">
        <v>44306</v>
      </c>
      <c r="D4667" s="5" t="s">
        <v>16</v>
      </c>
      <c r="E4667" s="5" t="s">
        <v>8712</v>
      </c>
      <c r="F4667" s="6">
        <v>1000</v>
      </c>
    </row>
    <row r="4668" spans="1:6" x14ac:dyDescent="0.15">
      <c r="A4668" s="5" t="s">
        <v>35</v>
      </c>
      <c r="B4668" s="5" t="s">
        <v>4046</v>
      </c>
      <c r="C4668" s="9">
        <v>44307</v>
      </c>
      <c r="D4668" s="5" t="s">
        <v>16</v>
      </c>
      <c r="E4668" s="5" t="s">
        <v>4047</v>
      </c>
      <c r="F4668" s="6">
        <v>195</v>
      </c>
    </row>
    <row r="4669" spans="1:6" x14ac:dyDescent="0.15">
      <c r="A4669" s="5" t="s">
        <v>37</v>
      </c>
      <c r="B4669" s="5" t="s">
        <v>8169</v>
      </c>
      <c r="C4669" s="9">
        <v>44308</v>
      </c>
      <c r="D4669" s="5" t="s">
        <v>16</v>
      </c>
      <c r="E4669" s="5" t="s">
        <v>4049</v>
      </c>
      <c r="F4669" s="6">
        <v>8970</v>
      </c>
    </row>
    <row r="4670" spans="1:6" x14ac:dyDescent="0.15">
      <c r="A4670" s="5" t="s">
        <v>35</v>
      </c>
      <c r="B4670" s="5" t="s">
        <v>4048</v>
      </c>
      <c r="C4670" s="9">
        <v>44308</v>
      </c>
      <c r="D4670" s="5" t="s">
        <v>16</v>
      </c>
      <c r="E4670" s="5" t="s">
        <v>4049</v>
      </c>
      <c r="F4670" s="6">
        <v>2925</v>
      </c>
    </row>
    <row r="4671" spans="1:6" x14ac:dyDescent="0.15">
      <c r="A4671" s="5" t="s">
        <v>43</v>
      </c>
      <c r="B4671" s="5" t="s">
        <v>5472</v>
      </c>
      <c r="C4671" s="9">
        <v>44307</v>
      </c>
      <c r="D4671" s="5" t="s">
        <v>16</v>
      </c>
      <c r="E4671" s="5" t="s">
        <v>2603</v>
      </c>
      <c r="F4671" s="6">
        <v>-7760</v>
      </c>
    </row>
    <row r="4672" spans="1:6" x14ac:dyDescent="0.15">
      <c r="A4672" s="5" t="s">
        <v>57</v>
      </c>
      <c r="B4672" s="5" t="s">
        <v>5619</v>
      </c>
      <c r="C4672" s="9">
        <v>44307</v>
      </c>
      <c r="D4672" s="5" t="s">
        <v>16</v>
      </c>
      <c r="E4672" s="5" t="s">
        <v>2603</v>
      </c>
      <c r="F4672" s="6">
        <v>-1843</v>
      </c>
    </row>
    <row r="4673" spans="1:6" x14ac:dyDescent="0.15">
      <c r="A4673" s="5" t="s">
        <v>57</v>
      </c>
      <c r="B4673" s="5" t="s">
        <v>5619</v>
      </c>
      <c r="C4673" s="9">
        <v>44307</v>
      </c>
      <c r="D4673" s="5" t="s">
        <v>16</v>
      </c>
      <c r="E4673" s="5" t="s">
        <v>2603</v>
      </c>
      <c r="F4673" s="6">
        <v>-1988.5</v>
      </c>
    </row>
    <row r="4674" spans="1:6" x14ac:dyDescent="0.15">
      <c r="A4674" s="5" t="s">
        <v>57</v>
      </c>
      <c r="B4674" s="5" t="s">
        <v>5619</v>
      </c>
      <c r="C4674" s="9">
        <v>44307</v>
      </c>
      <c r="D4674" s="5" t="s">
        <v>16</v>
      </c>
      <c r="E4674" s="5" t="s">
        <v>2603</v>
      </c>
      <c r="F4674" s="6">
        <v>-1988.5</v>
      </c>
    </row>
    <row r="4675" spans="1:6" x14ac:dyDescent="0.15">
      <c r="A4675" s="5" t="s">
        <v>64</v>
      </c>
      <c r="B4675" s="5" t="s">
        <v>6144</v>
      </c>
      <c r="C4675" s="9">
        <v>44307</v>
      </c>
      <c r="D4675" s="5" t="s">
        <v>16</v>
      </c>
      <c r="E4675" s="5" t="s">
        <v>2603</v>
      </c>
      <c r="F4675" s="6">
        <v>-7500</v>
      </c>
    </row>
    <row r="4676" spans="1:6" x14ac:dyDescent="0.15">
      <c r="A4676" s="5" t="s">
        <v>40</v>
      </c>
      <c r="B4676" s="5" t="s">
        <v>2602</v>
      </c>
      <c r="C4676" s="9">
        <v>44307</v>
      </c>
      <c r="D4676" s="5" t="s">
        <v>16</v>
      </c>
      <c r="E4676" s="5" t="s">
        <v>2603</v>
      </c>
      <c r="F4676" s="6">
        <v>-1500</v>
      </c>
    </row>
    <row r="4677" spans="1:6" x14ac:dyDescent="0.15">
      <c r="A4677" s="5" t="s">
        <v>43</v>
      </c>
      <c r="B4677" s="5" t="s">
        <v>5473</v>
      </c>
      <c r="C4677" s="9">
        <v>44308</v>
      </c>
      <c r="D4677" s="5" t="s">
        <v>16</v>
      </c>
      <c r="E4677" s="5" t="s">
        <v>2685</v>
      </c>
      <c r="F4677" s="6">
        <v>7760</v>
      </c>
    </row>
    <row r="4678" spans="1:6" x14ac:dyDescent="0.15">
      <c r="A4678" s="5" t="s">
        <v>57</v>
      </c>
      <c r="B4678" s="5" t="s">
        <v>5620</v>
      </c>
      <c r="C4678" s="9">
        <v>44308</v>
      </c>
      <c r="D4678" s="5" t="s">
        <v>16</v>
      </c>
      <c r="E4678" s="5" t="s">
        <v>2685</v>
      </c>
      <c r="F4678" s="6">
        <v>5820</v>
      </c>
    </row>
    <row r="4679" spans="1:6" x14ac:dyDescent="0.15">
      <c r="A4679" s="5" t="s">
        <v>64</v>
      </c>
      <c r="B4679" s="5" t="s">
        <v>6145</v>
      </c>
      <c r="C4679" s="9">
        <v>44308</v>
      </c>
      <c r="D4679" s="5" t="s">
        <v>16</v>
      </c>
      <c r="E4679" s="5" t="s">
        <v>2685</v>
      </c>
      <c r="F4679" s="6">
        <v>7500</v>
      </c>
    </row>
    <row r="4680" spans="1:6" x14ac:dyDescent="0.15">
      <c r="A4680" s="5" t="s">
        <v>174</v>
      </c>
      <c r="B4680" s="5" t="s">
        <v>2684</v>
      </c>
      <c r="C4680" s="9">
        <v>44308</v>
      </c>
      <c r="D4680" s="5" t="s">
        <v>16</v>
      </c>
      <c r="E4680" s="5" t="s">
        <v>2685</v>
      </c>
      <c r="F4680" s="6">
        <v>1500</v>
      </c>
    </row>
    <row r="4681" spans="1:6" x14ac:dyDescent="0.15">
      <c r="A4681" s="5" t="s">
        <v>46</v>
      </c>
      <c r="B4681" s="5" t="s">
        <v>2229</v>
      </c>
      <c r="C4681" s="9">
        <v>44314</v>
      </c>
      <c r="D4681" s="5" t="s">
        <v>16</v>
      </c>
      <c r="E4681" s="5" t="s">
        <v>2230</v>
      </c>
      <c r="F4681" s="6">
        <v>1940</v>
      </c>
    </row>
    <row r="4682" spans="1:6" x14ac:dyDescent="0.15">
      <c r="A4682" s="5" t="s">
        <v>44</v>
      </c>
      <c r="B4682" s="5" t="s">
        <v>4449</v>
      </c>
      <c r="C4682" s="9">
        <v>44314</v>
      </c>
      <c r="D4682" s="5" t="s">
        <v>16</v>
      </c>
      <c r="E4682" s="5" t="s">
        <v>2230</v>
      </c>
      <c r="F4682" s="6">
        <v>5850</v>
      </c>
    </row>
    <row r="4683" spans="1:6" x14ac:dyDescent="0.15">
      <c r="A4683" s="5" t="s">
        <v>43</v>
      </c>
      <c r="B4683" s="5" t="s">
        <v>5479</v>
      </c>
      <c r="C4683" s="9">
        <v>44314</v>
      </c>
      <c r="D4683" s="5" t="s">
        <v>16</v>
      </c>
      <c r="E4683" s="5" t="s">
        <v>2230</v>
      </c>
      <c r="F4683" s="6">
        <v>1940</v>
      </c>
    </row>
    <row r="4684" spans="1:6" x14ac:dyDescent="0.15">
      <c r="A4684" s="5" t="s">
        <v>37</v>
      </c>
      <c r="B4684" s="5" t="s">
        <v>8179</v>
      </c>
      <c r="C4684" s="9">
        <v>44314</v>
      </c>
      <c r="D4684" s="5" t="s">
        <v>16</v>
      </c>
      <c r="E4684" s="5" t="s">
        <v>2230</v>
      </c>
      <c r="F4684" s="6">
        <v>15600</v>
      </c>
    </row>
    <row r="4685" spans="1:6" x14ac:dyDescent="0.15">
      <c r="A4685" s="5" t="s">
        <v>41</v>
      </c>
      <c r="B4685" s="5" t="s">
        <v>2132</v>
      </c>
      <c r="C4685" s="9">
        <v>44309</v>
      </c>
      <c r="D4685" s="5" t="s">
        <v>16</v>
      </c>
      <c r="E4685" s="5" t="s">
        <v>2133</v>
      </c>
      <c r="F4685" s="6">
        <v>97</v>
      </c>
    </row>
    <row r="4686" spans="1:6" x14ac:dyDescent="0.15">
      <c r="A4686" s="5" t="s">
        <v>37</v>
      </c>
      <c r="B4686" s="5" t="s">
        <v>8170</v>
      </c>
      <c r="C4686" s="9">
        <v>44308</v>
      </c>
      <c r="D4686" s="5" t="s">
        <v>16</v>
      </c>
      <c r="E4686" s="5" t="s">
        <v>5475</v>
      </c>
      <c r="F4686" s="6">
        <v>975</v>
      </c>
    </row>
    <row r="4687" spans="1:6" x14ac:dyDescent="0.15">
      <c r="A4687" s="5" t="s">
        <v>43</v>
      </c>
      <c r="B4687" s="5" t="s">
        <v>5474</v>
      </c>
      <c r="C4687" s="9">
        <v>44308</v>
      </c>
      <c r="D4687" s="5" t="s">
        <v>16</v>
      </c>
      <c r="E4687" s="5" t="s">
        <v>5475</v>
      </c>
      <c r="F4687" s="6">
        <v>242.5</v>
      </c>
    </row>
    <row r="4688" spans="1:6" x14ac:dyDescent="0.15">
      <c r="A4688" s="5" t="s">
        <v>40</v>
      </c>
      <c r="B4688" s="5" t="s">
        <v>2604</v>
      </c>
      <c r="C4688" s="9">
        <v>44312</v>
      </c>
      <c r="D4688" s="5" t="s">
        <v>16</v>
      </c>
      <c r="E4688" s="5" t="s">
        <v>2137</v>
      </c>
      <c r="F4688" s="6">
        <v>6000</v>
      </c>
    </row>
    <row r="4689" spans="1:6" x14ac:dyDescent="0.15">
      <c r="A4689" s="5" t="s">
        <v>41</v>
      </c>
      <c r="B4689" s="5" t="s">
        <v>2136</v>
      </c>
      <c r="C4689" s="9">
        <v>44312</v>
      </c>
      <c r="D4689" s="5" t="s">
        <v>16</v>
      </c>
      <c r="E4689" s="5" t="s">
        <v>2137</v>
      </c>
      <c r="F4689" s="6">
        <v>485</v>
      </c>
    </row>
    <row r="4690" spans="1:6" x14ac:dyDescent="0.15">
      <c r="A4690" s="5" t="s">
        <v>35</v>
      </c>
      <c r="B4690" s="5" t="s">
        <v>4051</v>
      </c>
      <c r="C4690" s="9">
        <v>44312</v>
      </c>
      <c r="D4690" s="5" t="s">
        <v>16</v>
      </c>
      <c r="E4690" s="5" t="s">
        <v>4052</v>
      </c>
      <c r="F4690" s="6">
        <v>11017.5</v>
      </c>
    </row>
    <row r="4691" spans="1:6" x14ac:dyDescent="0.15">
      <c r="A4691" s="5" t="s">
        <v>35</v>
      </c>
      <c r="B4691" s="5" t="s">
        <v>4053</v>
      </c>
      <c r="C4691" s="9">
        <v>44312</v>
      </c>
      <c r="D4691" s="5" t="s">
        <v>16</v>
      </c>
      <c r="E4691" s="5" t="s">
        <v>2139</v>
      </c>
      <c r="F4691" s="6">
        <v>1852.5</v>
      </c>
    </row>
    <row r="4692" spans="1:6" x14ac:dyDescent="0.15">
      <c r="A4692" s="5" t="s">
        <v>40</v>
      </c>
      <c r="B4692" s="5" t="s">
        <v>2605</v>
      </c>
      <c r="C4692" s="9">
        <v>44312</v>
      </c>
      <c r="D4692" s="5" t="s">
        <v>16</v>
      </c>
      <c r="E4692" s="5" t="s">
        <v>2139</v>
      </c>
      <c r="F4692" s="6">
        <v>225</v>
      </c>
    </row>
    <row r="4693" spans="1:6" x14ac:dyDescent="0.15">
      <c r="A4693" s="5" t="s">
        <v>41</v>
      </c>
      <c r="B4693" s="5" t="s">
        <v>2138</v>
      </c>
      <c r="C4693" s="9">
        <v>44312</v>
      </c>
      <c r="D4693" s="5" t="s">
        <v>16</v>
      </c>
      <c r="E4693" s="5" t="s">
        <v>2139</v>
      </c>
      <c r="F4693" s="6">
        <v>388</v>
      </c>
    </row>
    <row r="4694" spans="1:6" x14ac:dyDescent="0.15">
      <c r="A4694" s="5" t="s">
        <v>37</v>
      </c>
      <c r="B4694" s="5" t="s">
        <v>8180</v>
      </c>
      <c r="C4694" s="9">
        <v>44314</v>
      </c>
      <c r="D4694" s="5" t="s">
        <v>16</v>
      </c>
      <c r="E4694" s="5" t="s">
        <v>6062</v>
      </c>
      <c r="F4694" s="6">
        <v>4680</v>
      </c>
    </row>
    <row r="4695" spans="1:6" x14ac:dyDescent="0.15">
      <c r="A4695" s="5" t="s">
        <v>42</v>
      </c>
      <c r="B4695" s="5" t="s">
        <v>6061</v>
      </c>
      <c r="C4695" s="9">
        <v>44314</v>
      </c>
      <c r="D4695" s="5" t="s">
        <v>16</v>
      </c>
      <c r="E4695" s="5" t="s">
        <v>6062</v>
      </c>
      <c r="F4695" s="6">
        <v>1800</v>
      </c>
    </row>
    <row r="4696" spans="1:6" x14ac:dyDescent="0.15">
      <c r="A4696" s="5" t="s">
        <v>37</v>
      </c>
      <c r="B4696" s="5" t="s">
        <v>8177</v>
      </c>
      <c r="C4696" s="9">
        <v>44313</v>
      </c>
      <c r="D4696" s="5" t="s">
        <v>16</v>
      </c>
      <c r="E4696" s="5" t="s">
        <v>8178</v>
      </c>
      <c r="F4696" s="6">
        <v>7020</v>
      </c>
    </row>
    <row r="4697" spans="1:6" x14ac:dyDescent="0.15">
      <c r="A4697" s="5" t="s">
        <v>63</v>
      </c>
      <c r="B4697" s="5" t="s">
        <v>2291</v>
      </c>
      <c r="C4697" s="9">
        <v>44313</v>
      </c>
      <c r="D4697" s="5" t="s">
        <v>16</v>
      </c>
      <c r="E4697" s="5" t="s">
        <v>2292</v>
      </c>
      <c r="F4697" s="6">
        <v>1503.5</v>
      </c>
    </row>
    <row r="4698" spans="1:6" x14ac:dyDescent="0.15">
      <c r="A4698" s="5" t="s">
        <v>35</v>
      </c>
      <c r="B4698" s="5" t="s">
        <v>4054</v>
      </c>
      <c r="C4698" s="9">
        <v>44313</v>
      </c>
      <c r="D4698" s="5" t="s">
        <v>16</v>
      </c>
      <c r="E4698" s="5" t="s">
        <v>2607</v>
      </c>
      <c r="F4698" s="6">
        <v>12285</v>
      </c>
    </row>
    <row r="4699" spans="1:6" x14ac:dyDescent="0.15">
      <c r="A4699" s="5" t="s">
        <v>40</v>
      </c>
      <c r="B4699" s="5" t="s">
        <v>2606</v>
      </c>
      <c r="C4699" s="9">
        <v>44313</v>
      </c>
      <c r="D4699" s="5" t="s">
        <v>16</v>
      </c>
      <c r="E4699" s="5" t="s">
        <v>2607</v>
      </c>
      <c r="F4699" s="6">
        <v>1500</v>
      </c>
    </row>
    <row r="4700" spans="1:6" x14ac:dyDescent="0.15">
      <c r="A4700" s="5" t="s">
        <v>35</v>
      </c>
      <c r="B4700" s="5" t="s">
        <v>4055</v>
      </c>
      <c r="C4700" s="9">
        <v>44314</v>
      </c>
      <c r="D4700" s="5" t="s">
        <v>16</v>
      </c>
      <c r="E4700" s="5" t="s">
        <v>4056</v>
      </c>
      <c r="F4700" s="6">
        <v>6240</v>
      </c>
    </row>
    <row r="4701" spans="1:6" x14ac:dyDescent="0.15">
      <c r="A4701" s="5" t="s">
        <v>43</v>
      </c>
      <c r="B4701" s="5" t="s">
        <v>5482</v>
      </c>
      <c r="C4701" s="9">
        <v>44321</v>
      </c>
      <c r="D4701" s="5" t="s">
        <v>16</v>
      </c>
      <c r="E4701" s="5" t="s">
        <v>5483</v>
      </c>
      <c r="F4701" s="6">
        <v>727.5</v>
      </c>
    </row>
    <row r="4702" spans="1:6" x14ac:dyDescent="0.15">
      <c r="A4702" s="5" t="s">
        <v>35</v>
      </c>
      <c r="B4702" s="5" t="s">
        <v>4057</v>
      </c>
      <c r="C4702" s="9">
        <v>44320</v>
      </c>
      <c r="D4702" s="5" t="s">
        <v>16</v>
      </c>
      <c r="E4702" s="5" t="s">
        <v>4058</v>
      </c>
      <c r="F4702" s="6">
        <v>1267.5</v>
      </c>
    </row>
    <row r="4703" spans="1:6" x14ac:dyDescent="0.15">
      <c r="A4703" s="5" t="s">
        <v>35</v>
      </c>
      <c r="B4703" s="5" t="s">
        <v>4059</v>
      </c>
      <c r="C4703" s="9">
        <v>44320</v>
      </c>
      <c r="D4703" s="5" t="s">
        <v>16</v>
      </c>
      <c r="E4703" s="5" t="s">
        <v>4060</v>
      </c>
      <c r="F4703" s="6">
        <v>2145</v>
      </c>
    </row>
    <row r="4704" spans="1:6" x14ac:dyDescent="0.15">
      <c r="A4704" s="5" t="s">
        <v>37</v>
      </c>
      <c r="B4704" s="5" t="s">
        <v>8181</v>
      </c>
      <c r="C4704" s="9">
        <v>44320</v>
      </c>
      <c r="D4704" s="5" t="s">
        <v>16</v>
      </c>
      <c r="E4704" s="5" t="s">
        <v>5481</v>
      </c>
      <c r="F4704" s="6">
        <v>390</v>
      </c>
    </row>
    <row r="4705" spans="1:6" x14ac:dyDescent="0.15">
      <c r="A4705" s="5" t="s">
        <v>43</v>
      </c>
      <c r="B4705" s="5" t="s">
        <v>5480</v>
      </c>
      <c r="C4705" s="9">
        <v>44320</v>
      </c>
      <c r="D4705" s="5" t="s">
        <v>16</v>
      </c>
      <c r="E4705" s="5" t="s">
        <v>5481</v>
      </c>
      <c r="F4705" s="6">
        <v>242.5</v>
      </c>
    </row>
    <row r="4706" spans="1:6" x14ac:dyDescent="0.15">
      <c r="A4706" s="5" t="s">
        <v>37</v>
      </c>
      <c r="B4706" s="5" t="s">
        <v>8182</v>
      </c>
      <c r="C4706" s="9">
        <v>44322</v>
      </c>
      <c r="D4706" s="5" t="s">
        <v>16</v>
      </c>
      <c r="E4706" s="5" t="s">
        <v>5485</v>
      </c>
      <c r="F4706" s="6">
        <v>5460</v>
      </c>
    </row>
    <row r="4707" spans="1:6" x14ac:dyDescent="0.15">
      <c r="A4707" s="5" t="s">
        <v>42</v>
      </c>
      <c r="B4707" s="5" t="s">
        <v>6063</v>
      </c>
      <c r="C4707" s="9">
        <v>44322</v>
      </c>
      <c r="D4707" s="5" t="s">
        <v>16</v>
      </c>
      <c r="E4707" s="5" t="s">
        <v>5485</v>
      </c>
      <c r="F4707" s="6">
        <v>1950</v>
      </c>
    </row>
    <row r="4708" spans="1:6" x14ac:dyDescent="0.15">
      <c r="A4708" s="5" t="s">
        <v>43</v>
      </c>
      <c r="B4708" s="5" t="s">
        <v>5484</v>
      </c>
      <c r="C4708" s="9">
        <v>44322</v>
      </c>
      <c r="D4708" s="5" t="s">
        <v>16</v>
      </c>
      <c r="E4708" s="5" t="s">
        <v>5485</v>
      </c>
      <c r="F4708" s="6">
        <v>1309.5</v>
      </c>
    </row>
    <row r="4709" spans="1:6" x14ac:dyDescent="0.15">
      <c r="A4709" s="5" t="s">
        <v>49</v>
      </c>
      <c r="B4709" s="5" t="s">
        <v>8713</v>
      </c>
      <c r="C4709" s="9">
        <v>44322</v>
      </c>
      <c r="D4709" s="5" t="s">
        <v>16</v>
      </c>
      <c r="E4709" s="5" t="s">
        <v>5485</v>
      </c>
      <c r="F4709" s="6">
        <v>1000</v>
      </c>
    </row>
    <row r="4710" spans="1:6" x14ac:dyDescent="0.15">
      <c r="A4710" s="5" t="s">
        <v>35</v>
      </c>
      <c r="B4710" s="5" t="s">
        <v>4061</v>
      </c>
      <c r="C4710" s="9">
        <v>44322</v>
      </c>
      <c r="D4710" s="5" t="s">
        <v>16</v>
      </c>
      <c r="E4710" s="5" t="s">
        <v>4062</v>
      </c>
      <c r="F4710" s="6">
        <v>1267.5</v>
      </c>
    </row>
    <row r="4711" spans="1:6" x14ac:dyDescent="0.15">
      <c r="A4711" s="5" t="s">
        <v>35</v>
      </c>
      <c r="B4711" s="5" t="s">
        <v>4063</v>
      </c>
      <c r="C4711" s="9">
        <v>44322</v>
      </c>
      <c r="D4711" s="5" t="s">
        <v>16</v>
      </c>
      <c r="E4711" s="5" t="s">
        <v>2141</v>
      </c>
      <c r="F4711" s="6">
        <v>292.5</v>
      </c>
    </row>
    <row r="4712" spans="1:6" x14ac:dyDescent="0.15">
      <c r="A4712" s="5" t="s">
        <v>41</v>
      </c>
      <c r="B4712" s="5" t="s">
        <v>2140</v>
      </c>
      <c r="C4712" s="9">
        <v>44322</v>
      </c>
      <c r="D4712" s="5" t="s">
        <v>16</v>
      </c>
      <c r="E4712" s="5" t="s">
        <v>2141</v>
      </c>
      <c r="F4712" s="6">
        <v>48.5</v>
      </c>
    </row>
    <row r="4713" spans="1:6" x14ac:dyDescent="0.15">
      <c r="A4713" s="5" t="s">
        <v>37</v>
      </c>
      <c r="B4713" s="5" t="s">
        <v>8183</v>
      </c>
      <c r="C4713" s="9">
        <v>44322</v>
      </c>
      <c r="D4713" s="5" t="s">
        <v>16</v>
      </c>
      <c r="E4713" s="5" t="s">
        <v>8184</v>
      </c>
      <c r="F4713" s="6">
        <v>2047.5</v>
      </c>
    </row>
    <row r="4714" spans="1:6" x14ac:dyDescent="0.15">
      <c r="A4714" s="5" t="s">
        <v>43</v>
      </c>
      <c r="B4714" s="5" t="s">
        <v>5486</v>
      </c>
      <c r="C4714" s="9">
        <v>44322</v>
      </c>
      <c r="D4714" s="5" t="s">
        <v>16</v>
      </c>
      <c r="E4714" s="5" t="s">
        <v>5485</v>
      </c>
      <c r="F4714" s="6">
        <v>-1309.5</v>
      </c>
    </row>
    <row r="4715" spans="1:6" x14ac:dyDescent="0.15">
      <c r="A4715" s="5" t="s">
        <v>42</v>
      </c>
      <c r="B4715" s="5" t="s">
        <v>6064</v>
      </c>
      <c r="C4715" s="9">
        <v>44322</v>
      </c>
      <c r="D4715" s="5" t="s">
        <v>16</v>
      </c>
      <c r="E4715" s="5" t="s">
        <v>5485</v>
      </c>
      <c r="F4715" s="6">
        <v>2625</v>
      </c>
    </row>
    <row r="4716" spans="1:6" x14ac:dyDescent="0.15">
      <c r="A4716" s="5" t="s">
        <v>43</v>
      </c>
      <c r="B4716" s="5" t="s">
        <v>5491</v>
      </c>
      <c r="C4716" s="9">
        <v>44337</v>
      </c>
      <c r="D4716" s="5" t="s">
        <v>16</v>
      </c>
      <c r="E4716" s="5" t="s">
        <v>4455</v>
      </c>
      <c r="F4716" s="6">
        <v>5820</v>
      </c>
    </row>
    <row r="4717" spans="1:6" x14ac:dyDescent="0.15">
      <c r="A4717" s="5" t="s">
        <v>42</v>
      </c>
      <c r="B4717" s="5" t="s">
        <v>6071</v>
      </c>
      <c r="C4717" s="9">
        <v>44337</v>
      </c>
      <c r="D4717" s="5" t="s">
        <v>16</v>
      </c>
      <c r="E4717" s="5" t="s">
        <v>4455</v>
      </c>
      <c r="F4717" s="6">
        <v>3000</v>
      </c>
    </row>
    <row r="4718" spans="1:6" x14ac:dyDescent="0.15">
      <c r="A4718" s="5" t="s">
        <v>37</v>
      </c>
      <c r="B4718" s="5" t="s">
        <v>8214</v>
      </c>
      <c r="C4718" s="9">
        <v>44337</v>
      </c>
      <c r="D4718" s="5" t="s">
        <v>16</v>
      </c>
      <c r="E4718" s="5" t="s">
        <v>4455</v>
      </c>
      <c r="F4718" s="6">
        <v>5850</v>
      </c>
    </row>
    <row r="4719" spans="1:6" x14ac:dyDescent="0.15">
      <c r="A4719" s="5" t="s">
        <v>44</v>
      </c>
      <c r="B4719" s="5" t="s">
        <v>4454</v>
      </c>
      <c r="C4719" s="9">
        <v>44337</v>
      </c>
      <c r="D4719" s="5" t="s">
        <v>16</v>
      </c>
      <c r="E4719" s="5" t="s">
        <v>4455</v>
      </c>
      <c r="F4719" s="6">
        <v>9750</v>
      </c>
    </row>
    <row r="4720" spans="1:6" x14ac:dyDescent="0.15">
      <c r="A4720" s="5" t="s">
        <v>44</v>
      </c>
      <c r="B4720" s="5" t="s">
        <v>4452</v>
      </c>
      <c r="C4720" s="9">
        <v>44330</v>
      </c>
      <c r="D4720" s="5" t="s">
        <v>16</v>
      </c>
      <c r="E4720" s="5" t="s">
        <v>4453</v>
      </c>
      <c r="F4720" s="6">
        <v>9750</v>
      </c>
    </row>
    <row r="4721" spans="1:6" x14ac:dyDescent="0.15">
      <c r="A4721" s="5" t="s">
        <v>37</v>
      </c>
      <c r="B4721" s="5" t="s">
        <v>8202</v>
      </c>
      <c r="C4721" s="9">
        <v>44330</v>
      </c>
      <c r="D4721" s="5" t="s">
        <v>16</v>
      </c>
      <c r="E4721" s="5" t="s">
        <v>4453</v>
      </c>
      <c r="F4721" s="6">
        <v>15600</v>
      </c>
    </row>
    <row r="4722" spans="1:6" x14ac:dyDescent="0.15">
      <c r="A4722" s="5" t="s">
        <v>37</v>
      </c>
      <c r="B4722" s="5" t="s">
        <v>8185</v>
      </c>
      <c r="C4722" s="9">
        <v>44326</v>
      </c>
      <c r="D4722" s="5" t="s">
        <v>16</v>
      </c>
      <c r="E4722" s="5" t="s">
        <v>8186</v>
      </c>
      <c r="F4722" s="6">
        <v>682.5</v>
      </c>
    </row>
    <row r="4723" spans="1:6" x14ac:dyDescent="0.15">
      <c r="A4723" s="5" t="s">
        <v>37</v>
      </c>
      <c r="B4723" s="5" t="s">
        <v>8187</v>
      </c>
      <c r="C4723" s="9">
        <v>44327</v>
      </c>
      <c r="D4723" s="5" t="s">
        <v>16</v>
      </c>
      <c r="E4723" s="5" t="s">
        <v>8188</v>
      </c>
      <c r="F4723" s="6">
        <v>5070</v>
      </c>
    </row>
    <row r="4724" spans="1:6" x14ac:dyDescent="0.15">
      <c r="A4724" s="5" t="s">
        <v>37</v>
      </c>
      <c r="B4724" s="5" t="s">
        <v>8189</v>
      </c>
      <c r="C4724" s="9">
        <v>44327</v>
      </c>
      <c r="D4724" s="5" t="s">
        <v>16</v>
      </c>
      <c r="E4724" s="5" t="s">
        <v>5488</v>
      </c>
      <c r="F4724" s="6">
        <v>10725</v>
      </c>
    </row>
    <row r="4725" spans="1:6" x14ac:dyDescent="0.15">
      <c r="A4725" s="5" t="s">
        <v>42</v>
      </c>
      <c r="B4725" s="5" t="s">
        <v>6065</v>
      </c>
      <c r="C4725" s="9">
        <v>44327</v>
      </c>
      <c r="D4725" s="5" t="s">
        <v>16</v>
      </c>
      <c r="E4725" s="5" t="s">
        <v>5488</v>
      </c>
      <c r="F4725" s="6">
        <v>4350</v>
      </c>
    </row>
    <row r="4726" spans="1:6" x14ac:dyDescent="0.15">
      <c r="A4726" s="5" t="s">
        <v>43</v>
      </c>
      <c r="B4726" s="5" t="s">
        <v>5487</v>
      </c>
      <c r="C4726" s="9">
        <v>44327</v>
      </c>
      <c r="D4726" s="5" t="s">
        <v>16</v>
      </c>
      <c r="E4726" s="5" t="s">
        <v>5488</v>
      </c>
      <c r="F4726" s="6">
        <v>2813</v>
      </c>
    </row>
    <row r="4727" spans="1:6" x14ac:dyDescent="0.15">
      <c r="A4727" s="5" t="s">
        <v>40</v>
      </c>
      <c r="B4727" s="5" t="s">
        <v>2610</v>
      </c>
      <c r="C4727" s="9">
        <v>44330</v>
      </c>
      <c r="D4727" s="5" t="s">
        <v>16</v>
      </c>
      <c r="E4727" s="5" t="s">
        <v>2611</v>
      </c>
      <c r="F4727" s="6">
        <v>15000</v>
      </c>
    </row>
    <row r="4728" spans="1:6" x14ac:dyDescent="0.15">
      <c r="A4728" s="5" t="s">
        <v>37</v>
      </c>
      <c r="B4728" s="5" t="s">
        <v>8191</v>
      </c>
      <c r="C4728" s="9">
        <v>44328</v>
      </c>
      <c r="D4728" s="5" t="s">
        <v>16</v>
      </c>
      <c r="E4728" s="5" t="s">
        <v>8192</v>
      </c>
      <c r="F4728" s="6">
        <v>1072.5</v>
      </c>
    </row>
    <row r="4729" spans="1:6" x14ac:dyDescent="0.15">
      <c r="A4729" s="5" t="s">
        <v>37</v>
      </c>
      <c r="B4729" s="5" t="s">
        <v>8190</v>
      </c>
      <c r="C4729" s="9">
        <v>44327</v>
      </c>
      <c r="D4729" s="5" t="s">
        <v>16</v>
      </c>
      <c r="E4729" s="5" t="s">
        <v>6067</v>
      </c>
      <c r="F4729" s="6">
        <v>487.5</v>
      </c>
    </row>
    <row r="4730" spans="1:6" x14ac:dyDescent="0.15">
      <c r="A4730" s="5" t="s">
        <v>42</v>
      </c>
      <c r="B4730" s="5" t="s">
        <v>6066</v>
      </c>
      <c r="C4730" s="9">
        <v>44327</v>
      </c>
      <c r="D4730" s="5" t="s">
        <v>16</v>
      </c>
      <c r="E4730" s="5" t="s">
        <v>6067</v>
      </c>
      <c r="F4730" s="6">
        <v>375</v>
      </c>
    </row>
    <row r="4731" spans="1:6" x14ac:dyDescent="0.15">
      <c r="A4731" s="5" t="s">
        <v>37</v>
      </c>
      <c r="B4731" s="5" t="s">
        <v>8196</v>
      </c>
      <c r="C4731" s="9">
        <v>44329</v>
      </c>
      <c r="D4731" s="5" t="s">
        <v>16</v>
      </c>
      <c r="E4731" s="5" t="s">
        <v>8197</v>
      </c>
      <c r="F4731" s="6">
        <v>4875</v>
      </c>
    </row>
    <row r="4732" spans="1:6" x14ac:dyDescent="0.15">
      <c r="A4732" s="5" t="s">
        <v>35</v>
      </c>
      <c r="B4732" s="5" t="s">
        <v>4064</v>
      </c>
      <c r="C4732" s="9">
        <v>44328</v>
      </c>
      <c r="D4732" s="5" t="s">
        <v>16</v>
      </c>
      <c r="E4732" s="5" t="s">
        <v>4065</v>
      </c>
      <c r="F4732" s="6">
        <v>3022.5</v>
      </c>
    </row>
    <row r="4733" spans="1:6" x14ac:dyDescent="0.15">
      <c r="A4733" s="5" t="s">
        <v>37</v>
      </c>
      <c r="B4733" s="5" t="s">
        <v>8193</v>
      </c>
      <c r="C4733" s="9">
        <v>44328</v>
      </c>
      <c r="D4733" s="5" t="s">
        <v>16</v>
      </c>
      <c r="E4733" s="5" t="s">
        <v>4065</v>
      </c>
      <c r="F4733" s="6">
        <v>1072.5</v>
      </c>
    </row>
    <row r="4734" spans="1:6" x14ac:dyDescent="0.15">
      <c r="A4734" s="5" t="s">
        <v>35</v>
      </c>
      <c r="B4734" s="5" t="s">
        <v>4066</v>
      </c>
      <c r="C4734" s="9">
        <v>44328</v>
      </c>
      <c r="D4734" s="5" t="s">
        <v>16</v>
      </c>
      <c r="E4734" s="5" t="s">
        <v>4067</v>
      </c>
      <c r="F4734" s="6">
        <v>1462.5</v>
      </c>
    </row>
    <row r="4735" spans="1:6" x14ac:dyDescent="0.15">
      <c r="A4735" s="5" t="s">
        <v>37</v>
      </c>
      <c r="B4735" s="5" t="s">
        <v>8194</v>
      </c>
      <c r="C4735" s="9">
        <v>44328</v>
      </c>
      <c r="D4735" s="5" t="s">
        <v>16</v>
      </c>
      <c r="E4735" s="5" t="s">
        <v>8195</v>
      </c>
      <c r="F4735" s="6">
        <v>3510</v>
      </c>
    </row>
    <row r="4736" spans="1:6" x14ac:dyDescent="0.15">
      <c r="A4736" s="5" t="s">
        <v>41</v>
      </c>
      <c r="B4736" s="5" t="s">
        <v>2142</v>
      </c>
      <c r="C4736" s="9">
        <v>44329</v>
      </c>
      <c r="D4736" s="5" t="s">
        <v>16</v>
      </c>
      <c r="E4736" s="5" t="s">
        <v>2143</v>
      </c>
      <c r="F4736" s="6">
        <v>145.5</v>
      </c>
    </row>
    <row r="4737" spans="1:6" x14ac:dyDescent="0.15">
      <c r="A4737" s="5" t="s">
        <v>35</v>
      </c>
      <c r="B4737" s="5" t="s">
        <v>4068</v>
      </c>
      <c r="C4737" s="9">
        <v>44329</v>
      </c>
      <c r="D4737" s="5" t="s">
        <v>16</v>
      </c>
      <c r="E4737" s="5" t="s">
        <v>2143</v>
      </c>
      <c r="F4737" s="6">
        <v>292.5</v>
      </c>
    </row>
    <row r="4738" spans="1:6" x14ac:dyDescent="0.15">
      <c r="A4738" s="5" t="s">
        <v>35</v>
      </c>
      <c r="B4738" s="5" t="s">
        <v>4069</v>
      </c>
      <c r="C4738" s="9">
        <v>44329</v>
      </c>
      <c r="D4738" s="5" t="s">
        <v>16</v>
      </c>
      <c r="E4738" s="5" t="s">
        <v>4070</v>
      </c>
      <c r="F4738" s="6">
        <v>1365</v>
      </c>
    </row>
    <row r="4739" spans="1:6" x14ac:dyDescent="0.15">
      <c r="A4739" s="5" t="s">
        <v>35</v>
      </c>
      <c r="B4739" s="5" t="s">
        <v>4071</v>
      </c>
      <c r="C4739" s="9">
        <v>44329</v>
      </c>
      <c r="D4739" s="5" t="s">
        <v>16</v>
      </c>
      <c r="E4739" s="5" t="s">
        <v>4072</v>
      </c>
      <c r="F4739" s="6">
        <v>1072.5</v>
      </c>
    </row>
    <row r="4740" spans="1:6" x14ac:dyDescent="0.15">
      <c r="A4740" s="5" t="s">
        <v>40</v>
      </c>
      <c r="B4740" s="5" t="s">
        <v>2608</v>
      </c>
      <c r="C4740" s="9">
        <v>44329</v>
      </c>
      <c r="D4740" s="5" t="s">
        <v>16</v>
      </c>
      <c r="E4740" s="5" t="s">
        <v>2609</v>
      </c>
      <c r="F4740" s="6">
        <v>1500</v>
      </c>
    </row>
    <row r="4741" spans="1:6" x14ac:dyDescent="0.15">
      <c r="A4741" s="5" t="s">
        <v>35</v>
      </c>
      <c r="B4741" s="5" t="s">
        <v>4073</v>
      </c>
      <c r="C4741" s="9">
        <v>44329</v>
      </c>
      <c r="D4741" s="5" t="s">
        <v>16</v>
      </c>
      <c r="E4741" s="5" t="s">
        <v>4074</v>
      </c>
      <c r="F4741" s="6">
        <v>585</v>
      </c>
    </row>
    <row r="4742" spans="1:6" x14ac:dyDescent="0.15">
      <c r="A4742" s="5" t="s">
        <v>37</v>
      </c>
      <c r="B4742" s="5" t="s">
        <v>8198</v>
      </c>
      <c r="C4742" s="9">
        <v>44329</v>
      </c>
      <c r="D4742" s="5" t="s">
        <v>16</v>
      </c>
      <c r="E4742" s="5" t="s">
        <v>8199</v>
      </c>
      <c r="F4742" s="6">
        <v>2535</v>
      </c>
    </row>
    <row r="4743" spans="1:6" x14ac:dyDescent="0.15">
      <c r="A4743" s="5" t="s">
        <v>37</v>
      </c>
      <c r="B4743" s="5" t="s">
        <v>8203</v>
      </c>
      <c r="C4743" s="9">
        <v>44330</v>
      </c>
      <c r="D4743" s="5" t="s">
        <v>16</v>
      </c>
      <c r="E4743" s="5" t="s">
        <v>8204</v>
      </c>
      <c r="F4743" s="6">
        <v>3022.5</v>
      </c>
    </row>
    <row r="4744" spans="1:6" x14ac:dyDescent="0.15">
      <c r="A4744" s="5" t="s">
        <v>35</v>
      </c>
      <c r="B4744" s="5" t="s">
        <v>4075</v>
      </c>
      <c r="C4744" s="9">
        <v>44330</v>
      </c>
      <c r="D4744" s="5" t="s">
        <v>16</v>
      </c>
      <c r="E4744" s="5" t="s">
        <v>2613</v>
      </c>
      <c r="F4744" s="6">
        <v>3900</v>
      </c>
    </row>
    <row r="4745" spans="1:6" x14ac:dyDescent="0.15">
      <c r="A4745" s="5" t="s">
        <v>40</v>
      </c>
      <c r="B4745" s="5" t="s">
        <v>2612</v>
      </c>
      <c r="C4745" s="9">
        <v>44330</v>
      </c>
      <c r="D4745" s="5" t="s">
        <v>16</v>
      </c>
      <c r="E4745" s="5" t="s">
        <v>2613</v>
      </c>
      <c r="F4745" s="6">
        <v>450</v>
      </c>
    </row>
    <row r="4746" spans="1:6" x14ac:dyDescent="0.15">
      <c r="A4746" s="5" t="s">
        <v>37</v>
      </c>
      <c r="B4746" s="5" t="s">
        <v>8200</v>
      </c>
      <c r="C4746" s="9">
        <v>44329</v>
      </c>
      <c r="D4746" s="5" t="s">
        <v>16</v>
      </c>
      <c r="E4746" s="5" t="s">
        <v>8201</v>
      </c>
      <c r="F4746" s="6">
        <v>975</v>
      </c>
    </row>
    <row r="4747" spans="1:6" x14ac:dyDescent="0.15">
      <c r="A4747" s="5" t="s">
        <v>49</v>
      </c>
      <c r="B4747" s="5" t="s">
        <v>8714</v>
      </c>
      <c r="C4747" s="9">
        <v>44329</v>
      </c>
      <c r="D4747" s="5" t="s">
        <v>16</v>
      </c>
      <c r="E4747" s="5" t="s">
        <v>8201</v>
      </c>
      <c r="F4747" s="6">
        <v>25</v>
      </c>
    </row>
    <row r="4748" spans="1:6" x14ac:dyDescent="0.15">
      <c r="A4748" s="5" t="s">
        <v>37</v>
      </c>
      <c r="B4748" s="5" t="s">
        <v>8205</v>
      </c>
      <c r="C4748" s="9">
        <v>44333</v>
      </c>
      <c r="D4748" s="5" t="s">
        <v>16</v>
      </c>
      <c r="E4748" s="5" t="s">
        <v>4077</v>
      </c>
      <c r="F4748" s="6">
        <v>13747.5</v>
      </c>
    </row>
    <row r="4749" spans="1:6" x14ac:dyDescent="0.15">
      <c r="A4749" s="5" t="s">
        <v>35</v>
      </c>
      <c r="B4749" s="5" t="s">
        <v>4076</v>
      </c>
      <c r="C4749" s="9">
        <v>44333</v>
      </c>
      <c r="D4749" s="5" t="s">
        <v>16</v>
      </c>
      <c r="E4749" s="5" t="s">
        <v>4077</v>
      </c>
      <c r="F4749" s="6">
        <v>292.5</v>
      </c>
    </row>
    <row r="4750" spans="1:6" x14ac:dyDescent="0.15">
      <c r="A4750" s="5" t="s">
        <v>40</v>
      </c>
      <c r="B4750" s="5" t="s">
        <v>2614</v>
      </c>
      <c r="C4750" s="9">
        <v>44330</v>
      </c>
      <c r="D4750" s="5" t="s">
        <v>16</v>
      </c>
      <c r="E4750" s="5" t="s">
        <v>2611</v>
      </c>
      <c r="F4750" s="6">
        <v>-1500</v>
      </c>
    </row>
    <row r="4751" spans="1:6" x14ac:dyDescent="0.15">
      <c r="A4751" s="5" t="s">
        <v>37</v>
      </c>
      <c r="B4751" s="5" t="s">
        <v>8206</v>
      </c>
      <c r="C4751" s="9">
        <v>44333</v>
      </c>
      <c r="D4751" s="5" t="s">
        <v>16</v>
      </c>
      <c r="E4751" s="5" t="s">
        <v>6069</v>
      </c>
      <c r="F4751" s="6">
        <v>3510</v>
      </c>
    </row>
    <row r="4752" spans="1:6" x14ac:dyDescent="0.15">
      <c r="A4752" s="5" t="s">
        <v>42</v>
      </c>
      <c r="B4752" s="5" t="s">
        <v>6068</v>
      </c>
      <c r="C4752" s="9">
        <v>44333</v>
      </c>
      <c r="D4752" s="5" t="s">
        <v>16</v>
      </c>
      <c r="E4752" s="5" t="s">
        <v>6069</v>
      </c>
      <c r="F4752" s="6">
        <v>3000</v>
      </c>
    </row>
    <row r="4753" spans="1:6" x14ac:dyDescent="0.15">
      <c r="A4753" s="5" t="s">
        <v>37</v>
      </c>
      <c r="B4753" s="5" t="s">
        <v>8207</v>
      </c>
      <c r="C4753" s="9">
        <v>44333</v>
      </c>
      <c r="D4753" s="5" t="s">
        <v>16</v>
      </c>
      <c r="E4753" s="5" t="s">
        <v>8208</v>
      </c>
      <c r="F4753" s="6">
        <v>6045</v>
      </c>
    </row>
    <row r="4754" spans="1:6" x14ac:dyDescent="0.15">
      <c r="A4754" s="5" t="s">
        <v>37</v>
      </c>
      <c r="B4754" s="5" t="s">
        <v>8209</v>
      </c>
      <c r="C4754" s="9">
        <v>44333</v>
      </c>
      <c r="D4754" s="5" t="s">
        <v>16</v>
      </c>
      <c r="E4754" s="5" t="s">
        <v>8210</v>
      </c>
      <c r="F4754" s="6">
        <v>3997.5</v>
      </c>
    </row>
    <row r="4755" spans="1:6" x14ac:dyDescent="0.15">
      <c r="A4755" s="5" t="s">
        <v>37</v>
      </c>
      <c r="B4755" s="5" t="s">
        <v>8211</v>
      </c>
      <c r="C4755" s="9">
        <v>44333</v>
      </c>
      <c r="D4755" s="5" t="s">
        <v>16</v>
      </c>
      <c r="E4755" s="5" t="s">
        <v>8212</v>
      </c>
      <c r="F4755" s="6">
        <v>487.5</v>
      </c>
    </row>
    <row r="4756" spans="1:6" x14ac:dyDescent="0.15">
      <c r="A4756" s="5" t="s">
        <v>37</v>
      </c>
      <c r="B4756" s="5" t="s">
        <v>8215</v>
      </c>
      <c r="C4756" s="9">
        <v>44340</v>
      </c>
      <c r="D4756" s="5" t="s">
        <v>16</v>
      </c>
      <c r="E4756" s="5" t="s">
        <v>8216</v>
      </c>
      <c r="F4756" s="6">
        <v>25350</v>
      </c>
    </row>
    <row r="4757" spans="1:6" x14ac:dyDescent="0.15">
      <c r="A4757" s="5" t="s">
        <v>8588</v>
      </c>
      <c r="B4757" s="5" t="s">
        <v>8608</v>
      </c>
      <c r="C4757" s="9">
        <v>44340</v>
      </c>
      <c r="D4757" s="5" t="s">
        <v>16</v>
      </c>
      <c r="E4757" s="5" t="s">
        <v>8609</v>
      </c>
      <c r="F4757" s="6">
        <v>13650</v>
      </c>
    </row>
    <row r="4758" spans="1:6" x14ac:dyDescent="0.15">
      <c r="A4758" s="5" t="s">
        <v>8588</v>
      </c>
      <c r="B4758" s="5" t="s">
        <v>8610</v>
      </c>
      <c r="C4758" s="9">
        <v>44340</v>
      </c>
      <c r="D4758" s="5" t="s">
        <v>16</v>
      </c>
      <c r="E4758" s="5" t="s">
        <v>8611</v>
      </c>
      <c r="F4758" s="6">
        <v>9750</v>
      </c>
    </row>
    <row r="4759" spans="1:6" x14ac:dyDescent="0.15">
      <c r="A4759" s="5" t="s">
        <v>37</v>
      </c>
      <c r="B4759" s="5" t="s">
        <v>8230</v>
      </c>
      <c r="C4759" s="9">
        <v>44348</v>
      </c>
      <c r="D4759" s="5" t="s">
        <v>16</v>
      </c>
      <c r="E4759" s="5" t="s">
        <v>8231</v>
      </c>
      <c r="F4759" s="6">
        <v>25350</v>
      </c>
    </row>
    <row r="4760" spans="1:6" x14ac:dyDescent="0.15">
      <c r="A4760" s="5" t="s">
        <v>35</v>
      </c>
      <c r="B4760" s="5" t="s">
        <v>4078</v>
      </c>
      <c r="C4760" s="9">
        <v>44340</v>
      </c>
      <c r="D4760" s="5" t="s">
        <v>16</v>
      </c>
      <c r="E4760" s="5" t="s">
        <v>4079</v>
      </c>
      <c r="F4760" s="6">
        <v>97.5</v>
      </c>
    </row>
    <row r="4761" spans="1:6" x14ac:dyDescent="0.15">
      <c r="A4761" s="5" t="s">
        <v>37</v>
      </c>
      <c r="B4761" s="5" t="s">
        <v>8213</v>
      </c>
      <c r="C4761" s="9">
        <v>44335</v>
      </c>
      <c r="D4761" s="5" t="s">
        <v>16</v>
      </c>
      <c r="E4761" s="5" t="s">
        <v>5490</v>
      </c>
      <c r="F4761" s="6">
        <v>9067.5</v>
      </c>
    </row>
    <row r="4762" spans="1:6" x14ac:dyDescent="0.15">
      <c r="A4762" s="5" t="s">
        <v>42</v>
      </c>
      <c r="B4762" s="5" t="s">
        <v>6070</v>
      </c>
      <c r="C4762" s="9">
        <v>44335</v>
      </c>
      <c r="D4762" s="5" t="s">
        <v>16</v>
      </c>
      <c r="E4762" s="5" t="s">
        <v>5490</v>
      </c>
      <c r="F4762" s="6">
        <v>5400</v>
      </c>
    </row>
    <row r="4763" spans="1:6" x14ac:dyDescent="0.15">
      <c r="A4763" s="5" t="s">
        <v>43</v>
      </c>
      <c r="B4763" s="5" t="s">
        <v>5489</v>
      </c>
      <c r="C4763" s="9">
        <v>44335</v>
      </c>
      <c r="D4763" s="5" t="s">
        <v>16</v>
      </c>
      <c r="E4763" s="5" t="s">
        <v>5490</v>
      </c>
      <c r="F4763" s="6">
        <v>1018.5</v>
      </c>
    </row>
    <row r="4764" spans="1:6" x14ac:dyDescent="0.15">
      <c r="A4764" s="5" t="s">
        <v>37</v>
      </c>
      <c r="B4764" s="5" t="s">
        <v>8217</v>
      </c>
      <c r="C4764" s="9">
        <v>44340</v>
      </c>
      <c r="D4764" s="5" t="s">
        <v>16</v>
      </c>
      <c r="E4764" s="5" t="s">
        <v>8218</v>
      </c>
      <c r="F4764" s="6">
        <v>585</v>
      </c>
    </row>
    <row r="4765" spans="1:6" x14ac:dyDescent="0.15">
      <c r="A4765" s="5" t="s">
        <v>37</v>
      </c>
      <c r="B4765" s="5" t="s">
        <v>8226</v>
      </c>
      <c r="C4765" s="9">
        <v>44344</v>
      </c>
      <c r="D4765" s="5" t="s">
        <v>16</v>
      </c>
      <c r="E4765" s="5" t="s">
        <v>4084</v>
      </c>
      <c r="F4765" s="6">
        <v>97.5</v>
      </c>
    </row>
    <row r="4766" spans="1:6" x14ac:dyDescent="0.15">
      <c r="A4766" s="5" t="s">
        <v>35</v>
      </c>
      <c r="B4766" s="5" t="s">
        <v>4083</v>
      </c>
      <c r="C4766" s="9">
        <v>44344</v>
      </c>
      <c r="D4766" s="5" t="s">
        <v>16</v>
      </c>
      <c r="E4766" s="5" t="s">
        <v>4084</v>
      </c>
      <c r="F4766" s="6">
        <v>97.5</v>
      </c>
    </row>
    <row r="4767" spans="1:6" x14ac:dyDescent="0.15">
      <c r="A4767" s="5" t="s">
        <v>8588</v>
      </c>
      <c r="B4767" s="5" t="s">
        <v>8613</v>
      </c>
      <c r="C4767" s="9">
        <v>44357</v>
      </c>
      <c r="D4767" s="5" t="s">
        <v>16</v>
      </c>
      <c r="E4767" s="5" t="s">
        <v>8614</v>
      </c>
      <c r="F4767" s="6">
        <v>25350</v>
      </c>
    </row>
    <row r="4768" spans="1:6" x14ac:dyDescent="0.15">
      <c r="A4768" s="5" t="s">
        <v>66</v>
      </c>
      <c r="B4768" s="5" t="s">
        <v>5719</v>
      </c>
      <c r="C4768" s="9">
        <v>44354</v>
      </c>
      <c r="D4768" s="5" t="s">
        <v>16</v>
      </c>
      <c r="E4768" s="5" t="s">
        <v>4093</v>
      </c>
      <c r="F4768" s="6">
        <v>3880</v>
      </c>
    </row>
    <row r="4769" spans="1:6" x14ac:dyDescent="0.15">
      <c r="A4769" s="5" t="s">
        <v>42</v>
      </c>
      <c r="B4769" s="5" t="s">
        <v>6074</v>
      </c>
      <c r="C4769" s="9">
        <v>44354</v>
      </c>
      <c r="D4769" s="5" t="s">
        <v>16</v>
      </c>
      <c r="E4769" s="5" t="s">
        <v>4093</v>
      </c>
      <c r="F4769" s="6">
        <v>9000</v>
      </c>
    </row>
    <row r="4770" spans="1:6" x14ac:dyDescent="0.15">
      <c r="A4770" s="5" t="s">
        <v>43</v>
      </c>
      <c r="B4770" s="5" t="s">
        <v>5500</v>
      </c>
      <c r="C4770" s="9">
        <v>44354</v>
      </c>
      <c r="D4770" s="5" t="s">
        <v>16</v>
      </c>
      <c r="E4770" s="5" t="s">
        <v>4093</v>
      </c>
      <c r="F4770" s="6">
        <v>5820</v>
      </c>
    </row>
    <row r="4771" spans="1:6" x14ac:dyDescent="0.15">
      <c r="A4771" s="5" t="s">
        <v>35</v>
      </c>
      <c r="B4771" s="5" t="s">
        <v>4092</v>
      </c>
      <c r="C4771" s="9">
        <v>44354</v>
      </c>
      <c r="D4771" s="5" t="s">
        <v>16</v>
      </c>
      <c r="E4771" s="5" t="s">
        <v>4093</v>
      </c>
      <c r="F4771" s="6">
        <v>3900</v>
      </c>
    </row>
    <row r="4772" spans="1:6" x14ac:dyDescent="0.15">
      <c r="A4772" s="5" t="s">
        <v>43</v>
      </c>
      <c r="B4772" s="5" t="s">
        <v>5492</v>
      </c>
      <c r="C4772" s="9">
        <v>44341</v>
      </c>
      <c r="D4772" s="5" t="s">
        <v>16</v>
      </c>
      <c r="E4772" s="5" t="s">
        <v>5493</v>
      </c>
      <c r="F4772" s="6">
        <v>48.5</v>
      </c>
    </row>
    <row r="4773" spans="1:6" x14ac:dyDescent="0.15">
      <c r="A4773" s="5" t="s">
        <v>37</v>
      </c>
      <c r="B4773" s="5" t="s">
        <v>8219</v>
      </c>
      <c r="C4773" s="9">
        <v>44341</v>
      </c>
      <c r="D4773" s="5" t="s">
        <v>16</v>
      </c>
      <c r="E4773" s="5" t="s">
        <v>8220</v>
      </c>
      <c r="F4773" s="6">
        <v>1462.5</v>
      </c>
    </row>
    <row r="4774" spans="1:6" x14ac:dyDescent="0.15">
      <c r="A4774" s="5" t="s">
        <v>37</v>
      </c>
      <c r="B4774" s="5" t="s">
        <v>8221</v>
      </c>
      <c r="C4774" s="9">
        <v>44341</v>
      </c>
      <c r="D4774" s="5" t="s">
        <v>16</v>
      </c>
      <c r="E4774" s="5" t="s">
        <v>8222</v>
      </c>
      <c r="F4774" s="6">
        <v>7020</v>
      </c>
    </row>
    <row r="4775" spans="1:6" x14ac:dyDescent="0.15">
      <c r="A4775" s="5" t="s">
        <v>41</v>
      </c>
      <c r="B4775" s="5" t="s">
        <v>2144</v>
      </c>
      <c r="C4775" s="9">
        <v>44341</v>
      </c>
      <c r="D4775" s="5" t="s">
        <v>16</v>
      </c>
      <c r="E4775" s="5" t="s">
        <v>2145</v>
      </c>
      <c r="F4775" s="6">
        <v>2716</v>
      </c>
    </row>
    <row r="4776" spans="1:6" x14ac:dyDescent="0.15">
      <c r="A4776" s="5" t="s">
        <v>35</v>
      </c>
      <c r="B4776" s="5" t="s">
        <v>4080</v>
      </c>
      <c r="C4776" s="9">
        <v>44341</v>
      </c>
      <c r="D4776" s="5" t="s">
        <v>16</v>
      </c>
      <c r="E4776" s="5" t="s">
        <v>2145</v>
      </c>
      <c r="F4776" s="6">
        <v>5460</v>
      </c>
    </row>
    <row r="4777" spans="1:6" x14ac:dyDescent="0.15">
      <c r="A4777" s="5" t="s">
        <v>35</v>
      </c>
      <c r="B4777" s="5" t="s">
        <v>4081</v>
      </c>
      <c r="C4777" s="9">
        <v>44341</v>
      </c>
      <c r="D4777" s="5" t="s">
        <v>16</v>
      </c>
      <c r="E4777" s="5" t="s">
        <v>4082</v>
      </c>
      <c r="F4777" s="6">
        <v>13065</v>
      </c>
    </row>
    <row r="4778" spans="1:6" x14ac:dyDescent="0.15">
      <c r="A4778" s="5" t="s">
        <v>37</v>
      </c>
      <c r="B4778" s="5" t="s">
        <v>8223</v>
      </c>
      <c r="C4778" s="9">
        <v>44341</v>
      </c>
      <c r="D4778" s="5" t="s">
        <v>16</v>
      </c>
      <c r="E4778" s="5" t="s">
        <v>5495</v>
      </c>
      <c r="F4778" s="6">
        <v>780</v>
      </c>
    </row>
    <row r="4779" spans="1:6" x14ac:dyDescent="0.15">
      <c r="A4779" s="5" t="s">
        <v>43</v>
      </c>
      <c r="B4779" s="5" t="s">
        <v>5494</v>
      </c>
      <c r="C4779" s="9">
        <v>44341</v>
      </c>
      <c r="D4779" s="5" t="s">
        <v>16</v>
      </c>
      <c r="E4779" s="5" t="s">
        <v>5495</v>
      </c>
      <c r="F4779" s="6">
        <v>97</v>
      </c>
    </row>
    <row r="4780" spans="1:6" x14ac:dyDescent="0.15">
      <c r="A4780" s="5" t="s">
        <v>42</v>
      </c>
      <c r="B4780" s="5" t="s">
        <v>6072</v>
      </c>
      <c r="C4780" s="9">
        <v>44343</v>
      </c>
      <c r="D4780" s="5" t="s">
        <v>16</v>
      </c>
      <c r="E4780" s="5" t="s">
        <v>6073</v>
      </c>
      <c r="F4780" s="6">
        <v>5025</v>
      </c>
    </row>
    <row r="4781" spans="1:6" x14ac:dyDescent="0.15">
      <c r="A4781" s="5" t="s">
        <v>8530</v>
      </c>
      <c r="B4781" s="5" t="s">
        <v>8533</v>
      </c>
      <c r="C4781" s="9">
        <v>44343</v>
      </c>
      <c r="D4781" s="5" t="s">
        <v>16</v>
      </c>
      <c r="E4781" s="5" t="s">
        <v>8534</v>
      </c>
      <c r="F4781" s="6">
        <v>14625</v>
      </c>
    </row>
    <row r="4782" spans="1:6" x14ac:dyDescent="0.15">
      <c r="A4782" s="5" t="s">
        <v>43</v>
      </c>
      <c r="B4782" s="5" t="s">
        <v>5498</v>
      </c>
      <c r="C4782" s="9">
        <v>44349</v>
      </c>
      <c r="D4782" s="5" t="s">
        <v>16</v>
      </c>
      <c r="E4782" s="5" t="s">
        <v>5499</v>
      </c>
      <c r="F4782" s="6">
        <v>21340</v>
      </c>
    </row>
    <row r="4783" spans="1:6" x14ac:dyDescent="0.15">
      <c r="A4783" s="5" t="s">
        <v>66</v>
      </c>
      <c r="B4783" s="5" t="s">
        <v>5718</v>
      </c>
      <c r="C4783" s="9">
        <v>44349</v>
      </c>
      <c r="D4783" s="5" t="s">
        <v>16</v>
      </c>
      <c r="E4783" s="5" t="s">
        <v>5499</v>
      </c>
      <c r="F4783" s="6">
        <v>1940</v>
      </c>
    </row>
    <row r="4784" spans="1:6" x14ac:dyDescent="0.15">
      <c r="A4784" s="5" t="s">
        <v>8588</v>
      </c>
      <c r="B4784" s="5" t="s">
        <v>8612</v>
      </c>
      <c r="C4784" s="9">
        <v>44349</v>
      </c>
      <c r="D4784" s="5" t="s">
        <v>16</v>
      </c>
      <c r="E4784" s="5" t="s">
        <v>5499</v>
      </c>
      <c r="F4784" s="6">
        <v>1950</v>
      </c>
    </row>
    <row r="4785" spans="1:6" x14ac:dyDescent="0.15">
      <c r="A4785" s="5" t="s">
        <v>43</v>
      </c>
      <c r="B4785" s="5" t="s">
        <v>5496</v>
      </c>
      <c r="C4785" s="9">
        <v>44344</v>
      </c>
      <c r="D4785" s="5" t="s">
        <v>16</v>
      </c>
      <c r="E4785" s="5" t="s">
        <v>5497</v>
      </c>
      <c r="F4785" s="6">
        <v>582</v>
      </c>
    </row>
    <row r="4786" spans="1:6" x14ac:dyDescent="0.15">
      <c r="A4786" s="5" t="s">
        <v>37</v>
      </c>
      <c r="B4786" s="5" t="s">
        <v>8227</v>
      </c>
      <c r="C4786" s="9">
        <v>44344</v>
      </c>
      <c r="D4786" s="5" t="s">
        <v>16</v>
      </c>
      <c r="E4786" s="5" t="s">
        <v>5497</v>
      </c>
      <c r="F4786" s="6">
        <v>390</v>
      </c>
    </row>
    <row r="4787" spans="1:6" x14ac:dyDescent="0.15">
      <c r="A4787" s="5" t="s">
        <v>37</v>
      </c>
      <c r="B4787" s="5" t="s">
        <v>8228</v>
      </c>
      <c r="C4787" s="9">
        <v>44344</v>
      </c>
      <c r="D4787" s="5" t="s">
        <v>16</v>
      </c>
      <c r="E4787" s="5" t="s">
        <v>8229</v>
      </c>
      <c r="F4787" s="6">
        <v>1560</v>
      </c>
    </row>
    <row r="4788" spans="1:6" x14ac:dyDescent="0.15">
      <c r="A4788" s="5" t="s">
        <v>44</v>
      </c>
      <c r="B4788" s="5" t="s">
        <v>4456</v>
      </c>
      <c r="C4788" s="9">
        <v>44344</v>
      </c>
      <c r="D4788" s="5" t="s">
        <v>16</v>
      </c>
      <c r="E4788" s="5" t="s">
        <v>4457</v>
      </c>
      <c r="F4788" s="6">
        <v>3900</v>
      </c>
    </row>
    <row r="4789" spans="1:6" x14ac:dyDescent="0.15">
      <c r="A4789" s="5" t="s">
        <v>35</v>
      </c>
      <c r="B4789" s="5" t="s">
        <v>4085</v>
      </c>
      <c r="C4789" s="9">
        <v>44344</v>
      </c>
      <c r="D4789" s="5" t="s">
        <v>16</v>
      </c>
      <c r="E4789" s="5" t="s">
        <v>2147</v>
      </c>
      <c r="F4789" s="6">
        <v>26325</v>
      </c>
    </row>
    <row r="4790" spans="1:6" x14ac:dyDescent="0.15">
      <c r="A4790" s="5" t="s">
        <v>41</v>
      </c>
      <c r="B4790" s="5" t="s">
        <v>2146</v>
      </c>
      <c r="C4790" s="9">
        <v>44344</v>
      </c>
      <c r="D4790" s="5" t="s">
        <v>16</v>
      </c>
      <c r="E4790" s="5" t="s">
        <v>2147</v>
      </c>
      <c r="F4790" s="6">
        <v>1940</v>
      </c>
    </row>
    <row r="4791" spans="1:6" x14ac:dyDescent="0.15">
      <c r="A4791" s="5" t="s">
        <v>63</v>
      </c>
      <c r="B4791" s="5" t="s">
        <v>2293</v>
      </c>
      <c r="C4791" s="9">
        <v>44361</v>
      </c>
      <c r="D4791" s="5" t="s">
        <v>16</v>
      </c>
      <c r="E4791" s="5" t="s">
        <v>2294</v>
      </c>
      <c r="F4791" s="6">
        <v>3880</v>
      </c>
    </row>
    <row r="4792" spans="1:6" x14ac:dyDescent="0.15">
      <c r="A4792" s="5" t="s">
        <v>174</v>
      </c>
      <c r="B4792" s="5" t="s">
        <v>2686</v>
      </c>
      <c r="C4792" s="9">
        <v>44361</v>
      </c>
      <c r="D4792" s="5" t="s">
        <v>16</v>
      </c>
      <c r="E4792" s="5" t="s">
        <v>2294</v>
      </c>
      <c r="F4792" s="6">
        <v>4500</v>
      </c>
    </row>
    <row r="4793" spans="1:6" x14ac:dyDescent="0.15">
      <c r="A4793" s="5" t="s">
        <v>148</v>
      </c>
      <c r="B4793" s="5" t="s">
        <v>5698</v>
      </c>
      <c r="C4793" s="9">
        <v>44361</v>
      </c>
      <c r="D4793" s="5" t="s">
        <v>16</v>
      </c>
      <c r="E4793" s="5" t="s">
        <v>2294</v>
      </c>
      <c r="F4793" s="6">
        <v>4365</v>
      </c>
    </row>
    <row r="4794" spans="1:6" x14ac:dyDescent="0.15">
      <c r="A4794" s="5" t="s">
        <v>158</v>
      </c>
      <c r="B4794" s="5" t="s">
        <v>8582</v>
      </c>
      <c r="C4794" s="9">
        <v>44361</v>
      </c>
      <c r="D4794" s="5" t="s">
        <v>16</v>
      </c>
      <c r="E4794" s="5" t="s">
        <v>2294</v>
      </c>
      <c r="F4794" s="6">
        <v>3510</v>
      </c>
    </row>
    <row r="4795" spans="1:6" x14ac:dyDescent="0.15">
      <c r="A4795" s="5" t="s">
        <v>44</v>
      </c>
      <c r="B4795" s="5" t="s">
        <v>4458</v>
      </c>
      <c r="C4795" s="9">
        <v>44361</v>
      </c>
      <c r="D4795" s="5" t="s">
        <v>16</v>
      </c>
      <c r="E4795" s="5" t="s">
        <v>2294</v>
      </c>
      <c r="F4795" s="6">
        <v>3900</v>
      </c>
    </row>
    <row r="4796" spans="1:6" x14ac:dyDescent="0.15">
      <c r="A4796" s="5" t="s">
        <v>37</v>
      </c>
      <c r="B4796" s="5" t="s">
        <v>8224</v>
      </c>
      <c r="C4796" s="9">
        <v>44343</v>
      </c>
      <c r="D4796" s="5" t="s">
        <v>16</v>
      </c>
      <c r="E4796" s="5" t="s">
        <v>8225</v>
      </c>
      <c r="F4796" s="6">
        <v>195</v>
      </c>
    </row>
    <row r="4797" spans="1:6" x14ac:dyDescent="0.15">
      <c r="A4797" s="5" t="s">
        <v>35</v>
      </c>
      <c r="B4797" s="5" t="s">
        <v>4086</v>
      </c>
      <c r="C4797" s="9">
        <v>44349</v>
      </c>
      <c r="D4797" s="5" t="s">
        <v>16</v>
      </c>
      <c r="E4797" s="5" t="s">
        <v>4087</v>
      </c>
      <c r="F4797" s="6">
        <v>292.5</v>
      </c>
    </row>
    <row r="4798" spans="1:6" x14ac:dyDescent="0.15">
      <c r="A4798" s="5" t="s">
        <v>35</v>
      </c>
      <c r="B4798" s="5" t="s">
        <v>4088</v>
      </c>
      <c r="C4798" s="9">
        <v>44349</v>
      </c>
      <c r="D4798" s="5" t="s">
        <v>16</v>
      </c>
      <c r="E4798" s="5" t="s">
        <v>4089</v>
      </c>
      <c r="F4798" s="6">
        <v>1950</v>
      </c>
    </row>
    <row r="4799" spans="1:6" x14ac:dyDescent="0.15">
      <c r="A4799" s="5" t="s">
        <v>35</v>
      </c>
      <c r="B4799" s="5" t="s">
        <v>4099</v>
      </c>
      <c r="C4799" s="9">
        <v>44358</v>
      </c>
      <c r="D4799" s="5" t="s">
        <v>16</v>
      </c>
      <c r="E4799" s="5" t="s">
        <v>4100</v>
      </c>
      <c r="F4799" s="6">
        <v>5850</v>
      </c>
    </row>
    <row r="4800" spans="1:6" x14ac:dyDescent="0.15">
      <c r="A4800" s="5" t="s">
        <v>37</v>
      </c>
      <c r="B4800" s="5" t="s">
        <v>8234</v>
      </c>
      <c r="C4800" s="9">
        <v>44355</v>
      </c>
      <c r="D4800" s="5" t="s">
        <v>16</v>
      </c>
      <c r="E4800" s="5" t="s">
        <v>8235</v>
      </c>
      <c r="F4800" s="6">
        <v>4777.5</v>
      </c>
    </row>
    <row r="4801" spans="1:6" x14ac:dyDescent="0.15">
      <c r="A4801" s="5" t="s">
        <v>37</v>
      </c>
      <c r="B4801" s="5" t="s">
        <v>8236</v>
      </c>
      <c r="C4801" s="9">
        <v>44355</v>
      </c>
      <c r="D4801" s="5" t="s">
        <v>16</v>
      </c>
      <c r="E4801" s="5" t="s">
        <v>8237</v>
      </c>
      <c r="F4801" s="6">
        <v>5070</v>
      </c>
    </row>
    <row r="4802" spans="1:6" x14ac:dyDescent="0.15">
      <c r="A4802" s="5" t="s">
        <v>37</v>
      </c>
      <c r="B4802" s="5" t="s">
        <v>8232</v>
      </c>
      <c r="C4802" s="9">
        <v>44354</v>
      </c>
      <c r="D4802" s="5" t="s">
        <v>16</v>
      </c>
      <c r="E4802" s="5" t="s">
        <v>8233</v>
      </c>
      <c r="F4802" s="6">
        <v>2145</v>
      </c>
    </row>
    <row r="4803" spans="1:6" x14ac:dyDescent="0.15">
      <c r="A4803" s="5" t="s">
        <v>35</v>
      </c>
      <c r="B4803" s="5" t="s">
        <v>4090</v>
      </c>
      <c r="C4803" s="9">
        <v>44349</v>
      </c>
      <c r="D4803" s="5" t="s">
        <v>16</v>
      </c>
      <c r="E4803" s="5" t="s">
        <v>4091</v>
      </c>
      <c r="F4803" s="6">
        <v>4485</v>
      </c>
    </row>
    <row r="4804" spans="1:6" x14ac:dyDescent="0.15">
      <c r="A4804" s="5" t="s">
        <v>42</v>
      </c>
      <c r="B4804" s="5" t="s">
        <v>6087</v>
      </c>
      <c r="C4804" s="9">
        <v>44382</v>
      </c>
      <c r="D4804" s="5" t="s">
        <v>16</v>
      </c>
      <c r="E4804" s="5" t="s">
        <v>2161</v>
      </c>
      <c r="F4804" s="6">
        <v>3000</v>
      </c>
    </row>
    <row r="4805" spans="1:6" x14ac:dyDescent="0.15">
      <c r="A4805" s="5" t="s">
        <v>41</v>
      </c>
      <c r="B4805" s="5" t="s">
        <v>2160</v>
      </c>
      <c r="C4805" s="9">
        <v>44382</v>
      </c>
      <c r="D4805" s="5" t="s">
        <v>16</v>
      </c>
      <c r="E4805" s="5" t="s">
        <v>2161</v>
      </c>
      <c r="F4805" s="6">
        <v>3880</v>
      </c>
    </row>
    <row r="4806" spans="1:6" x14ac:dyDescent="0.15">
      <c r="A4806" s="5" t="s">
        <v>40</v>
      </c>
      <c r="B4806" s="5" t="s">
        <v>2623</v>
      </c>
      <c r="C4806" s="9">
        <v>44382</v>
      </c>
      <c r="D4806" s="5" t="s">
        <v>16</v>
      </c>
      <c r="E4806" s="5" t="s">
        <v>2161</v>
      </c>
      <c r="F4806" s="6">
        <v>1500</v>
      </c>
    </row>
    <row r="4807" spans="1:6" x14ac:dyDescent="0.15">
      <c r="A4807" s="5" t="s">
        <v>35</v>
      </c>
      <c r="B4807" s="5" t="s">
        <v>4120</v>
      </c>
      <c r="C4807" s="9">
        <v>44382</v>
      </c>
      <c r="D4807" s="5" t="s">
        <v>16</v>
      </c>
      <c r="E4807" s="5" t="s">
        <v>2161</v>
      </c>
      <c r="F4807" s="6">
        <v>3900</v>
      </c>
    </row>
    <row r="4808" spans="1:6" x14ac:dyDescent="0.15">
      <c r="A4808" s="5" t="s">
        <v>46</v>
      </c>
      <c r="B4808" s="5" t="s">
        <v>2231</v>
      </c>
      <c r="C4808" s="9">
        <v>44382</v>
      </c>
      <c r="D4808" s="5" t="s">
        <v>16</v>
      </c>
      <c r="E4808" s="5" t="s">
        <v>2161</v>
      </c>
      <c r="F4808" s="6">
        <v>1940</v>
      </c>
    </row>
    <row r="4809" spans="1:6" x14ac:dyDescent="0.15">
      <c r="A4809" s="5" t="s">
        <v>65</v>
      </c>
      <c r="B4809" s="5" t="s">
        <v>4281</v>
      </c>
      <c r="C4809" s="9">
        <v>44382</v>
      </c>
      <c r="D4809" s="5" t="s">
        <v>16</v>
      </c>
      <c r="E4809" s="5" t="s">
        <v>2161</v>
      </c>
      <c r="F4809" s="6">
        <v>1500</v>
      </c>
    </row>
    <row r="4810" spans="1:6" x14ac:dyDescent="0.15">
      <c r="A4810" s="5" t="s">
        <v>65</v>
      </c>
      <c r="B4810" s="5" t="s">
        <v>4282</v>
      </c>
      <c r="C4810" s="9">
        <v>44389</v>
      </c>
      <c r="D4810" s="5" t="s">
        <v>16</v>
      </c>
      <c r="E4810" s="5" t="s">
        <v>2689</v>
      </c>
      <c r="F4810" s="6">
        <v>1500</v>
      </c>
    </row>
    <row r="4811" spans="1:6" x14ac:dyDescent="0.15">
      <c r="A4811" s="5" t="s">
        <v>57</v>
      </c>
      <c r="B4811" s="5" t="s">
        <v>5621</v>
      </c>
      <c r="C4811" s="9">
        <v>44389</v>
      </c>
      <c r="D4811" s="5" t="s">
        <v>16</v>
      </c>
      <c r="E4811" s="5" t="s">
        <v>2689</v>
      </c>
      <c r="F4811" s="6">
        <v>1940</v>
      </c>
    </row>
    <row r="4812" spans="1:6" x14ac:dyDescent="0.15">
      <c r="A4812" s="5" t="s">
        <v>64</v>
      </c>
      <c r="B4812" s="5" t="s">
        <v>6146</v>
      </c>
      <c r="C4812" s="9">
        <v>44389</v>
      </c>
      <c r="D4812" s="5" t="s">
        <v>16</v>
      </c>
      <c r="E4812" s="5" t="s">
        <v>2689</v>
      </c>
      <c r="F4812" s="6">
        <v>4500</v>
      </c>
    </row>
    <row r="4813" spans="1:6" x14ac:dyDescent="0.15">
      <c r="A4813" s="5" t="s">
        <v>53</v>
      </c>
      <c r="B4813" s="5" t="s">
        <v>8526</v>
      </c>
      <c r="C4813" s="9">
        <v>44389</v>
      </c>
      <c r="D4813" s="5" t="s">
        <v>16</v>
      </c>
      <c r="E4813" s="5" t="s">
        <v>2689</v>
      </c>
      <c r="F4813" s="6">
        <v>1950</v>
      </c>
    </row>
    <row r="4814" spans="1:6" x14ac:dyDescent="0.15">
      <c r="A4814" s="5" t="s">
        <v>174</v>
      </c>
      <c r="B4814" s="5" t="s">
        <v>2688</v>
      </c>
      <c r="C4814" s="9">
        <v>44389</v>
      </c>
      <c r="D4814" s="5" t="s">
        <v>16</v>
      </c>
      <c r="E4814" s="5" t="s">
        <v>2689</v>
      </c>
      <c r="F4814" s="6">
        <v>1500</v>
      </c>
    </row>
    <row r="4815" spans="1:6" x14ac:dyDescent="0.15">
      <c r="A4815" s="5" t="s">
        <v>148</v>
      </c>
      <c r="B4815" s="5" t="s">
        <v>5701</v>
      </c>
      <c r="C4815" s="9">
        <v>44389</v>
      </c>
      <c r="D4815" s="5" t="s">
        <v>16</v>
      </c>
      <c r="E4815" s="5" t="s">
        <v>2689</v>
      </c>
      <c r="F4815" s="6">
        <v>1455</v>
      </c>
    </row>
    <row r="4816" spans="1:6" x14ac:dyDescent="0.15">
      <c r="A4816" s="5" t="s">
        <v>58</v>
      </c>
      <c r="B4816" s="5" t="s">
        <v>6202</v>
      </c>
      <c r="C4816" s="9">
        <v>44389</v>
      </c>
      <c r="D4816" s="5" t="s">
        <v>16</v>
      </c>
      <c r="E4816" s="5" t="s">
        <v>2689</v>
      </c>
      <c r="F4816" s="6">
        <v>1125</v>
      </c>
    </row>
    <row r="4817" spans="1:6" x14ac:dyDescent="0.15">
      <c r="A4817" s="5" t="s">
        <v>158</v>
      </c>
      <c r="B4817" s="5" t="s">
        <v>8586</v>
      </c>
      <c r="C4817" s="9">
        <v>44389</v>
      </c>
      <c r="D4817" s="5" t="s">
        <v>16</v>
      </c>
      <c r="E4817" s="5" t="s">
        <v>2689</v>
      </c>
      <c r="F4817" s="6">
        <v>4680</v>
      </c>
    </row>
    <row r="4818" spans="1:6" x14ac:dyDescent="0.15">
      <c r="A4818" s="5" t="s">
        <v>37</v>
      </c>
      <c r="B4818" s="5" t="s">
        <v>8238</v>
      </c>
      <c r="C4818" s="9">
        <v>44355</v>
      </c>
      <c r="D4818" s="5" t="s">
        <v>16</v>
      </c>
      <c r="E4818" s="5" t="s">
        <v>8239</v>
      </c>
      <c r="F4818" s="6">
        <v>1365</v>
      </c>
    </row>
    <row r="4819" spans="1:6" x14ac:dyDescent="0.15">
      <c r="A4819" s="5" t="s">
        <v>35</v>
      </c>
      <c r="B4819" s="5" t="s">
        <v>4094</v>
      </c>
      <c r="C4819" s="9">
        <v>44355</v>
      </c>
      <c r="D4819" s="5" t="s">
        <v>16</v>
      </c>
      <c r="E4819" s="5" t="s">
        <v>4095</v>
      </c>
      <c r="F4819" s="6">
        <v>390</v>
      </c>
    </row>
    <row r="4820" spans="1:6" x14ac:dyDescent="0.15">
      <c r="A4820" s="5" t="s">
        <v>37</v>
      </c>
      <c r="B4820" s="5" t="s">
        <v>8240</v>
      </c>
      <c r="C4820" s="9">
        <v>44355</v>
      </c>
      <c r="D4820" s="5" t="s">
        <v>16</v>
      </c>
      <c r="E4820" s="5" t="s">
        <v>8241</v>
      </c>
      <c r="F4820" s="6">
        <v>390</v>
      </c>
    </row>
    <row r="4821" spans="1:6" x14ac:dyDescent="0.15">
      <c r="A4821" s="5" t="s">
        <v>46</v>
      </c>
      <c r="B4821" s="5" t="s">
        <v>2182</v>
      </c>
      <c r="C4821" s="9"/>
      <c r="D4821" s="5" t="s">
        <v>16</v>
      </c>
      <c r="E4821" s="5" t="s">
        <v>2183</v>
      </c>
      <c r="F4821" s="6">
        <v>1940</v>
      </c>
    </row>
    <row r="4822" spans="1:6" x14ac:dyDescent="0.15">
      <c r="A4822" s="5" t="s">
        <v>44</v>
      </c>
      <c r="B4822" s="5" t="s">
        <v>4283</v>
      </c>
      <c r="C4822" s="9"/>
      <c r="D4822" s="5" t="s">
        <v>16</v>
      </c>
      <c r="E4822" s="5" t="s">
        <v>2183</v>
      </c>
      <c r="F4822" s="6">
        <v>17550</v>
      </c>
    </row>
    <row r="4823" spans="1:6" x14ac:dyDescent="0.15">
      <c r="A4823" s="5" t="s">
        <v>37</v>
      </c>
      <c r="B4823" s="5" t="s">
        <v>6203</v>
      </c>
      <c r="C4823" s="9"/>
      <c r="D4823" s="5" t="s">
        <v>16</v>
      </c>
      <c r="E4823" s="5" t="s">
        <v>2183</v>
      </c>
      <c r="F4823" s="6">
        <v>5850</v>
      </c>
    </row>
    <row r="4824" spans="1:6" x14ac:dyDescent="0.15">
      <c r="A4824" s="5" t="s">
        <v>43</v>
      </c>
      <c r="B4824" s="5" t="s">
        <v>5501</v>
      </c>
      <c r="C4824" s="9">
        <v>44356</v>
      </c>
      <c r="D4824" s="5" t="s">
        <v>16</v>
      </c>
      <c r="E4824" s="5" t="s">
        <v>5502</v>
      </c>
      <c r="F4824" s="6">
        <v>3880</v>
      </c>
    </row>
    <row r="4825" spans="1:6" x14ac:dyDescent="0.15">
      <c r="A4825" s="5" t="s">
        <v>42</v>
      </c>
      <c r="B4825" s="5" t="s">
        <v>6075</v>
      </c>
      <c r="C4825" s="9">
        <v>44356</v>
      </c>
      <c r="D4825" s="5" t="s">
        <v>16</v>
      </c>
      <c r="E4825" s="5" t="s">
        <v>5502</v>
      </c>
      <c r="F4825" s="6">
        <v>4500</v>
      </c>
    </row>
    <row r="4826" spans="1:6" x14ac:dyDescent="0.15">
      <c r="A4826" s="5" t="s">
        <v>37</v>
      </c>
      <c r="B4826" s="5" t="s">
        <v>8242</v>
      </c>
      <c r="C4826" s="9">
        <v>44356</v>
      </c>
      <c r="D4826" s="5" t="s">
        <v>16</v>
      </c>
      <c r="E4826" s="5" t="s">
        <v>5502</v>
      </c>
      <c r="F4826" s="6">
        <v>11700</v>
      </c>
    </row>
    <row r="4827" spans="1:6" x14ac:dyDescent="0.15">
      <c r="A4827" s="5" t="s">
        <v>43</v>
      </c>
      <c r="B4827" s="5" t="s">
        <v>5503</v>
      </c>
      <c r="C4827" s="9">
        <v>44356</v>
      </c>
      <c r="D4827" s="5" t="s">
        <v>16</v>
      </c>
      <c r="E4827" s="5" t="s">
        <v>5504</v>
      </c>
      <c r="F4827" s="6">
        <v>3686</v>
      </c>
    </row>
    <row r="4828" spans="1:6" x14ac:dyDescent="0.15">
      <c r="A4828" s="5" t="s">
        <v>37</v>
      </c>
      <c r="B4828" s="5" t="s">
        <v>8243</v>
      </c>
      <c r="C4828" s="9">
        <v>44356</v>
      </c>
      <c r="D4828" s="5" t="s">
        <v>16</v>
      </c>
      <c r="E4828" s="5" t="s">
        <v>5504</v>
      </c>
      <c r="F4828" s="6">
        <v>877.5</v>
      </c>
    </row>
    <row r="4829" spans="1:6" x14ac:dyDescent="0.15">
      <c r="A4829" s="5" t="s">
        <v>43</v>
      </c>
      <c r="B4829" s="5" t="s">
        <v>5505</v>
      </c>
      <c r="C4829" s="9">
        <v>44356</v>
      </c>
      <c r="D4829" s="5" t="s">
        <v>16</v>
      </c>
      <c r="E4829" s="5" t="s">
        <v>5506</v>
      </c>
      <c r="F4829" s="6">
        <v>2037</v>
      </c>
    </row>
    <row r="4830" spans="1:6" x14ac:dyDescent="0.15">
      <c r="A4830" s="5" t="s">
        <v>43</v>
      </c>
      <c r="B4830" s="5" t="s">
        <v>5507</v>
      </c>
      <c r="C4830" s="9">
        <v>44357</v>
      </c>
      <c r="D4830" s="5" t="s">
        <v>16</v>
      </c>
      <c r="E4830" s="5" t="s">
        <v>5508</v>
      </c>
      <c r="F4830" s="6">
        <v>7760</v>
      </c>
    </row>
    <row r="4831" spans="1:6" x14ac:dyDescent="0.15">
      <c r="A4831" s="5" t="s">
        <v>37</v>
      </c>
      <c r="B4831" s="5" t="s">
        <v>8244</v>
      </c>
      <c r="C4831" s="9">
        <v>44357</v>
      </c>
      <c r="D4831" s="5" t="s">
        <v>16</v>
      </c>
      <c r="E4831" s="5" t="s">
        <v>5508</v>
      </c>
      <c r="F4831" s="6">
        <v>975</v>
      </c>
    </row>
    <row r="4832" spans="1:6" x14ac:dyDescent="0.15">
      <c r="A4832" s="5" t="s">
        <v>148</v>
      </c>
      <c r="B4832" s="5" t="s">
        <v>5699</v>
      </c>
      <c r="C4832" s="9">
        <v>44368</v>
      </c>
      <c r="D4832" s="5" t="s">
        <v>16</v>
      </c>
      <c r="E4832" s="5" t="s">
        <v>5700</v>
      </c>
      <c r="F4832" s="6">
        <v>2910</v>
      </c>
    </row>
    <row r="4833" spans="1:6" x14ac:dyDescent="0.15">
      <c r="A4833" s="5" t="s">
        <v>158</v>
      </c>
      <c r="B4833" s="5" t="s">
        <v>8583</v>
      </c>
      <c r="C4833" s="9">
        <v>44368</v>
      </c>
      <c r="D4833" s="5" t="s">
        <v>16</v>
      </c>
      <c r="E4833" s="5" t="s">
        <v>5700</v>
      </c>
      <c r="F4833" s="6">
        <v>7020</v>
      </c>
    </row>
    <row r="4834" spans="1:6" x14ac:dyDescent="0.15">
      <c r="A4834" s="5" t="s">
        <v>37</v>
      </c>
      <c r="B4834" s="5" t="s">
        <v>8258</v>
      </c>
      <c r="C4834" s="9">
        <v>44368</v>
      </c>
      <c r="D4834" s="5" t="s">
        <v>16</v>
      </c>
      <c r="E4834" s="5" t="s">
        <v>5700</v>
      </c>
      <c r="F4834" s="6">
        <v>5850</v>
      </c>
    </row>
    <row r="4835" spans="1:6" x14ac:dyDescent="0.15">
      <c r="A4835" s="5" t="s">
        <v>42</v>
      </c>
      <c r="B4835" s="5" t="s">
        <v>6080</v>
      </c>
      <c r="C4835" s="9">
        <v>44368</v>
      </c>
      <c r="D4835" s="5" t="s">
        <v>16</v>
      </c>
      <c r="E4835" s="5" t="s">
        <v>5700</v>
      </c>
      <c r="F4835" s="6">
        <v>3000</v>
      </c>
    </row>
    <row r="4836" spans="1:6" x14ac:dyDescent="0.15">
      <c r="A4836" s="5" t="s">
        <v>63</v>
      </c>
      <c r="B4836" s="5" t="s">
        <v>2295</v>
      </c>
      <c r="C4836" s="9">
        <v>44368</v>
      </c>
      <c r="D4836" s="5" t="s">
        <v>16</v>
      </c>
      <c r="E4836" s="5" t="s">
        <v>2157</v>
      </c>
      <c r="F4836" s="6">
        <v>3880</v>
      </c>
    </row>
    <row r="4837" spans="1:6" x14ac:dyDescent="0.15">
      <c r="A4837" s="5" t="s">
        <v>174</v>
      </c>
      <c r="B4837" s="5" t="s">
        <v>2687</v>
      </c>
      <c r="C4837" s="9">
        <v>44368</v>
      </c>
      <c r="D4837" s="5" t="s">
        <v>16</v>
      </c>
      <c r="E4837" s="5" t="s">
        <v>2157</v>
      </c>
      <c r="F4837" s="6">
        <v>6000</v>
      </c>
    </row>
    <row r="4838" spans="1:6" x14ac:dyDescent="0.15">
      <c r="A4838" s="5" t="s">
        <v>51</v>
      </c>
      <c r="B4838" s="5" t="s">
        <v>4260</v>
      </c>
      <c r="C4838" s="9">
        <v>44368</v>
      </c>
      <c r="D4838" s="5" t="s">
        <v>16</v>
      </c>
      <c r="E4838" s="5" t="s">
        <v>2157</v>
      </c>
      <c r="F4838" s="6">
        <v>3900</v>
      </c>
    </row>
    <row r="4839" spans="1:6" x14ac:dyDescent="0.15">
      <c r="A4839" s="5" t="s">
        <v>41</v>
      </c>
      <c r="B4839" s="5" t="s">
        <v>2156</v>
      </c>
      <c r="C4839" s="9">
        <v>44368</v>
      </c>
      <c r="D4839" s="5" t="s">
        <v>16</v>
      </c>
      <c r="E4839" s="5" t="s">
        <v>2157</v>
      </c>
      <c r="F4839" s="6">
        <v>7760</v>
      </c>
    </row>
    <row r="4840" spans="1:6" x14ac:dyDescent="0.15">
      <c r="A4840" s="5" t="s">
        <v>53</v>
      </c>
      <c r="B4840" s="5" t="s">
        <v>8522</v>
      </c>
      <c r="C4840" s="9">
        <v>44368</v>
      </c>
      <c r="D4840" s="5" t="s">
        <v>16</v>
      </c>
      <c r="E4840" s="5" t="s">
        <v>2157</v>
      </c>
      <c r="F4840" s="6">
        <v>1950</v>
      </c>
    </row>
    <row r="4841" spans="1:6" x14ac:dyDescent="0.15">
      <c r="A4841" s="5" t="s">
        <v>35</v>
      </c>
      <c r="B4841" s="5" t="s">
        <v>4097</v>
      </c>
      <c r="C4841" s="9">
        <v>44357</v>
      </c>
      <c r="D4841" s="5" t="s">
        <v>16</v>
      </c>
      <c r="E4841" s="5" t="s">
        <v>4098</v>
      </c>
      <c r="F4841" s="6">
        <v>14625</v>
      </c>
    </row>
    <row r="4842" spans="1:6" x14ac:dyDescent="0.15">
      <c r="A4842" s="5" t="s">
        <v>41</v>
      </c>
      <c r="B4842" s="5" t="s">
        <v>2148</v>
      </c>
      <c r="C4842" s="9">
        <v>44355</v>
      </c>
      <c r="D4842" s="5" t="s">
        <v>16</v>
      </c>
      <c r="E4842" s="5" t="s">
        <v>2149</v>
      </c>
      <c r="F4842" s="6">
        <v>921.5</v>
      </c>
    </row>
    <row r="4843" spans="1:6" x14ac:dyDescent="0.15">
      <c r="A4843" s="5" t="s">
        <v>42</v>
      </c>
      <c r="B4843" s="5" t="s">
        <v>6076</v>
      </c>
      <c r="C4843" s="9">
        <v>44357</v>
      </c>
      <c r="D4843" s="5" t="s">
        <v>16</v>
      </c>
      <c r="E4843" s="5" t="s">
        <v>6077</v>
      </c>
      <c r="F4843" s="6">
        <v>3000</v>
      </c>
    </row>
    <row r="4844" spans="1:6" x14ac:dyDescent="0.15">
      <c r="A4844" s="5" t="s">
        <v>43</v>
      </c>
      <c r="B4844" s="5" t="s">
        <v>5509</v>
      </c>
      <c r="C4844" s="9">
        <v>44357</v>
      </c>
      <c r="D4844" s="5" t="s">
        <v>16</v>
      </c>
      <c r="E4844" s="5" t="s">
        <v>5510</v>
      </c>
      <c r="F4844" s="6">
        <v>-21340</v>
      </c>
    </row>
    <row r="4845" spans="1:6" x14ac:dyDescent="0.15">
      <c r="A4845" s="5" t="s">
        <v>66</v>
      </c>
      <c r="B4845" s="5" t="s">
        <v>5720</v>
      </c>
      <c r="C4845" s="9">
        <v>44357</v>
      </c>
      <c r="D4845" s="5" t="s">
        <v>16</v>
      </c>
      <c r="E4845" s="5" t="s">
        <v>5510</v>
      </c>
      <c r="F4845" s="6">
        <v>-1940</v>
      </c>
    </row>
    <row r="4846" spans="1:6" x14ac:dyDescent="0.15">
      <c r="A4846" s="5" t="s">
        <v>8588</v>
      </c>
      <c r="B4846" s="5" t="s">
        <v>8615</v>
      </c>
      <c r="C4846" s="9">
        <v>44357</v>
      </c>
      <c r="D4846" s="5" t="s">
        <v>16</v>
      </c>
      <c r="E4846" s="5" t="s">
        <v>5510</v>
      </c>
      <c r="F4846" s="6">
        <v>-1950</v>
      </c>
    </row>
    <row r="4847" spans="1:6" x14ac:dyDescent="0.15">
      <c r="A4847" s="5" t="s">
        <v>37</v>
      </c>
      <c r="B4847" s="5" t="s">
        <v>8269</v>
      </c>
      <c r="C4847" s="9">
        <v>44370</v>
      </c>
      <c r="D4847" s="5" t="s">
        <v>16</v>
      </c>
      <c r="E4847" s="5" t="s">
        <v>8270</v>
      </c>
      <c r="F4847" s="6">
        <v>18427.5</v>
      </c>
    </row>
    <row r="4848" spans="1:6" x14ac:dyDescent="0.15">
      <c r="A4848" s="5" t="s">
        <v>53</v>
      </c>
      <c r="B4848" s="5" t="s">
        <v>8523</v>
      </c>
      <c r="C4848" s="9">
        <v>44370</v>
      </c>
      <c r="D4848" s="5" t="s">
        <v>16</v>
      </c>
      <c r="E4848" s="5" t="s">
        <v>8270</v>
      </c>
      <c r="F4848" s="6">
        <v>8190</v>
      </c>
    </row>
    <row r="4849" spans="1:6" x14ac:dyDescent="0.15">
      <c r="A4849" s="5" t="s">
        <v>40</v>
      </c>
      <c r="B4849" s="5" t="s">
        <v>2616</v>
      </c>
      <c r="C4849" s="9">
        <v>44361</v>
      </c>
      <c r="D4849" s="5" t="s">
        <v>16</v>
      </c>
      <c r="E4849" s="5" t="s">
        <v>2617</v>
      </c>
      <c r="F4849" s="6">
        <v>75</v>
      </c>
    </row>
    <row r="4850" spans="1:6" x14ac:dyDescent="0.15">
      <c r="A4850" s="5" t="s">
        <v>35</v>
      </c>
      <c r="B4850" s="5" t="s">
        <v>4103</v>
      </c>
      <c r="C4850" s="9">
        <v>44362</v>
      </c>
      <c r="D4850" s="5" t="s">
        <v>16</v>
      </c>
      <c r="E4850" s="5" t="s">
        <v>4104</v>
      </c>
      <c r="F4850" s="6">
        <v>292.5</v>
      </c>
    </row>
    <row r="4851" spans="1:6" x14ac:dyDescent="0.15">
      <c r="A4851" s="5" t="s">
        <v>37</v>
      </c>
      <c r="B4851" s="5" t="s">
        <v>8245</v>
      </c>
      <c r="C4851" s="9">
        <v>44358</v>
      </c>
      <c r="D4851" s="5" t="s">
        <v>16</v>
      </c>
      <c r="E4851" s="5" t="s">
        <v>8246</v>
      </c>
      <c r="F4851" s="6">
        <v>4095</v>
      </c>
    </row>
    <row r="4852" spans="1:6" x14ac:dyDescent="0.15">
      <c r="A4852" s="5" t="s">
        <v>37</v>
      </c>
      <c r="B4852" s="5" t="s">
        <v>8247</v>
      </c>
      <c r="C4852" s="9">
        <v>44358</v>
      </c>
      <c r="D4852" s="5" t="s">
        <v>16</v>
      </c>
      <c r="E4852" s="5" t="s">
        <v>8248</v>
      </c>
      <c r="F4852" s="6">
        <v>975</v>
      </c>
    </row>
    <row r="4853" spans="1:6" x14ac:dyDescent="0.15">
      <c r="A4853" s="5" t="s">
        <v>37</v>
      </c>
      <c r="B4853" s="5" t="s">
        <v>8249</v>
      </c>
      <c r="C4853" s="9">
        <v>44361</v>
      </c>
      <c r="D4853" s="5" t="s">
        <v>16</v>
      </c>
      <c r="E4853" s="5" t="s">
        <v>8250</v>
      </c>
      <c r="F4853" s="6">
        <v>3802.5</v>
      </c>
    </row>
    <row r="4854" spans="1:6" x14ac:dyDescent="0.15">
      <c r="A4854" s="5" t="s">
        <v>41</v>
      </c>
      <c r="B4854" s="5" t="s">
        <v>2150</v>
      </c>
      <c r="C4854" s="9">
        <v>44356</v>
      </c>
      <c r="D4854" s="5" t="s">
        <v>16</v>
      </c>
      <c r="E4854" s="5" t="s">
        <v>2151</v>
      </c>
      <c r="F4854" s="6">
        <v>48.5</v>
      </c>
    </row>
    <row r="4855" spans="1:6" x14ac:dyDescent="0.15">
      <c r="A4855" s="5" t="s">
        <v>40</v>
      </c>
      <c r="B4855" s="5" t="s">
        <v>2615</v>
      </c>
      <c r="C4855" s="9">
        <v>44356</v>
      </c>
      <c r="D4855" s="5" t="s">
        <v>16</v>
      </c>
      <c r="E4855" s="5" t="s">
        <v>2151</v>
      </c>
      <c r="F4855" s="6">
        <v>3075</v>
      </c>
    </row>
    <row r="4856" spans="1:6" x14ac:dyDescent="0.15">
      <c r="A4856" s="5" t="s">
        <v>35</v>
      </c>
      <c r="B4856" s="5" t="s">
        <v>4096</v>
      </c>
      <c r="C4856" s="9">
        <v>44356</v>
      </c>
      <c r="D4856" s="5" t="s">
        <v>16</v>
      </c>
      <c r="E4856" s="5" t="s">
        <v>2151</v>
      </c>
      <c r="F4856" s="6">
        <v>2242.5</v>
      </c>
    </row>
    <row r="4857" spans="1:6" x14ac:dyDescent="0.15">
      <c r="A4857" s="5" t="s">
        <v>42</v>
      </c>
      <c r="B4857" s="5" t="s">
        <v>6078</v>
      </c>
      <c r="C4857" s="9">
        <v>44362</v>
      </c>
      <c r="D4857" s="5" t="s">
        <v>16</v>
      </c>
      <c r="E4857" s="5" t="s">
        <v>6079</v>
      </c>
      <c r="F4857" s="6">
        <v>525</v>
      </c>
    </row>
    <row r="4858" spans="1:6" x14ac:dyDescent="0.15">
      <c r="A4858" s="5" t="s">
        <v>35</v>
      </c>
      <c r="B4858" s="5" t="s">
        <v>4101</v>
      </c>
      <c r="C4858" s="9">
        <v>44361</v>
      </c>
      <c r="D4858" s="5" t="s">
        <v>16</v>
      </c>
      <c r="E4858" s="5" t="s">
        <v>4102</v>
      </c>
      <c r="F4858" s="6">
        <v>2827.5</v>
      </c>
    </row>
    <row r="4859" spans="1:6" x14ac:dyDescent="0.15">
      <c r="A4859" s="5" t="s">
        <v>37</v>
      </c>
      <c r="B4859" s="5" t="s">
        <v>8251</v>
      </c>
      <c r="C4859" s="9">
        <v>44362</v>
      </c>
      <c r="D4859" s="5" t="s">
        <v>16</v>
      </c>
      <c r="E4859" s="5" t="s">
        <v>8252</v>
      </c>
      <c r="F4859" s="6">
        <v>3802.5</v>
      </c>
    </row>
    <row r="4860" spans="1:6" x14ac:dyDescent="0.15">
      <c r="A4860" s="5" t="s">
        <v>49</v>
      </c>
      <c r="B4860" s="5" t="s">
        <v>8715</v>
      </c>
      <c r="C4860" s="9">
        <v>44362</v>
      </c>
      <c r="D4860" s="5" t="s">
        <v>16</v>
      </c>
      <c r="E4860" s="5" t="s">
        <v>8252</v>
      </c>
      <c r="F4860" s="6">
        <v>500</v>
      </c>
    </row>
    <row r="4861" spans="1:6" x14ac:dyDescent="0.15">
      <c r="A4861" s="5" t="s">
        <v>37</v>
      </c>
      <c r="B4861" s="5" t="s">
        <v>8253</v>
      </c>
      <c r="C4861" s="9">
        <v>44362</v>
      </c>
      <c r="D4861" s="5" t="s">
        <v>16</v>
      </c>
      <c r="E4861" s="5" t="s">
        <v>8254</v>
      </c>
      <c r="F4861" s="6">
        <v>390</v>
      </c>
    </row>
    <row r="4862" spans="1:6" x14ac:dyDescent="0.15">
      <c r="A4862" s="5" t="s">
        <v>53</v>
      </c>
      <c r="B4862" s="5" t="s">
        <v>8520</v>
      </c>
      <c r="C4862" s="9">
        <v>44363</v>
      </c>
      <c r="D4862" s="5" t="s">
        <v>16</v>
      </c>
      <c r="E4862" s="5" t="s">
        <v>8521</v>
      </c>
      <c r="F4862" s="6">
        <v>5070</v>
      </c>
    </row>
    <row r="4863" spans="1:6" x14ac:dyDescent="0.15">
      <c r="A4863" s="5" t="s">
        <v>37</v>
      </c>
      <c r="B4863" s="5" t="s">
        <v>8255</v>
      </c>
      <c r="C4863" s="9">
        <v>44365</v>
      </c>
      <c r="D4863" s="5" t="s">
        <v>16</v>
      </c>
      <c r="E4863" s="5" t="s">
        <v>5512</v>
      </c>
      <c r="F4863" s="6">
        <v>21450</v>
      </c>
    </row>
    <row r="4864" spans="1:6" x14ac:dyDescent="0.15">
      <c r="A4864" s="5" t="s">
        <v>43</v>
      </c>
      <c r="B4864" s="5" t="s">
        <v>5511</v>
      </c>
      <c r="C4864" s="9">
        <v>44365</v>
      </c>
      <c r="D4864" s="5" t="s">
        <v>16</v>
      </c>
      <c r="E4864" s="5" t="s">
        <v>5512</v>
      </c>
      <c r="F4864" s="6">
        <v>3880</v>
      </c>
    </row>
    <row r="4865" spans="1:6" x14ac:dyDescent="0.15">
      <c r="A4865" s="5" t="s">
        <v>158</v>
      </c>
      <c r="B4865" s="5" t="s">
        <v>8584</v>
      </c>
      <c r="C4865" s="9">
        <v>44375</v>
      </c>
      <c r="D4865" s="5" t="s">
        <v>16</v>
      </c>
      <c r="E4865" s="5" t="s">
        <v>8585</v>
      </c>
      <c r="F4865" s="6">
        <v>15210</v>
      </c>
    </row>
    <row r="4866" spans="1:6" x14ac:dyDescent="0.15">
      <c r="A4866" s="5" t="s">
        <v>35</v>
      </c>
      <c r="B4866" s="5" t="s">
        <v>4105</v>
      </c>
      <c r="C4866" s="9">
        <v>44364</v>
      </c>
      <c r="D4866" s="5" t="s">
        <v>16</v>
      </c>
      <c r="E4866" s="5" t="s">
        <v>2153</v>
      </c>
      <c r="F4866" s="6">
        <v>9750</v>
      </c>
    </row>
    <row r="4867" spans="1:6" x14ac:dyDescent="0.15">
      <c r="A4867" s="5" t="s">
        <v>40</v>
      </c>
      <c r="B4867" s="5" t="s">
        <v>2618</v>
      </c>
      <c r="C4867" s="9">
        <v>44364</v>
      </c>
      <c r="D4867" s="5" t="s">
        <v>16</v>
      </c>
      <c r="E4867" s="5" t="s">
        <v>2153</v>
      </c>
      <c r="F4867" s="6">
        <v>3750</v>
      </c>
    </row>
    <row r="4868" spans="1:6" x14ac:dyDescent="0.15">
      <c r="A4868" s="5" t="s">
        <v>41</v>
      </c>
      <c r="B4868" s="5" t="s">
        <v>2152</v>
      </c>
      <c r="C4868" s="9">
        <v>44364</v>
      </c>
      <c r="D4868" s="5" t="s">
        <v>16</v>
      </c>
      <c r="E4868" s="5" t="s">
        <v>2153</v>
      </c>
      <c r="F4868" s="6">
        <v>2425</v>
      </c>
    </row>
    <row r="4869" spans="1:6" x14ac:dyDescent="0.15">
      <c r="A4869" s="5" t="s">
        <v>35</v>
      </c>
      <c r="B4869" s="5" t="s">
        <v>4106</v>
      </c>
      <c r="C4869" s="9">
        <v>44365</v>
      </c>
      <c r="D4869" s="5" t="s">
        <v>16</v>
      </c>
      <c r="E4869" s="5" t="s">
        <v>2620</v>
      </c>
      <c r="F4869" s="6">
        <v>1267.5</v>
      </c>
    </row>
    <row r="4870" spans="1:6" x14ac:dyDescent="0.15">
      <c r="A4870" s="5" t="s">
        <v>40</v>
      </c>
      <c r="B4870" s="5" t="s">
        <v>2619</v>
      </c>
      <c r="C4870" s="9">
        <v>44365</v>
      </c>
      <c r="D4870" s="5" t="s">
        <v>16</v>
      </c>
      <c r="E4870" s="5" t="s">
        <v>2620</v>
      </c>
      <c r="F4870" s="6">
        <v>150</v>
      </c>
    </row>
    <row r="4871" spans="1:6" x14ac:dyDescent="0.15">
      <c r="A4871" s="5" t="s">
        <v>37</v>
      </c>
      <c r="B4871" s="5" t="s">
        <v>8256</v>
      </c>
      <c r="C4871" s="9">
        <v>44365</v>
      </c>
      <c r="D4871" s="5" t="s">
        <v>16</v>
      </c>
      <c r="E4871" s="5" t="s">
        <v>8257</v>
      </c>
      <c r="F4871" s="6">
        <v>1950</v>
      </c>
    </row>
    <row r="4872" spans="1:6" x14ac:dyDescent="0.15">
      <c r="A4872" s="5" t="s">
        <v>43</v>
      </c>
      <c r="B4872" s="5" t="s">
        <v>5513</v>
      </c>
      <c r="C4872" s="9">
        <v>44365</v>
      </c>
      <c r="D4872" s="5" t="s">
        <v>16</v>
      </c>
      <c r="E4872" s="5" t="s">
        <v>5514</v>
      </c>
      <c r="F4872" s="6">
        <v>485</v>
      </c>
    </row>
    <row r="4873" spans="1:6" x14ac:dyDescent="0.15">
      <c r="A4873" s="5" t="s">
        <v>43</v>
      </c>
      <c r="B4873" s="5" t="s">
        <v>5515</v>
      </c>
      <c r="C4873" s="9">
        <v>44365</v>
      </c>
      <c r="D4873" s="5" t="s">
        <v>16</v>
      </c>
      <c r="E4873" s="5" t="s">
        <v>5516</v>
      </c>
      <c r="F4873" s="6">
        <v>48.5</v>
      </c>
    </row>
    <row r="4874" spans="1:6" x14ac:dyDescent="0.15">
      <c r="A4874" s="5" t="s">
        <v>37</v>
      </c>
      <c r="B4874" s="5" t="s">
        <v>8259</v>
      </c>
      <c r="C4874" s="9">
        <v>44368</v>
      </c>
      <c r="D4874" s="5" t="s">
        <v>16</v>
      </c>
      <c r="E4874" s="5" t="s">
        <v>8260</v>
      </c>
      <c r="F4874" s="6">
        <v>292.5</v>
      </c>
    </row>
    <row r="4875" spans="1:6" x14ac:dyDescent="0.15">
      <c r="A4875" s="5" t="s">
        <v>51</v>
      </c>
      <c r="B4875" s="5" t="s">
        <v>4261</v>
      </c>
      <c r="C4875" s="9">
        <v>44368</v>
      </c>
      <c r="D4875" s="5" t="s">
        <v>16</v>
      </c>
      <c r="E4875" s="5" t="s">
        <v>4262</v>
      </c>
      <c r="F4875" s="6">
        <v>2047.5</v>
      </c>
    </row>
    <row r="4876" spans="1:6" x14ac:dyDescent="0.15">
      <c r="A4876" s="5" t="s">
        <v>41</v>
      </c>
      <c r="B4876" s="5" t="s">
        <v>2154</v>
      </c>
      <c r="C4876" s="9">
        <v>44365</v>
      </c>
      <c r="D4876" s="5" t="s">
        <v>16</v>
      </c>
      <c r="E4876" s="5" t="s">
        <v>2155</v>
      </c>
      <c r="F4876" s="6">
        <v>291</v>
      </c>
    </row>
    <row r="4877" spans="1:6" x14ac:dyDescent="0.15">
      <c r="A4877" s="5" t="s">
        <v>35</v>
      </c>
      <c r="B4877" s="5" t="s">
        <v>4107</v>
      </c>
      <c r="C4877" s="9">
        <v>44365</v>
      </c>
      <c r="D4877" s="5" t="s">
        <v>16</v>
      </c>
      <c r="E4877" s="5" t="s">
        <v>2155</v>
      </c>
      <c r="F4877" s="6">
        <v>487.5</v>
      </c>
    </row>
    <row r="4878" spans="1:6" x14ac:dyDescent="0.15">
      <c r="A4878" s="5" t="s">
        <v>37</v>
      </c>
      <c r="B4878" s="5" t="s">
        <v>8261</v>
      </c>
      <c r="C4878" s="9">
        <v>44368</v>
      </c>
      <c r="D4878" s="5" t="s">
        <v>16</v>
      </c>
      <c r="E4878" s="5" t="s">
        <v>8262</v>
      </c>
      <c r="F4878" s="6">
        <v>2827.5</v>
      </c>
    </row>
    <row r="4879" spans="1:6" x14ac:dyDescent="0.15">
      <c r="A4879" s="5" t="s">
        <v>37</v>
      </c>
      <c r="B4879" s="5" t="s">
        <v>8264</v>
      </c>
      <c r="C4879" s="9">
        <v>44369</v>
      </c>
      <c r="D4879" s="5" t="s">
        <v>16</v>
      </c>
      <c r="E4879" s="5" t="s">
        <v>8265</v>
      </c>
      <c r="F4879" s="6">
        <v>390</v>
      </c>
    </row>
    <row r="4880" spans="1:6" x14ac:dyDescent="0.15">
      <c r="A4880" s="5" t="s">
        <v>37</v>
      </c>
      <c r="B4880" s="5" t="s">
        <v>8266</v>
      </c>
      <c r="C4880" s="9">
        <v>44369</v>
      </c>
      <c r="D4880" s="5" t="s">
        <v>16</v>
      </c>
      <c r="E4880" s="5" t="s">
        <v>5520</v>
      </c>
      <c r="F4880" s="6">
        <v>4290</v>
      </c>
    </row>
    <row r="4881" spans="1:6" x14ac:dyDescent="0.15">
      <c r="A4881" s="5" t="s">
        <v>43</v>
      </c>
      <c r="B4881" s="5" t="s">
        <v>5519</v>
      </c>
      <c r="C4881" s="9">
        <v>44369</v>
      </c>
      <c r="D4881" s="5" t="s">
        <v>16</v>
      </c>
      <c r="E4881" s="5" t="s">
        <v>5520</v>
      </c>
      <c r="F4881" s="6">
        <v>291</v>
      </c>
    </row>
    <row r="4882" spans="1:6" x14ac:dyDescent="0.15">
      <c r="A4882" s="5" t="s">
        <v>37</v>
      </c>
      <c r="B4882" s="5" t="s">
        <v>8263</v>
      </c>
      <c r="C4882" s="9">
        <v>44368</v>
      </c>
      <c r="D4882" s="5" t="s">
        <v>16</v>
      </c>
      <c r="E4882" s="5" t="s">
        <v>5518</v>
      </c>
      <c r="F4882" s="6">
        <v>6532.5</v>
      </c>
    </row>
    <row r="4883" spans="1:6" x14ac:dyDescent="0.15">
      <c r="A4883" s="5" t="s">
        <v>42</v>
      </c>
      <c r="B4883" s="5" t="s">
        <v>6081</v>
      </c>
      <c r="C4883" s="9">
        <v>44368</v>
      </c>
      <c r="D4883" s="5" t="s">
        <v>16</v>
      </c>
      <c r="E4883" s="5" t="s">
        <v>5518</v>
      </c>
      <c r="F4883" s="6">
        <v>375</v>
      </c>
    </row>
    <row r="4884" spans="1:6" x14ac:dyDescent="0.15">
      <c r="A4884" s="5" t="s">
        <v>43</v>
      </c>
      <c r="B4884" s="5" t="s">
        <v>5517</v>
      </c>
      <c r="C4884" s="9">
        <v>44368</v>
      </c>
      <c r="D4884" s="5" t="s">
        <v>16</v>
      </c>
      <c r="E4884" s="5" t="s">
        <v>5518</v>
      </c>
      <c r="F4884" s="6">
        <v>4025.5</v>
      </c>
    </row>
    <row r="4885" spans="1:6" x14ac:dyDescent="0.15">
      <c r="A4885" s="5" t="s">
        <v>37</v>
      </c>
      <c r="B4885" s="5" t="s">
        <v>8271</v>
      </c>
      <c r="C4885" s="9">
        <v>44370</v>
      </c>
      <c r="D4885" s="5" t="s">
        <v>16</v>
      </c>
      <c r="E4885" s="5" t="s">
        <v>8272</v>
      </c>
      <c r="F4885" s="6">
        <v>390</v>
      </c>
    </row>
    <row r="4886" spans="1:6" x14ac:dyDescent="0.15">
      <c r="A4886" s="5" t="s">
        <v>37</v>
      </c>
      <c r="B4886" s="5" t="s">
        <v>8273</v>
      </c>
      <c r="C4886" s="9">
        <v>44370</v>
      </c>
      <c r="D4886" s="5" t="s">
        <v>16</v>
      </c>
      <c r="E4886" s="5" t="s">
        <v>8274</v>
      </c>
      <c r="F4886" s="6">
        <v>390</v>
      </c>
    </row>
    <row r="4887" spans="1:6" x14ac:dyDescent="0.15">
      <c r="A4887" s="5" t="s">
        <v>37</v>
      </c>
      <c r="B4887" s="5" t="s">
        <v>8267</v>
      </c>
      <c r="C4887" s="9">
        <v>44369</v>
      </c>
      <c r="D4887" s="5" t="s">
        <v>16</v>
      </c>
      <c r="E4887" s="5" t="s">
        <v>8268</v>
      </c>
      <c r="F4887" s="6">
        <v>5265</v>
      </c>
    </row>
    <row r="4888" spans="1:6" x14ac:dyDescent="0.15">
      <c r="A4888" s="5" t="s">
        <v>35</v>
      </c>
      <c r="B4888" s="5" t="s">
        <v>4108</v>
      </c>
      <c r="C4888" s="9">
        <v>44370</v>
      </c>
      <c r="D4888" s="5" t="s">
        <v>16</v>
      </c>
      <c r="E4888" s="5" t="s">
        <v>4109</v>
      </c>
      <c r="F4888" s="6">
        <v>97.5</v>
      </c>
    </row>
    <row r="4889" spans="1:6" x14ac:dyDescent="0.15">
      <c r="A4889" s="5" t="s">
        <v>37</v>
      </c>
      <c r="B4889" s="5" t="s">
        <v>8275</v>
      </c>
      <c r="C4889" s="9">
        <v>44371</v>
      </c>
      <c r="D4889" s="5" t="s">
        <v>16</v>
      </c>
      <c r="E4889" s="5" t="s">
        <v>8276</v>
      </c>
      <c r="F4889" s="6">
        <v>2047.5</v>
      </c>
    </row>
    <row r="4890" spans="1:6" x14ac:dyDescent="0.15">
      <c r="A4890" s="5" t="s">
        <v>43</v>
      </c>
      <c r="B4890" s="5" t="s">
        <v>5521</v>
      </c>
      <c r="C4890" s="9">
        <v>44371</v>
      </c>
      <c r="D4890" s="5" t="s">
        <v>16</v>
      </c>
      <c r="E4890" s="5" t="s">
        <v>5522</v>
      </c>
      <c r="F4890" s="6">
        <v>533.5</v>
      </c>
    </row>
    <row r="4891" spans="1:6" x14ac:dyDescent="0.15">
      <c r="A4891" s="5" t="s">
        <v>42</v>
      </c>
      <c r="B4891" s="5" t="s">
        <v>6082</v>
      </c>
      <c r="C4891" s="9">
        <v>44371</v>
      </c>
      <c r="D4891" s="5" t="s">
        <v>16</v>
      </c>
      <c r="E4891" s="5" t="s">
        <v>6083</v>
      </c>
      <c r="F4891" s="6">
        <v>1200</v>
      </c>
    </row>
    <row r="4892" spans="1:6" x14ac:dyDescent="0.15">
      <c r="A4892" s="5" t="s">
        <v>37</v>
      </c>
      <c r="B4892" s="5" t="s">
        <v>8277</v>
      </c>
      <c r="C4892" s="9">
        <v>44371</v>
      </c>
      <c r="D4892" s="5" t="s">
        <v>16</v>
      </c>
      <c r="E4892" s="5" t="s">
        <v>8278</v>
      </c>
      <c r="F4892" s="6">
        <v>10042.5</v>
      </c>
    </row>
    <row r="4893" spans="1:6" x14ac:dyDescent="0.15">
      <c r="A4893" s="5" t="s">
        <v>43</v>
      </c>
      <c r="B4893" s="5" t="s">
        <v>5523</v>
      </c>
      <c r="C4893" s="9">
        <v>44372</v>
      </c>
      <c r="D4893" s="5" t="s">
        <v>16</v>
      </c>
      <c r="E4893" s="5" t="s">
        <v>5524</v>
      </c>
      <c r="F4893" s="6">
        <v>19400</v>
      </c>
    </row>
    <row r="4894" spans="1:6" x14ac:dyDescent="0.15">
      <c r="A4894" s="5" t="s">
        <v>66</v>
      </c>
      <c r="B4894" s="5" t="s">
        <v>5721</v>
      </c>
      <c r="C4894" s="9">
        <v>44372</v>
      </c>
      <c r="D4894" s="5" t="s">
        <v>16</v>
      </c>
      <c r="E4894" s="5" t="s">
        <v>5524</v>
      </c>
      <c r="F4894" s="6">
        <v>3880</v>
      </c>
    </row>
    <row r="4895" spans="1:6" x14ac:dyDescent="0.15">
      <c r="A4895" s="5" t="s">
        <v>8588</v>
      </c>
      <c r="B4895" s="5" t="s">
        <v>8616</v>
      </c>
      <c r="C4895" s="9">
        <v>44372</v>
      </c>
      <c r="D4895" s="5" t="s">
        <v>16</v>
      </c>
      <c r="E4895" s="5" t="s">
        <v>5524</v>
      </c>
      <c r="F4895" s="6">
        <v>1950</v>
      </c>
    </row>
    <row r="4896" spans="1:6" x14ac:dyDescent="0.15">
      <c r="A4896" s="5" t="s">
        <v>37</v>
      </c>
      <c r="B4896" s="5" t="s">
        <v>8279</v>
      </c>
      <c r="C4896" s="9">
        <v>44372</v>
      </c>
      <c r="D4896" s="5" t="s">
        <v>16</v>
      </c>
      <c r="E4896" s="5" t="s">
        <v>8280</v>
      </c>
      <c r="F4896" s="6">
        <v>3607.5</v>
      </c>
    </row>
    <row r="4897" spans="1:6" x14ac:dyDescent="0.15">
      <c r="A4897" s="5" t="s">
        <v>37</v>
      </c>
      <c r="B4897" s="5" t="s">
        <v>8281</v>
      </c>
      <c r="C4897" s="9">
        <v>44372</v>
      </c>
      <c r="D4897" s="5" t="s">
        <v>16</v>
      </c>
      <c r="E4897" s="5" t="s">
        <v>8282</v>
      </c>
      <c r="F4897" s="6">
        <v>292.5</v>
      </c>
    </row>
    <row r="4898" spans="1:6" x14ac:dyDescent="0.15">
      <c r="A4898" s="5" t="s">
        <v>41</v>
      </c>
      <c r="B4898" s="5" t="s">
        <v>2158</v>
      </c>
      <c r="C4898" s="9">
        <v>44372</v>
      </c>
      <c r="D4898" s="5" t="s">
        <v>16</v>
      </c>
      <c r="E4898" s="5" t="s">
        <v>2159</v>
      </c>
      <c r="F4898" s="6">
        <v>5674.5</v>
      </c>
    </row>
    <row r="4899" spans="1:6" x14ac:dyDescent="0.15">
      <c r="A4899" s="5" t="s">
        <v>43</v>
      </c>
      <c r="B4899" s="5" t="s">
        <v>5525</v>
      </c>
      <c r="C4899" s="9">
        <v>44372</v>
      </c>
      <c r="D4899" s="5" t="s">
        <v>16</v>
      </c>
      <c r="E4899" s="5" t="s">
        <v>5526</v>
      </c>
      <c r="F4899" s="6">
        <v>1940</v>
      </c>
    </row>
    <row r="4900" spans="1:6" x14ac:dyDescent="0.15">
      <c r="A4900" s="5" t="s">
        <v>42</v>
      </c>
      <c r="B4900" s="5" t="s">
        <v>6084</v>
      </c>
      <c r="C4900" s="9">
        <v>44372</v>
      </c>
      <c r="D4900" s="5" t="s">
        <v>16</v>
      </c>
      <c r="E4900" s="5" t="s">
        <v>5526</v>
      </c>
      <c r="F4900" s="6">
        <v>375</v>
      </c>
    </row>
    <row r="4901" spans="1:6" x14ac:dyDescent="0.15">
      <c r="A4901" s="5" t="s">
        <v>37</v>
      </c>
      <c r="B4901" s="5" t="s">
        <v>8283</v>
      </c>
      <c r="C4901" s="9">
        <v>44372</v>
      </c>
      <c r="D4901" s="5" t="s">
        <v>16</v>
      </c>
      <c r="E4901" s="5" t="s">
        <v>5526</v>
      </c>
      <c r="F4901" s="6">
        <v>487.5</v>
      </c>
    </row>
    <row r="4902" spans="1:6" x14ac:dyDescent="0.15">
      <c r="A4902" s="5" t="s">
        <v>40</v>
      </c>
      <c r="B4902" s="5" t="s">
        <v>2621</v>
      </c>
      <c r="C4902" s="9">
        <v>44371</v>
      </c>
      <c r="D4902" s="5" t="s">
        <v>16</v>
      </c>
      <c r="E4902" s="5" t="s">
        <v>2622</v>
      </c>
      <c r="F4902" s="6">
        <v>10500</v>
      </c>
    </row>
    <row r="4903" spans="1:6" x14ac:dyDescent="0.15">
      <c r="A4903" s="5" t="s">
        <v>53</v>
      </c>
      <c r="B4903" s="5" t="s">
        <v>8524</v>
      </c>
      <c r="C4903" s="9">
        <v>44385</v>
      </c>
      <c r="D4903" s="5" t="s">
        <v>16</v>
      </c>
      <c r="E4903" s="5" t="s">
        <v>8525</v>
      </c>
      <c r="F4903" s="6">
        <v>25350</v>
      </c>
    </row>
    <row r="4904" spans="1:6" x14ac:dyDescent="0.15">
      <c r="A4904" s="5" t="s">
        <v>37</v>
      </c>
      <c r="B4904" s="5" t="s">
        <v>8284</v>
      </c>
      <c r="C4904" s="9">
        <v>44375</v>
      </c>
      <c r="D4904" s="5" t="s">
        <v>16</v>
      </c>
      <c r="E4904" s="5" t="s">
        <v>5528</v>
      </c>
      <c r="F4904" s="6">
        <v>22522.5</v>
      </c>
    </row>
    <row r="4905" spans="1:6" x14ac:dyDescent="0.15">
      <c r="A4905" s="5" t="s">
        <v>43</v>
      </c>
      <c r="B4905" s="5" t="s">
        <v>5527</v>
      </c>
      <c r="C4905" s="9">
        <v>44375</v>
      </c>
      <c r="D4905" s="5" t="s">
        <v>16</v>
      </c>
      <c r="E4905" s="5" t="s">
        <v>5528</v>
      </c>
      <c r="F4905" s="6">
        <v>4074</v>
      </c>
    </row>
    <row r="4906" spans="1:6" x14ac:dyDescent="0.15">
      <c r="A4906" s="5" t="s">
        <v>44</v>
      </c>
      <c r="B4906" s="5" t="s">
        <v>4459</v>
      </c>
      <c r="C4906" s="9">
        <v>44378</v>
      </c>
      <c r="D4906" s="5" t="s">
        <v>16</v>
      </c>
      <c r="E4906" s="5" t="s">
        <v>4460</v>
      </c>
      <c r="F4906" s="6">
        <v>25350</v>
      </c>
    </row>
    <row r="4907" spans="1:6" x14ac:dyDescent="0.15">
      <c r="A4907" s="5" t="s">
        <v>37</v>
      </c>
      <c r="B4907" s="5" t="s">
        <v>8285</v>
      </c>
      <c r="C4907" s="9">
        <v>44378</v>
      </c>
      <c r="D4907" s="5" t="s">
        <v>16</v>
      </c>
      <c r="E4907" s="5" t="s">
        <v>8286</v>
      </c>
      <c r="F4907" s="6">
        <v>390</v>
      </c>
    </row>
    <row r="4908" spans="1:6" x14ac:dyDescent="0.15">
      <c r="A4908" s="5" t="s">
        <v>35</v>
      </c>
      <c r="B4908" s="5" t="s">
        <v>4112</v>
      </c>
      <c r="C4908" s="9">
        <v>44378</v>
      </c>
      <c r="D4908" s="5" t="s">
        <v>16</v>
      </c>
      <c r="E4908" s="5" t="s">
        <v>4113</v>
      </c>
      <c r="F4908" s="6">
        <v>5070</v>
      </c>
    </row>
    <row r="4909" spans="1:6" x14ac:dyDescent="0.15">
      <c r="A4909" s="5" t="s">
        <v>44</v>
      </c>
      <c r="B4909" s="5" t="s">
        <v>4461</v>
      </c>
      <c r="C4909" s="9">
        <v>44378</v>
      </c>
      <c r="D4909" s="5" t="s">
        <v>16</v>
      </c>
      <c r="E4909" s="5" t="s">
        <v>4462</v>
      </c>
      <c r="F4909" s="6">
        <v>292.5</v>
      </c>
    </row>
    <row r="4910" spans="1:6" x14ac:dyDescent="0.15">
      <c r="A4910" s="5" t="s">
        <v>37</v>
      </c>
      <c r="B4910" s="5" t="s">
        <v>8287</v>
      </c>
      <c r="C4910" s="9">
        <v>44378</v>
      </c>
      <c r="D4910" s="5" t="s">
        <v>16</v>
      </c>
      <c r="E4910" s="5" t="s">
        <v>6086</v>
      </c>
      <c r="F4910" s="6">
        <v>3510</v>
      </c>
    </row>
    <row r="4911" spans="1:6" x14ac:dyDescent="0.15">
      <c r="A4911" s="5" t="s">
        <v>42</v>
      </c>
      <c r="B4911" s="5" t="s">
        <v>6085</v>
      </c>
      <c r="C4911" s="9">
        <v>44378</v>
      </c>
      <c r="D4911" s="5" t="s">
        <v>16</v>
      </c>
      <c r="E4911" s="5" t="s">
        <v>6086</v>
      </c>
      <c r="F4911" s="6">
        <v>1500</v>
      </c>
    </row>
    <row r="4912" spans="1:6" x14ac:dyDescent="0.15">
      <c r="A4912" s="5" t="s">
        <v>35</v>
      </c>
      <c r="B4912" s="5" t="s">
        <v>4114</v>
      </c>
      <c r="C4912" s="9">
        <v>44378</v>
      </c>
      <c r="D4912" s="5" t="s">
        <v>16</v>
      </c>
      <c r="E4912" s="5" t="s">
        <v>4115</v>
      </c>
      <c r="F4912" s="6">
        <v>4875</v>
      </c>
    </row>
    <row r="4913" spans="1:6" x14ac:dyDescent="0.15">
      <c r="A4913" s="5" t="s">
        <v>37</v>
      </c>
      <c r="B4913" s="5" t="s">
        <v>8288</v>
      </c>
      <c r="C4913" s="9">
        <v>44378</v>
      </c>
      <c r="D4913" s="5" t="s">
        <v>16</v>
      </c>
      <c r="E4913" s="5" t="s">
        <v>4117</v>
      </c>
      <c r="F4913" s="6">
        <v>15600</v>
      </c>
    </row>
    <row r="4914" spans="1:6" x14ac:dyDescent="0.15">
      <c r="A4914" s="5" t="s">
        <v>35</v>
      </c>
      <c r="B4914" s="5" t="s">
        <v>4116</v>
      </c>
      <c r="C4914" s="9">
        <v>44378</v>
      </c>
      <c r="D4914" s="5" t="s">
        <v>16</v>
      </c>
      <c r="E4914" s="5" t="s">
        <v>4117</v>
      </c>
      <c r="F4914" s="6">
        <v>7800</v>
      </c>
    </row>
    <row r="4915" spans="1:6" x14ac:dyDescent="0.15">
      <c r="A4915" s="5" t="s">
        <v>37</v>
      </c>
      <c r="B4915" s="5" t="s">
        <v>8289</v>
      </c>
      <c r="C4915" s="9">
        <v>44378</v>
      </c>
      <c r="D4915" s="5" t="s">
        <v>16</v>
      </c>
      <c r="E4915" s="5" t="s">
        <v>8290</v>
      </c>
      <c r="F4915" s="6">
        <v>4095</v>
      </c>
    </row>
    <row r="4916" spans="1:6" x14ac:dyDescent="0.15">
      <c r="A4916" s="5" t="s">
        <v>37</v>
      </c>
      <c r="B4916" s="5" t="s">
        <v>8291</v>
      </c>
      <c r="C4916" s="9">
        <v>44378</v>
      </c>
      <c r="D4916" s="5" t="s">
        <v>16</v>
      </c>
      <c r="E4916" s="5" t="s">
        <v>8292</v>
      </c>
      <c r="F4916" s="6">
        <v>292.5</v>
      </c>
    </row>
    <row r="4917" spans="1:6" x14ac:dyDescent="0.15">
      <c r="A4917" s="5" t="s">
        <v>44</v>
      </c>
      <c r="B4917" s="5" t="s">
        <v>4463</v>
      </c>
      <c r="C4917" s="9">
        <v>44389</v>
      </c>
      <c r="D4917" s="5" t="s">
        <v>16</v>
      </c>
      <c r="E4917" s="5" t="s">
        <v>4464</v>
      </c>
      <c r="F4917" s="6">
        <v>5850</v>
      </c>
    </row>
    <row r="4918" spans="1:6" x14ac:dyDescent="0.15">
      <c r="A4918" s="5" t="s">
        <v>37</v>
      </c>
      <c r="B4918" s="5" t="s">
        <v>8306</v>
      </c>
      <c r="C4918" s="9">
        <v>44389</v>
      </c>
      <c r="D4918" s="5" t="s">
        <v>16</v>
      </c>
      <c r="E4918" s="5" t="s">
        <v>4464</v>
      </c>
      <c r="F4918" s="6">
        <v>16380</v>
      </c>
    </row>
    <row r="4919" spans="1:6" x14ac:dyDescent="0.15">
      <c r="A4919" s="5" t="s">
        <v>53</v>
      </c>
      <c r="B4919" s="5" t="s">
        <v>8527</v>
      </c>
      <c r="C4919" s="9">
        <v>44389</v>
      </c>
      <c r="D4919" s="5" t="s">
        <v>16</v>
      </c>
      <c r="E4919" s="5" t="s">
        <v>4464</v>
      </c>
      <c r="F4919" s="6">
        <v>4095</v>
      </c>
    </row>
    <row r="4920" spans="1:6" x14ac:dyDescent="0.15">
      <c r="A4920" s="5" t="s">
        <v>37</v>
      </c>
      <c r="B4920" s="5" t="s">
        <v>8293</v>
      </c>
      <c r="C4920" s="9">
        <v>44378</v>
      </c>
      <c r="D4920" s="5" t="s">
        <v>16</v>
      </c>
      <c r="E4920" s="5" t="s">
        <v>8294</v>
      </c>
      <c r="F4920" s="6">
        <v>780</v>
      </c>
    </row>
    <row r="4921" spans="1:6" x14ac:dyDescent="0.15">
      <c r="A4921" s="5" t="s">
        <v>49</v>
      </c>
      <c r="B4921" s="5" t="s">
        <v>8716</v>
      </c>
      <c r="C4921" s="9">
        <v>44378</v>
      </c>
      <c r="D4921" s="5" t="s">
        <v>16</v>
      </c>
      <c r="E4921" s="5" t="s">
        <v>8294</v>
      </c>
      <c r="F4921" s="6">
        <v>400</v>
      </c>
    </row>
    <row r="4922" spans="1:6" x14ac:dyDescent="0.15">
      <c r="A4922" s="5" t="s">
        <v>35</v>
      </c>
      <c r="B4922" s="5" t="s">
        <v>4118</v>
      </c>
      <c r="C4922" s="9">
        <v>44378</v>
      </c>
      <c r="D4922" s="5" t="s">
        <v>16</v>
      </c>
      <c r="E4922" s="5" t="s">
        <v>4119</v>
      </c>
      <c r="F4922" s="6">
        <v>585</v>
      </c>
    </row>
    <row r="4923" spans="1:6" x14ac:dyDescent="0.15">
      <c r="A4923" s="5" t="s">
        <v>43</v>
      </c>
      <c r="B4923" s="5" t="s">
        <v>5529</v>
      </c>
      <c r="C4923" s="9">
        <v>44377</v>
      </c>
      <c r="D4923" s="5" t="s">
        <v>16</v>
      </c>
      <c r="E4923" s="5" t="s">
        <v>5530</v>
      </c>
      <c r="F4923" s="6">
        <v>-48.5</v>
      </c>
    </row>
    <row r="4924" spans="1:6" x14ac:dyDescent="0.15">
      <c r="A4924" s="5" t="s">
        <v>35</v>
      </c>
      <c r="B4924" s="5" t="s">
        <v>4110</v>
      </c>
      <c r="C4924" s="9">
        <v>44377</v>
      </c>
      <c r="D4924" s="5" t="s">
        <v>16</v>
      </c>
      <c r="E4924" s="5" t="s">
        <v>4111</v>
      </c>
      <c r="F4924" s="6">
        <v>97.5</v>
      </c>
    </row>
    <row r="4925" spans="1:6" x14ac:dyDescent="0.15">
      <c r="A4925" s="5" t="s">
        <v>37</v>
      </c>
      <c r="B4925" s="5" t="s">
        <v>8309</v>
      </c>
      <c r="C4925" s="9">
        <v>44390</v>
      </c>
      <c r="D4925" s="5" t="s">
        <v>16</v>
      </c>
      <c r="E4925" s="5" t="s">
        <v>8310</v>
      </c>
      <c r="F4925" s="6">
        <v>26617.5</v>
      </c>
    </row>
    <row r="4926" spans="1:6" x14ac:dyDescent="0.15">
      <c r="A4926" s="5" t="s">
        <v>158</v>
      </c>
      <c r="B4926" s="5" t="s">
        <v>8587</v>
      </c>
      <c r="C4926" s="9">
        <v>44396</v>
      </c>
      <c r="D4926" s="5" t="s">
        <v>16</v>
      </c>
      <c r="E4926" s="5" t="s">
        <v>5703</v>
      </c>
      <c r="F4926" s="6">
        <v>10530</v>
      </c>
    </row>
    <row r="4927" spans="1:6" x14ac:dyDescent="0.15">
      <c r="A4927" s="5" t="s">
        <v>148</v>
      </c>
      <c r="B4927" s="5" t="s">
        <v>5702</v>
      </c>
      <c r="C4927" s="9">
        <v>44396</v>
      </c>
      <c r="D4927" s="5" t="s">
        <v>16</v>
      </c>
      <c r="E4927" s="5" t="s">
        <v>5703</v>
      </c>
      <c r="F4927" s="6">
        <v>5820</v>
      </c>
    </row>
    <row r="4928" spans="1:6" x14ac:dyDescent="0.15">
      <c r="A4928" s="5" t="s">
        <v>35</v>
      </c>
      <c r="B4928" s="5" t="s">
        <v>4121</v>
      </c>
      <c r="C4928" s="9">
        <v>44382</v>
      </c>
      <c r="D4928" s="5" t="s">
        <v>16</v>
      </c>
      <c r="E4928" s="5" t="s">
        <v>4122</v>
      </c>
      <c r="F4928" s="6">
        <v>16965</v>
      </c>
    </row>
    <row r="4929" spans="1:6" x14ac:dyDescent="0.15">
      <c r="A4929" s="5" t="s">
        <v>37</v>
      </c>
      <c r="B4929" s="5" t="s">
        <v>8295</v>
      </c>
      <c r="C4929" s="9">
        <v>44384</v>
      </c>
      <c r="D4929" s="5" t="s">
        <v>16</v>
      </c>
      <c r="E4929" s="5" t="s">
        <v>8296</v>
      </c>
      <c r="F4929" s="6">
        <v>585</v>
      </c>
    </row>
    <row r="4930" spans="1:6" x14ac:dyDescent="0.15">
      <c r="A4930" s="5" t="s">
        <v>37</v>
      </c>
      <c r="B4930" s="5" t="s">
        <v>8297</v>
      </c>
      <c r="C4930" s="9">
        <v>44384</v>
      </c>
      <c r="D4930" s="5" t="s">
        <v>16</v>
      </c>
      <c r="E4930" s="5" t="s">
        <v>8298</v>
      </c>
      <c r="F4930" s="6">
        <v>2047.5</v>
      </c>
    </row>
    <row r="4931" spans="1:6" x14ac:dyDescent="0.15">
      <c r="A4931" s="5" t="s">
        <v>43</v>
      </c>
      <c r="B4931" s="5" t="s">
        <v>5531</v>
      </c>
      <c r="C4931" s="9">
        <v>44384</v>
      </c>
      <c r="D4931" s="5" t="s">
        <v>16</v>
      </c>
      <c r="E4931" s="5" t="s">
        <v>5532</v>
      </c>
      <c r="F4931" s="6">
        <v>533.5</v>
      </c>
    </row>
    <row r="4932" spans="1:6" x14ac:dyDescent="0.15">
      <c r="A4932" s="5" t="s">
        <v>37</v>
      </c>
      <c r="B4932" s="5" t="s">
        <v>8300</v>
      </c>
      <c r="C4932" s="9">
        <v>44386</v>
      </c>
      <c r="D4932" s="5" t="s">
        <v>16</v>
      </c>
      <c r="E4932" s="5" t="s">
        <v>8301</v>
      </c>
      <c r="F4932" s="6">
        <v>-390</v>
      </c>
    </row>
    <row r="4933" spans="1:6" x14ac:dyDescent="0.15">
      <c r="A4933" s="5" t="s">
        <v>43</v>
      </c>
      <c r="B4933" s="5" t="s">
        <v>5533</v>
      </c>
      <c r="C4933" s="9">
        <v>44384</v>
      </c>
      <c r="D4933" s="5" t="s">
        <v>16</v>
      </c>
      <c r="E4933" s="5" t="s">
        <v>5534</v>
      </c>
      <c r="F4933" s="6">
        <v>145.5</v>
      </c>
    </row>
    <row r="4934" spans="1:6" x14ac:dyDescent="0.15">
      <c r="A4934" s="5" t="s">
        <v>43</v>
      </c>
      <c r="B4934" s="5" t="s">
        <v>5535</v>
      </c>
      <c r="C4934" s="9">
        <v>44385</v>
      </c>
      <c r="D4934" s="5" t="s">
        <v>16</v>
      </c>
      <c r="E4934" s="5" t="s">
        <v>5536</v>
      </c>
      <c r="F4934" s="6">
        <v>5044</v>
      </c>
    </row>
    <row r="4935" spans="1:6" x14ac:dyDescent="0.15">
      <c r="A4935" s="5" t="s">
        <v>42</v>
      </c>
      <c r="B4935" s="5" t="s">
        <v>6088</v>
      </c>
      <c r="C4935" s="9">
        <v>44385</v>
      </c>
      <c r="D4935" s="5" t="s">
        <v>16</v>
      </c>
      <c r="E4935" s="5" t="s">
        <v>5536</v>
      </c>
      <c r="F4935" s="6">
        <v>3000</v>
      </c>
    </row>
    <row r="4936" spans="1:6" x14ac:dyDescent="0.15">
      <c r="A4936" s="5" t="s">
        <v>37</v>
      </c>
      <c r="B4936" s="5" t="s">
        <v>8299</v>
      </c>
      <c r="C4936" s="9">
        <v>44385</v>
      </c>
      <c r="D4936" s="5" t="s">
        <v>16</v>
      </c>
      <c r="E4936" s="5" t="s">
        <v>5536</v>
      </c>
      <c r="F4936" s="6">
        <v>20085</v>
      </c>
    </row>
    <row r="4937" spans="1:6" x14ac:dyDescent="0.15">
      <c r="A4937" s="5" t="s">
        <v>37</v>
      </c>
      <c r="B4937" s="5" t="s">
        <v>8355</v>
      </c>
      <c r="C4937" s="9">
        <v>44418</v>
      </c>
      <c r="D4937" s="5" t="s">
        <v>16</v>
      </c>
      <c r="E4937" s="5" t="s">
        <v>4162</v>
      </c>
      <c r="F4937" s="6">
        <v>21450</v>
      </c>
    </row>
    <row r="4938" spans="1:6" x14ac:dyDescent="0.15">
      <c r="A4938" s="5" t="s">
        <v>66</v>
      </c>
      <c r="B4938" s="5" t="s">
        <v>5724</v>
      </c>
      <c r="C4938" s="9">
        <v>44418</v>
      </c>
      <c r="D4938" s="5" t="s">
        <v>16</v>
      </c>
      <c r="E4938" s="5" t="s">
        <v>4162</v>
      </c>
      <c r="F4938" s="6">
        <v>1940</v>
      </c>
    </row>
    <row r="4939" spans="1:6" x14ac:dyDescent="0.15">
      <c r="A4939" s="5" t="s">
        <v>35</v>
      </c>
      <c r="B4939" s="5" t="s">
        <v>4161</v>
      </c>
      <c r="C4939" s="9">
        <v>44418</v>
      </c>
      <c r="D4939" s="5" t="s">
        <v>16</v>
      </c>
      <c r="E4939" s="5" t="s">
        <v>4162</v>
      </c>
      <c r="F4939" s="6">
        <v>1950</v>
      </c>
    </row>
    <row r="4940" spans="1:6" x14ac:dyDescent="0.15">
      <c r="A4940" s="5" t="s">
        <v>35</v>
      </c>
      <c r="B4940" s="5" t="s">
        <v>4123</v>
      </c>
      <c r="C4940" s="9">
        <v>44386</v>
      </c>
      <c r="D4940" s="5" t="s">
        <v>16</v>
      </c>
      <c r="E4940" s="5" t="s">
        <v>4124</v>
      </c>
      <c r="F4940" s="6">
        <v>25350</v>
      </c>
    </row>
    <row r="4941" spans="1:6" x14ac:dyDescent="0.15">
      <c r="A4941" s="5" t="s">
        <v>35</v>
      </c>
      <c r="B4941" s="5" t="s">
        <v>2690</v>
      </c>
      <c r="C4941" s="9"/>
      <c r="D4941" s="5" t="s">
        <v>16</v>
      </c>
      <c r="E4941" s="5" t="s">
        <v>2691</v>
      </c>
      <c r="F4941" s="6">
        <v>11700</v>
      </c>
    </row>
    <row r="4942" spans="1:6" x14ac:dyDescent="0.15">
      <c r="A4942" s="5" t="s">
        <v>35</v>
      </c>
      <c r="B4942" s="5" t="s">
        <v>4125</v>
      </c>
      <c r="C4942" s="9">
        <v>44386</v>
      </c>
      <c r="D4942" s="5" t="s">
        <v>16</v>
      </c>
      <c r="E4942" s="5" t="s">
        <v>2625</v>
      </c>
      <c r="F4942" s="6">
        <v>195</v>
      </c>
    </row>
    <row r="4943" spans="1:6" x14ac:dyDescent="0.15">
      <c r="A4943" s="5" t="s">
        <v>40</v>
      </c>
      <c r="B4943" s="5" t="s">
        <v>2624</v>
      </c>
      <c r="C4943" s="9">
        <v>44386</v>
      </c>
      <c r="D4943" s="5" t="s">
        <v>16</v>
      </c>
      <c r="E4943" s="5" t="s">
        <v>2625</v>
      </c>
      <c r="F4943" s="6">
        <v>75</v>
      </c>
    </row>
    <row r="4944" spans="1:6" x14ac:dyDescent="0.15">
      <c r="A4944" s="5" t="s">
        <v>37</v>
      </c>
      <c r="B4944" s="5" t="s">
        <v>8302</v>
      </c>
      <c r="C4944" s="9">
        <v>44386</v>
      </c>
      <c r="D4944" s="5" t="s">
        <v>16</v>
      </c>
      <c r="E4944" s="5" t="s">
        <v>8303</v>
      </c>
      <c r="F4944" s="6">
        <v>390</v>
      </c>
    </row>
    <row r="4945" spans="1:6" x14ac:dyDescent="0.15">
      <c r="A4945" s="5" t="s">
        <v>37</v>
      </c>
      <c r="B4945" s="5" t="s">
        <v>8304</v>
      </c>
      <c r="C4945" s="9">
        <v>44386</v>
      </c>
      <c r="D4945" s="5" t="s">
        <v>16</v>
      </c>
      <c r="E4945" s="5" t="s">
        <v>8305</v>
      </c>
      <c r="F4945" s="6">
        <v>1950</v>
      </c>
    </row>
    <row r="4946" spans="1:6" x14ac:dyDescent="0.15">
      <c r="A4946" s="5" t="s">
        <v>41</v>
      </c>
      <c r="B4946" s="5" t="s">
        <v>2162</v>
      </c>
      <c r="C4946" s="9">
        <v>44386</v>
      </c>
      <c r="D4946" s="5" t="s">
        <v>16</v>
      </c>
      <c r="E4946" s="5" t="s">
        <v>2163</v>
      </c>
      <c r="F4946" s="6">
        <v>1455</v>
      </c>
    </row>
    <row r="4947" spans="1:6" x14ac:dyDescent="0.15">
      <c r="A4947" s="5" t="s">
        <v>35</v>
      </c>
      <c r="B4947" s="5" t="s">
        <v>4126</v>
      </c>
      <c r="C4947" s="9">
        <v>44386</v>
      </c>
      <c r="D4947" s="5" t="s">
        <v>16</v>
      </c>
      <c r="E4947" s="5" t="s">
        <v>2163</v>
      </c>
      <c r="F4947" s="6">
        <v>5752.5</v>
      </c>
    </row>
    <row r="4948" spans="1:6" x14ac:dyDescent="0.15">
      <c r="A4948" s="5" t="s">
        <v>40</v>
      </c>
      <c r="B4948" s="5" t="s">
        <v>2626</v>
      </c>
      <c r="C4948" s="9">
        <v>44389</v>
      </c>
      <c r="D4948" s="5" t="s">
        <v>16</v>
      </c>
      <c r="E4948" s="5" t="s">
        <v>2627</v>
      </c>
      <c r="F4948" s="6">
        <v>150</v>
      </c>
    </row>
    <row r="4949" spans="1:6" x14ac:dyDescent="0.15">
      <c r="A4949" s="5" t="s">
        <v>37</v>
      </c>
      <c r="B4949" s="5" t="s">
        <v>8307</v>
      </c>
      <c r="C4949" s="9">
        <v>44389</v>
      </c>
      <c r="D4949" s="5" t="s">
        <v>16</v>
      </c>
      <c r="E4949" s="5" t="s">
        <v>8308</v>
      </c>
      <c r="F4949" s="6">
        <v>97.5</v>
      </c>
    </row>
    <row r="4950" spans="1:6" x14ac:dyDescent="0.15">
      <c r="A4950" s="5" t="s">
        <v>44</v>
      </c>
      <c r="B4950" s="5" t="s">
        <v>4284</v>
      </c>
      <c r="C4950" s="9"/>
      <c r="D4950" s="5" t="s">
        <v>16</v>
      </c>
      <c r="E4950" s="5" t="s">
        <v>2185</v>
      </c>
      <c r="F4950" s="6">
        <v>25350</v>
      </c>
    </row>
    <row r="4951" spans="1:6" x14ac:dyDescent="0.15">
      <c r="A4951" s="5" t="s">
        <v>46</v>
      </c>
      <c r="B4951" s="5" t="s">
        <v>2184</v>
      </c>
      <c r="C4951" s="9"/>
      <c r="D4951" s="5" t="s">
        <v>16</v>
      </c>
      <c r="E4951" s="5" t="s">
        <v>2185</v>
      </c>
      <c r="F4951" s="6">
        <v>3152.5</v>
      </c>
    </row>
    <row r="4952" spans="1:6" x14ac:dyDescent="0.15">
      <c r="A4952" s="5" t="s">
        <v>43</v>
      </c>
      <c r="B4952" s="5" t="s">
        <v>4510</v>
      </c>
      <c r="C4952" s="9"/>
      <c r="D4952" s="5" t="s">
        <v>16</v>
      </c>
      <c r="E4952" s="5" t="s">
        <v>2185</v>
      </c>
      <c r="F4952" s="6">
        <v>533.5</v>
      </c>
    </row>
    <row r="4953" spans="1:6" x14ac:dyDescent="0.15">
      <c r="A4953" s="5" t="s">
        <v>37</v>
      </c>
      <c r="B4953" s="5" t="s">
        <v>8311</v>
      </c>
      <c r="C4953" s="9">
        <v>44390</v>
      </c>
      <c r="D4953" s="5" t="s">
        <v>16</v>
      </c>
      <c r="E4953" s="5" t="s">
        <v>8312</v>
      </c>
      <c r="F4953" s="6">
        <v>14917.5</v>
      </c>
    </row>
    <row r="4954" spans="1:6" x14ac:dyDescent="0.15">
      <c r="A4954" s="5" t="s">
        <v>37</v>
      </c>
      <c r="B4954" s="5" t="s">
        <v>8313</v>
      </c>
      <c r="C4954" s="9">
        <v>44390</v>
      </c>
      <c r="D4954" s="5" t="s">
        <v>16</v>
      </c>
      <c r="E4954" s="5" t="s">
        <v>8314</v>
      </c>
      <c r="F4954" s="6">
        <v>2242.5</v>
      </c>
    </row>
    <row r="4955" spans="1:6" x14ac:dyDescent="0.15">
      <c r="A4955" s="5" t="s">
        <v>41</v>
      </c>
      <c r="B4955" s="5" t="s">
        <v>2164</v>
      </c>
      <c r="C4955" s="9">
        <v>44390</v>
      </c>
      <c r="D4955" s="5" t="s">
        <v>16</v>
      </c>
      <c r="E4955" s="5" t="s">
        <v>2165</v>
      </c>
      <c r="F4955" s="6">
        <v>97</v>
      </c>
    </row>
    <row r="4956" spans="1:6" x14ac:dyDescent="0.15">
      <c r="A4956" s="5" t="s">
        <v>37</v>
      </c>
      <c r="B4956" s="5" t="s">
        <v>8315</v>
      </c>
      <c r="C4956" s="9">
        <v>44390</v>
      </c>
      <c r="D4956" s="5" t="s">
        <v>16</v>
      </c>
      <c r="E4956" s="5" t="s">
        <v>8316</v>
      </c>
      <c r="F4956" s="6">
        <v>2145</v>
      </c>
    </row>
    <row r="4957" spans="1:6" x14ac:dyDescent="0.15">
      <c r="A4957" s="5" t="s">
        <v>43</v>
      </c>
      <c r="B4957" s="5" t="s">
        <v>5537</v>
      </c>
      <c r="C4957" s="9">
        <v>44390</v>
      </c>
      <c r="D4957" s="5" t="s">
        <v>16</v>
      </c>
      <c r="E4957" s="5" t="s">
        <v>2167</v>
      </c>
      <c r="F4957" s="6">
        <v>1261</v>
      </c>
    </row>
    <row r="4958" spans="1:6" x14ac:dyDescent="0.15">
      <c r="A4958" s="5" t="s">
        <v>37</v>
      </c>
      <c r="B4958" s="5" t="s">
        <v>8317</v>
      </c>
      <c r="C4958" s="9">
        <v>44390</v>
      </c>
      <c r="D4958" s="5" t="s">
        <v>16</v>
      </c>
      <c r="E4958" s="5" t="s">
        <v>2167</v>
      </c>
      <c r="F4958" s="6">
        <v>1267.5</v>
      </c>
    </row>
    <row r="4959" spans="1:6" x14ac:dyDescent="0.15">
      <c r="A4959" s="5" t="s">
        <v>35</v>
      </c>
      <c r="B4959" s="5" t="s">
        <v>4127</v>
      </c>
      <c r="C4959" s="9">
        <v>44390</v>
      </c>
      <c r="D4959" s="5" t="s">
        <v>16</v>
      </c>
      <c r="E4959" s="5" t="s">
        <v>2167</v>
      </c>
      <c r="F4959" s="6">
        <v>2047.5</v>
      </c>
    </row>
    <row r="4960" spans="1:6" x14ac:dyDescent="0.15">
      <c r="A4960" s="5" t="s">
        <v>41</v>
      </c>
      <c r="B4960" s="5" t="s">
        <v>2166</v>
      </c>
      <c r="C4960" s="9">
        <v>44390</v>
      </c>
      <c r="D4960" s="5" t="s">
        <v>16</v>
      </c>
      <c r="E4960" s="5" t="s">
        <v>2167</v>
      </c>
      <c r="F4960" s="6">
        <v>2037</v>
      </c>
    </row>
    <row r="4961" spans="1:6" x14ac:dyDescent="0.15">
      <c r="A4961" s="5" t="s">
        <v>46</v>
      </c>
      <c r="B4961" s="5" t="s">
        <v>2186</v>
      </c>
      <c r="C4961" s="9"/>
      <c r="D4961" s="5" t="s">
        <v>16</v>
      </c>
      <c r="E4961" s="5" t="s">
        <v>2187</v>
      </c>
      <c r="F4961" s="6">
        <v>3783</v>
      </c>
    </row>
    <row r="4962" spans="1:6" x14ac:dyDescent="0.15">
      <c r="A4962" s="5" t="s">
        <v>44</v>
      </c>
      <c r="B4962" s="5" t="s">
        <v>4285</v>
      </c>
      <c r="C4962" s="9"/>
      <c r="D4962" s="5" t="s">
        <v>16</v>
      </c>
      <c r="E4962" s="5" t="s">
        <v>2187</v>
      </c>
      <c r="F4962" s="6">
        <v>31980</v>
      </c>
    </row>
    <row r="4963" spans="1:6" x14ac:dyDescent="0.15">
      <c r="A4963" s="5" t="s">
        <v>65</v>
      </c>
      <c r="B4963" s="5" t="s">
        <v>4265</v>
      </c>
      <c r="C4963" s="9"/>
      <c r="D4963" s="5" t="s">
        <v>16</v>
      </c>
      <c r="E4963" s="5" t="s">
        <v>2187</v>
      </c>
      <c r="F4963" s="6">
        <v>300</v>
      </c>
    </row>
    <row r="4964" spans="1:6" x14ac:dyDescent="0.15">
      <c r="A4964" s="5" t="s">
        <v>66</v>
      </c>
      <c r="B4964" s="5" t="s">
        <v>5722</v>
      </c>
      <c r="C4964" s="9">
        <v>44396</v>
      </c>
      <c r="D4964" s="5" t="s">
        <v>16</v>
      </c>
      <c r="E4964" s="5" t="s">
        <v>5723</v>
      </c>
      <c r="F4964" s="6">
        <v>5820</v>
      </c>
    </row>
    <row r="4965" spans="1:6" x14ac:dyDescent="0.15">
      <c r="A4965" s="5" t="s">
        <v>8588</v>
      </c>
      <c r="B4965" s="5" t="s">
        <v>8617</v>
      </c>
      <c r="C4965" s="9">
        <v>44396</v>
      </c>
      <c r="D4965" s="5" t="s">
        <v>16</v>
      </c>
      <c r="E4965" s="5" t="s">
        <v>5723</v>
      </c>
      <c r="F4965" s="6">
        <v>19500</v>
      </c>
    </row>
    <row r="4966" spans="1:6" x14ac:dyDescent="0.15">
      <c r="A4966" s="5" t="s">
        <v>37</v>
      </c>
      <c r="B4966" s="5" t="s">
        <v>8318</v>
      </c>
      <c r="C4966" s="9">
        <v>44391</v>
      </c>
      <c r="D4966" s="5" t="s">
        <v>16</v>
      </c>
      <c r="E4966" s="5" t="s">
        <v>8319</v>
      </c>
      <c r="F4966" s="6">
        <v>4095</v>
      </c>
    </row>
    <row r="4967" spans="1:6" x14ac:dyDescent="0.15">
      <c r="A4967" s="5" t="s">
        <v>37</v>
      </c>
      <c r="B4967" s="5" t="s">
        <v>8320</v>
      </c>
      <c r="C4967" s="9">
        <v>44391</v>
      </c>
      <c r="D4967" s="5" t="s">
        <v>16</v>
      </c>
      <c r="E4967" s="5" t="s">
        <v>5539</v>
      </c>
      <c r="F4967" s="6">
        <v>3412.5</v>
      </c>
    </row>
    <row r="4968" spans="1:6" x14ac:dyDescent="0.15">
      <c r="A4968" s="5" t="s">
        <v>43</v>
      </c>
      <c r="B4968" s="5" t="s">
        <v>5538</v>
      </c>
      <c r="C4968" s="9">
        <v>44391</v>
      </c>
      <c r="D4968" s="5" t="s">
        <v>16</v>
      </c>
      <c r="E4968" s="5" t="s">
        <v>5539</v>
      </c>
      <c r="F4968" s="6">
        <v>291</v>
      </c>
    </row>
    <row r="4969" spans="1:6" x14ac:dyDescent="0.15">
      <c r="A4969" s="5" t="s">
        <v>37</v>
      </c>
      <c r="B4969" s="5" t="s">
        <v>8321</v>
      </c>
      <c r="C4969" s="9">
        <v>44391</v>
      </c>
      <c r="D4969" s="5" t="s">
        <v>16</v>
      </c>
      <c r="E4969" s="5" t="s">
        <v>8322</v>
      </c>
      <c r="F4969" s="6">
        <v>18915</v>
      </c>
    </row>
    <row r="4970" spans="1:6" x14ac:dyDescent="0.15">
      <c r="A4970" s="5" t="s">
        <v>49</v>
      </c>
      <c r="B4970" s="5" t="s">
        <v>8717</v>
      </c>
      <c r="C4970" s="9">
        <v>44391</v>
      </c>
      <c r="D4970" s="5" t="s">
        <v>16</v>
      </c>
      <c r="E4970" s="5" t="s">
        <v>8322</v>
      </c>
      <c r="F4970" s="6">
        <v>85</v>
      </c>
    </row>
    <row r="4971" spans="1:6" x14ac:dyDescent="0.15">
      <c r="A4971" s="5" t="s">
        <v>37</v>
      </c>
      <c r="B4971" s="5" t="s">
        <v>8323</v>
      </c>
      <c r="C4971" s="9">
        <v>44392</v>
      </c>
      <c r="D4971" s="5" t="s">
        <v>16</v>
      </c>
      <c r="E4971" s="5" t="s">
        <v>8324</v>
      </c>
      <c r="F4971" s="6">
        <v>19500</v>
      </c>
    </row>
    <row r="4972" spans="1:6" x14ac:dyDescent="0.15">
      <c r="A4972" s="5" t="s">
        <v>43</v>
      </c>
      <c r="B4972" s="5" t="s">
        <v>5558</v>
      </c>
      <c r="C4972" s="9">
        <v>44421</v>
      </c>
      <c r="D4972" s="5" t="s">
        <v>16</v>
      </c>
      <c r="E4972" s="5" t="s">
        <v>5559</v>
      </c>
      <c r="F4972" s="6">
        <v>32495</v>
      </c>
    </row>
    <row r="4973" spans="1:6" x14ac:dyDescent="0.15">
      <c r="A4973" s="5" t="s">
        <v>37</v>
      </c>
      <c r="B4973" s="5" t="s">
        <v>8363</v>
      </c>
      <c r="C4973" s="9">
        <v>44424</v>
      </c>
      <c r="D4973" s="5" t="s">
        <v>16</v>
      </c>
      <c r="E4973" s="5" t="s">
        <v>8364</v>
      </c>
      <c r="F4973" s="6">
        <v>26617.5</v>
      </c>
    </row>
    <row r="4974" spans="1:6" x14ac:dyDescent="0.15">
      <c r="A4974" s="5" t="s">
        <v>53</v>
      </c>
      <c r="B4974" s="5" t="s">
        <v>8528</v>
      </c>
      <c r="C4974" s="9">
        <v>44424</v>
      </c>
      <c r="D4974" s="5" t="s">
        <v>16</v>
      </c>
      <c r="E4974" s="5" t="s">
        <v>8529</v>
      </c>
      <c r="F4974" s="6">
        <v>26617.5</v>
      </c>
    </row>
    <row r="4975" spans="1:6" x14ac:dyDescent="0.15">
      <c r="A4975" s="5" t="s">
        <v>35</v>
      </c>
      <c r="B4975" s="5" t="s">
        <v>4128</v>
      </c>
      <c r="C4975" s="9">
        <v>44393</v>
      </c>
      <c r="D4975" s="5" t="s">
        <v>16</v>
      </c>
      <c r="E4975" s="5" t="s">
        <v>4129</v>
      </c>
      <c r="F4975" s="6">
        <v>21060</v>
      </c>
    </row>
    <row r="4976" spans="1:6" x14ac:dyDescent="0.15">
      <c r="A4976" s="5" t="s">
        <v>35</v>
      </c>
      <c r="B4976" s="5" t="s">
        <v>4130</v>
      </c>
      <c r="C4976" s="9">
        <v>44393</v>
      </c>
      <c r="D4976" s="5" t="s">
        <v>16</v>
      </c>
      <c r="E4976" s="5" t="s">
        <v>4131</v>
      </c>
      <c r="F4976" s="6">
        <v>2145</v>
      </c>
    </row>
    <row r="4977" spans="1:6" x14ac:dyDescent="0.15">
      <c r="A4977" s="5" t="s">
        <v>35</v>
      </c>
      <c r="B4977" s="5" t="s">
        <v>4132</v>
      </c>
      <c r="C4977" s="9">
        <v>44393</v>
      </c>
      <c r="D4977" s="5" t="s">
        <v>16</v>
      </c>
      <c r="E4977" s="5" t="s">
        <v>4133</v>
      </c>
      <c r="F4977" s="6">
        <v>5265</v>
      </c>
    </row>
    <row r="4978" spans="1:6" x14ac:dyDescent="0.15">
      <c r="A4978" s="5" t="s">
        <v>35</v>
      </c>
      <c r="B4978" s="5" t="s">
        <v>4134</v>
      </c>
      <c r="C4978" s="9">
        <v>44393</v>
      </c>
      <c r="D4978" s="5" t="s">
        <v>16</v>
      </c>
      <c r="E4978" s="5" t="s">
        <v>4135</v>
      </c>
      <c r="F4978" s="6">
        <v>3510</v>
      </c>
    </row>
    <row r="4979" spans="1:6" x14ac:dyDescent="0.15">
      <c r="A4979" s="5" t="s">
        <v>35</v>
      </c>
      <c r="B4979" s="5" t="s">
        <v>4136</v>
      </c>
      <c r="C4979" s="9">
        <v>44396</v>
      </c>
      <c r="D4979" s="5" t="s">
        <v>16</v>
      </c>
      <c r="E4979" s="5" t="s">
        <v>4137</v>
      </c>
      <c r="F4979" s="6">
        <v>4485</v>
      </c>
    </row>
    <row r="4980" spans="1:6" x14ac:dyDescent="0.15">
      <c r="A4980" s="5" t="s">
        <v>37</v>
      </c>
      <c r="B4980" s="5" t="s">
        <v>8325</v>
      </c>
      <c r="C4980" s="9">
        <v>44396</v>
      </c>
      <c r="D4980" s="5" t="s">
        <v>16</v>
      </c>
      <c r="E4980" s="5" t="s">
        <v>8326</v>
      </c>
      <c r="F4980" s="6">
        <v>4095</v>
      </c>
    </row>
    <row r="4981" spans="1:6" x14ac:dyDescent="0.15">
      <c r="A4981" s="5" t="s">
        <v>37</v>
      </c>
      <c r="B4981" s="5" t="s">
        <v>6204</v>
      </c>
      <c r="C4981" s="9"/>
      <c r="D4981" s="5" t="s">
        <v>16</v>
      </c>
      <c r="E4981" s="5" t="s">
        <v>6205</v>
      </c>
      <c r="F4981" s="6">
        <v>25350</v>
      </c>
    </row>
    <row r="4982" spans="1:6" x14ac:dyDescent="0.15">
      <c r="A4982" s="5" t="s">
        <v>37</v>
      </c>
      <c r="B4982" s="5" t="s">
        <v>6206</v>
      </c>
      <c r="C4982" s="9"/>
      <c r="D4982" s="5" t="s">
        <v>16</v>
      </c>
      <c r="E4982" s="5" t="s">
        <v>2693</v>
      </c>
      <c r="F4982" s="6">
        <v>21450</v>
      </c>
    </row>
    <row r="4983" spans="1:6" x14ac:dyDescent="0.15">
      <c r="A4983" s="5" t="s">
        <v>35</v>
      </c>
      <c r="B4983" s="5" t="s">
        <v>2692</v>
      </c>
      <c r="C4983" s="9"/>
      <c r="D4983" s="5" t="s">
        <v>16</v>
      </c>
      <c r="E4983" s="5" t="s">
        <v>2693</v>
      </c>
      <c r="F4983" s="6">
        <v>4095</v>
      </c>
    </row>
    <row r="4984" spans="1:6" x14ac:dyDescent="0.15">
      <c r="A4984" s="5" t="s">
        <v>44</v>
      </c>
      <c r="B4984" s="5" t="s">
        <v>4465</v>
      </c>
      <c r="C4984" s="9">
        <v>44414</v>
      </c>
      <c r="D4984" s="5" t="s">
        <v>16</v>
      </c>
      <c r="E4984" s="5" t="s">
        <v>2233</v>
      </c>
      <c r="F4984" s="6">
        <v>23400</v>
      </c>
    </row>
    <row r="4985" spans="1:6" x14ac:dyDescent="0.15">
      <c r="A4985" s="5" t="s">
        <v>46</v>
      </c>
      <c r="B4985" s="5" t="s">
        <v>2232</v>
      </c>
      <c r="C4985" s="9">
        <v>44414</v>
      </c>
      <c r="D4985" s="5" t="s">
        <v>16</v>
      </c>
      <c r="E4985" s="5" t="s">
        <v>2233</v>
      </c>
      <c r="F4985" s="6">
        <v>1940</v>
      </c>
    </row>
    <row r="4986" spans="1:6" x14ac:dyDescent="0.15">
      <c r="A4986" s="5" t="s">
        <v>43</v>
      </c>
      <c r="B4986" s="5" t="s">
        <v>4511</v>
      </c>
      <c r="C4986" s="9"/>
      <c r="D4986" s="5" t="s">
        <v>16</v>
      </c>
      <c r="E4986" s="5" t="s">
        <v>4512</v>
      </c>
      <c r="F4986" s="6">
        <v>1940</v>
      </c>
    </row>
    <row r="4987" spans="1:6" x14ac:dyDescent="0.15">
      <c r="A4987" s="5" t="s">
        <v>37</v>
      </c>
      <c r="B4987" s="5" t="s">
        <v>6207</v>
      </c>
      <c r="C4987" s="9"/>
      <c r="D4987" s="5" t="s">
        <v>16</v>
      </c>
      <c r="E4987" s="5" t="s">
        <v>4512</v>
      </c>
      <c r="F4987" s="6">
        <v>23400</v>
      </c>
    </row>
    <row r="4988" spans="1:6" x14ac:dyDescent="0.15">
      <c r="A4988" s="5" t="s">
        <v>41</v>
      </c>
      <c r="B4988" s="5" t="s">
        <v>2168</v>
      </c>
      <c r="C4988" s="9">
        <v>44396</v>
      </c>
      <c r="D4988" s="5" t="s">
        <v>16</v>
      </c>
      <c r="E4988" s="5" t="s">
        <v>2169</v>
      </c>
      <c r="F4988" s="6">
        <v>242.5</v>
      </c>
    </row>
    <row r="4989" spans="1:6" x14ac:dyDescent="0.15">
      <c r="A4989" s="5" t="s">
        <v>43</v>
      </c>
      <c r="B4989" s="5" t="s">
        <v>5540</v>
      </c>
      <c r="C4989" s="9">
        <v>44396</v>
      </c>
      <c r="D4989" s="5" t="s">
        <v>16</v>
      </c>
      <c r="E4989" s="5" t="s">
        <v>2169</v>
      </c>
      <c r="F4989" s="6">
        <v>1406.5</v>
      </c>
    </row>
    <row r="4990" spans="1:6" x14ac:dyDescent="0.15">
      <c r="A4990" s="5" t="s">
        <v>35</v>
      </c>
      <c r="B4990" s="5" t="s">
        <v>4138</v>
      </c>
      <c r="C4990" s="9">
        <v>44396</v>
      </c>
      <c r="D4990" s="5" t="s">
        <v>16</v>
      </c>
      <c r="E4990" s="5" t="s">
        <v>2169</v>
      </c>
      <c r="F4990" s="6">
        <v>2827.5</v>
      </c>
    </row>
    <row r="4991" spans="1:6" x14ac:dyDescent="0.15">
      <c r="A4991" s="5" t="s">
        <v>37</v>
      </c>
      <c r="B4991" s="5" t="s">
        <v>8327</v>
      </c>
      <c r="C4991" s="9">
        <v>44396</v>
      </c>
      <c r="D4991" s="5" t="s">
        <v>16</v>
      </c>
      <c r="E4991" s="5" t="s">
        <v>2169</v>
      </c>
      <c r="F4991" s="6">
        <v>682.5</v>
      </c>
    </row>
    <row r="4992" spans="1:6" x14ac:dyDescent="0.15">
      <c r="A4992" s="5" t="s">
        <v>35</v>
      </c>
      <c r="B4992" s="5" t="s">
        <v>4139</v>
      </c>
      <c r="C4992" s="9">
        <v>44396</v>
      </c>
      <c r="D4992" s="5" t="s">
        <v>16</v>
      </c>
      <c r="E4992" s="5" t="s">
        <v>2629</v>
      </c>
      <c r="F4992" s="6">
        <v>780</v>
      </c>
    </row>
    <row r="4993" spans="1:6" x14ac:dyDescent="0.15">
      <c r="A4993" s="5" t="s">
        <v>40</v>
      </c>
      <c r="B4993" s="5" t="s">
        <v>2628</v>
      </c>
      <c r="C4993" s="9">
        <v>44396</v>
      </c>
      <c r="D4993" s="5" t="s">
        <v>16</v>
      </c>
      <c r="E4993" s="5" t="s">
        <v>2629</v>
      </c>
      <c r="F4993" s="6">
        <v>225</v>
      </c>
    </row>
    <row r="4994" spans="1:6" x14ac:dyDescent="0.15">
      <c r="A4994" s="5" t="s">
        <v>37</v>
      </c>
      <c r="B4994" s="5" t="s">
        <v>8328</v>
      </c>
      <c r="C4994" s="9">
        <v>44396</v>
      </c>
      <c r="D4994" s="5" t="s">
        <v>16</v>
      </c>
      <c r="E4994" s="5" t="s">
        <v>5542</v>
      </c>
      <c r="F4994" s="6">
        <v>2145</v>
      </c>
    </row>
    <row r="4995" spans="1:6" x14ac:dyDescent="0.15">
      <c r="A4995" s="5" t="s">
        <v>42</v>
      </c>
      <c r="B4995" s="5" t="s">
        <v>6089</v>
      </c>
      <c r="C4995" s="9">
        <v>44396</v>
      </c>
      <c r="D4995" s="5" t="s">
        <v>16</v>
      </c>
      <c r="E4995" s="5" t="s">
        <v>5542</v>
      </c>
      <c r="F4995" s="6">
        <v>5700</v>
      </c>
    </row>
    <row r="4996" spans="1:6" x14ac:dyDescent="0.15">
      <c r="A4996" s="5" t="s">
        <v>43</v>
      </c>
      <c r="B4996" s="5" t="s">
        <v>5541</v>
      </c>
      <c r="C4996" s="9">
        <v>44396</v>
      </c>
      <c r="D4996" s="5" t="s">
        <v>16</v>
      </c>
      <c r="E4996" s="5" t="s">
        <v>5542</v>
      </c>
      <c r="F4996" s="6">
        <v>970</v>
      </c>
    </row>
    <row r="4997" spans="1:6" x14ac:dyDescent="0.15">
      <c r="A4997" s="5" t="s">
        <v>37</v>
      </c>
      <c r="B4997" s="5" t="s">
        <v>8329</v>
      </c>
      <c r="C4997" s="9">
        <v>44397</v>
      </c>
      <c r="D4997" s="5" t="s">
        <v>16</v>
      </c>
      <c r="E4997" s="5" t="s">
        <v>6091</v>
      </c>
      <c r="F4997" s="6">
        <v>11700</v>
      </c>
    </row>
    <row r="4998" spans="1:6" x14ac:dyDescent="0.15">
      <c r="A4998" s="5" t="s">
        <v>42</v>
      </c>
      <c r="B4998" s="5" t="s">
        <v>6090</v>
      </c>
      <c r="C4998" s="9">
        <v>44397</v>
      </c>
      <c r="D4998" s="5" t="s">
        <v>16</v>
      </c>
      <c r="E4998" s="5" t="s">
        <v>6091</v>
      </c>
      <c r="F4998" s="6">
        <v>2025</v>
      </c>
    </row>
    <row r="4999" spans="1:6" x14ac:dyDescent="0.15">
      <c r="A4999" s="5" t="s">
        <v>37</v>
      </c>
      <c r="B4999" s="5" t="s">
        <v>8330</v>
      </c>
      <c r="C4999" s="9">
        <v>44398</v>
      </c>
      <c r="D4999" s="5" t="s">
        <v>16</v>
      </c>
      <c r="E4999" s="5" t="s">
        <v>8331</v>
      </c>
      <c r="F4999" s="6">
        <v>25350</v>
      </c>
    </row>
    <row r="5000" spans="1:6" x14ac:dyDescent="0.15">
      <c r="A5000" s="5" t="s">
        <v>35</v>
      </c>
      <c r="B5000" s="5" t="s">
        <v>4140</v>
      </c>
      <c r="C5000" s="9">
        <v>44398</v>
      </c>
      <c r="D5000" s="5" t="s">
        <v>16</v>
      </c>
      <c r="E5000" s="5" t="s">
        <v>4141</v>
      </c>
      <c r="F5000" s="6">
        <v>2047.5</v>
      </c>
    </row>
    <row r="5001" spans="1:6" x14ac:dyDescent="0.15">
      <c r="A5001" s="5" t="s">
        <v>35</v>
      </c>
      <c r="B5001" s="5" t="s">
        <v>4142</v>
      </c>
      <c r="C5001" s="9">
        <v>44398</v>
      </c>
      <c r="D5001" s="5" t="s">
        <v>16</v>
      </c>
      <c r="E5001" s="5" t="s">
        <v>4141</v>
      </c>
      <c r="F5001" s="6">
        <v>-2047</v>
      </c>
    </row>
    <row r="5002" spans="1:6" x14ac:dyDescent="0.15">
      <c r="A5002" s="5" t="s">
        <v>37</v>
      </c>
      <c r="B5002" s="5" t="s">
        <v>8332</v>
      </c>
      <c r="C5002" s="9">
        <v>44398</v>
      </c>
      <c r="D5002" s="5" t="s">
        <v>16</v>
      </c>
      <c r="E5002" s="5" t="s">
        <v>8333</v>
      </c>
      <c r="F5002" s="6">
        <v>2047.5</v>
      </c>
    </row>
    <row r="5003" spans="1:6" x14ac:dyDescent="0.15">
      <c r="A5003" s="5" t="s">
        <v>41</v>
      </c>
      <c r="B5003" s="5" t="s">
        <v>2174</v>
      </c>
      <c r="C5003" s="9">
        <v>44410</v>
      </c>
      <c r="D5003" s="5" t="s">
        <v>16</v>
      </c>
      <c r="E5003" s="5" t="s">
        <v>2175</v>
      </c>
      <c r="F5003" s="6">
        <v>3880</v>
      </c>
    </row>
    <row r="5004" spans="1:6" x14ac:dyDescent="0.15">
      <c r="A5004" s="5" t="s">
        <v>35</v>
      </c>
      <c r="B5004" s="5" t="s">
        <v>4151</v>
      </c>
      <c r="C5004" s="9">
        <v>44410</v>
      </c>
      <c r="D5004" s="5" t="s">
        <v>16</v>
      </c>
      <c r="E5004" s="5" t="s">
        <v>2175</v>
      </c>
      <c r="F5004" s="6">
        <v>7800</v>
      </c>
    </row>
    <row r="5005" spans="1:6" x14ac:dyDescent="0.15">
      <c r="A5005" s="5" t="s">
        <v>43</v>
      </c>
      <c r="B5005" s="5" t="s">
        <v>5549</v>
      </c>
      <c r="C5005" s="9">
        <v>44410</v>
      </c>
      <c r="D5005" s="5" t="s">
        <v>16</v>
      </c>
      <c r="E5005" s="5" t="s">
        <v>2175</v>
      </c>
      <c r="F5005" s="6">
        <v>1940</v>
      </c>
    </row>
    <row r="5006" spans="1:6" x14ac:dyDescent="0.15">
      <c r="A5006" s="5" t="s">
        <v>37</v>
      </c>
      <c r="B5006" s="5" t="s">
        <v>8344</v>
      </c>
      <c r="C5006" s="9">
        <v>44410</v>
      </c>
      <c r="D5006" s="5" t="s">
        <v>16</v>
      </c>
      <c r="E5006" s="5" t="s">
        <v>2175</v>
      </c>
      <c r="F5006" s="6">
        <v>11700</v>
      </c>
    </row>
    <row r="5007" spans="1:6" x14ac:dyDescent="0.15">
      <c r="A5007" s="5" t="s">
        <v>44</v>
      </c>
      <c r="B5007" s="5" t="s">
        <v>4466</v>
      </c>
      <c r="C5007" s="9">
        <v>44414</v>
      </c>
      <c r="D5007" s="5" t="s">
        <v>16</v>
      </c>
      <c r="E5007" s="5" t="s">
        <v>4467</v>
      </c>
      <c r="F5007" s="6">
        <v>25350</v>
      </c>
    </row>
    <row r="5008" spans="1:6" x14ac:dyDescent="0.15">
      <c r="A5008" s="5" t="s">
        <v>37</v>
      </c>
      <c r="B5008" s="5" t="s">
        <v>8334</v>
      </c>
      <c r="C5008" s="9">
        <v>44399</v>
      </c>
      <c r="D5008" s="5" t="s">
        <v>16</v>
      </c>
      <c r="E5008" s="5" t="s">
        <v>8335</v>
      </c>
      <c r="F5008" s="6">
        <v>2535</v>
      </c>
    </row>
    <row r="5009" spans="1:6" x14ac:dyDescent="0.15">
      <c r="A5009" s="5" t="s">
        <v>37</v>
      </c>
      <c r="B5009" s="5" t="s">
        <v>8336</v>
      </c>
      <c r="C5009" s="9">
        <v>44399</v>
      </c>
      <c r="D5009" s="5" t="s">
        <v>16</v>
      </c>
      <c r="E5009" s="5" t="s">
        <v>8337</v>
      </c>
      <c r="F5009" s="6">
        <v>292.5</v>
      </c>
    </row>
    <row r="5010" spans="1:6" x14ac:dyDescent="0.15">
      <c r="A5010" s="5" t="s">
        <v>35</v>
      </c>
      <c r="B5010" s="5" t="s">
        <v>2694</v>
      </c>
      <c r="C5010" s="9"/>
      <c r="D5010" s="5" t="s">
        <v>16</v>
      </c>
      <c r="E5010" s="5" t="s">
        <v>2695</v>
      </c>
      <c r="F5010" s="6">
        <v>25350</v>
      </c>
    </row>
    <row r="5011" spans="1:6" x14ac:dyDescent="0.15">
      <c r="A5011" s="5" t="s">
        <v>37</v>
      </c>
      <c r="B5011" s="5" t="s">
        <v>6208</v>
      </c>
      <c r="C5011" s="9"/>
      <c r="D5011" s="5" t="s">
        <v>16</v>
      </c>
      <c r="E5011" s="5" t="s">
        <v>6209</v>
      </c>
      <c r="F5011" s="6">
        <v>26617.5</v>
      </c>
    </row>
    <row r="5012" spans="1:6" x14ac:dyDescent="0.15">
      <c r="A5012" s="5" t="s">
        <v>37</v>
      </c>
      <c r="B5012" s="5" t="s">
        <v>6210</v>
      </c>
      <c r="C5012" s="9"/>
      <c r="D5012" s="5" t="s">
        <v>16</v>
      </c>
      <c r="E5012" s="5" t="s">
        <v>6211</v>
      </c>
      <c r="F5012" s="6">
        <v>26617.5</v>
      </c>
    </row>
    <row r="5013" spans="1:6" x14ac:dyDescent="0.15">
      <c r="A5013" s="5" t="s">
        <v>37</v>
      </c>
      <c r="B5013" s="5" t="s">
        <v>6212</v>
      </c>
      <c r="C5013" s="9"/>
      <c r="D5013" s="5" t="s">
        <v>16</v>
      </c>
      <c r="E5013" s="5" t="s">
        <v>6213</v>
      </c>
      <c r="F5013" s="6">
        <v>14332.5</v>
      </c>
    </row>
    <row r="5014" spans="1:6" x14ac:dyDescent="0.15">
      <c r="A5014" s="5" t="s">
        <v>53</v>
      </c>
      <c r="B5014" s="5" t="s">
        <v>8368</v>
      </c>
      <c r="C5014" s="9"/>
      <c r="D5014" s="5" t="s">
        <v>16</v>
      </c>
      <c r="E5014" s="5" t="s">
        <v>6213</v>
      </c>
      <c r="F5014" s="6">
        <v>12285</v>
      </c>
    </row>
    <row r="5015" spans="1:6" x14ac:dyDescent="0.15">
      <c r="A5015" s="5" t="s">
        <v>43</v>
      </c>
      <c r="B5015" s="5" t="s">
        <v>5543</v>
      </c>
      <c r="C5015" s="9">
        <v>44400</v>
      </c>
      <c r="D5015" s="5" t="s">
        <v>16</v>
      </c>
      <c r="E5015" s="5" t="s">
        <v>5544</v>
      </c>
      <c r="F5015" s="6">
        <v>145.5</v>
      </c>
    </row>
    <row r="5016" spans="1:6" x14ac:dyDescent="0.15">
      <c r="A5016" s="5" t="s">
        <v>37</v>
      </c>
      <c r="B5016" s="5" t="s">
        <v>8338</v>
      </c>
      <c r="C5016" s="9">
        <v>44400</v>
      </c>
      <c r="D5016" s="5" t="s">
        <v>16</v>
      </c>
      <c r="E5016" s="5" t="s">
        <v>8339</v>
      </c>
      <c r="F5016" s="6">
        <v>5070</v>
      </c>
    </row>
    <row r="5017" spans="1:6" x14ac:dyDescent="0.15">
      <c r="A5017" s="5" t="s">
        <v>43</v>
      </c>
      <c r="B5017" s="5" t="s">
        <v>5545</v>
      </c>
      <c r="C5017" s="9">
        <v>44400</v>
      </c>
      <c r="D5017" s="5" t="s">
        <v>16</v>
      </c>
      <c r="E5017" s="5" t="s">
        <v>5546</v>
      </c>
      <c r="F5017" s="6">
        <v>4656</v>
      </c>
    </row>
    <row r="5018" spans="1:6" x14ac:dyDescent="0.15">
      <c r="A5018" s="5" t="s">
        <v>40</v>
      </c>
      <c r="B5018" s="5" t="s">
        <v>2630</v>
      </c>
      <c r="C5018" s="9">
        <v>44400</v>
      </c>
      <c r="D5018" s="5" t="s">
        <v>16</v>
      </c>
      <c r="E5018" s="5" t="s">
        <v>2171</v>
      </c>
      <c r="F5018" s="6">
        <v>375</v>
      </c>
    </row>
    <row r="5019" spans="1:6" x14ac:dyDescent="0.15">
      <c r="A5019" s="5" t="s">
        <v>41</v>
      </c>
      <c r="B5019" s="5" t="s">
        <v>2170</v>
      </c>
      <c r="C5019" s="9">
        <v>44400</v>
      </c>
      <c r="D5019" s="5" t="s">
        <v>16</v>
      </c>
      <c r="E5019" s="5" t="s">
        <v>2171</v>
      </c>
      <c r="F5019" s="6">
        <v>97</v>
      </c>
    </row>
    <row r="5020" spans="1:6" x14ac:dyDescent="0.15">
      <c r="A5020" s="5" t="s">
        <v>35</v>
      </c>
      <c r="B5020" s="5" t="s">
        <v>4143</v>
      </c>
      <c r="C5020" s="9">
        <v>44404</v>
      </c>
      <c r="D5020" s="5" t="s">
        <v>16</v>
      </c>
      <c r="E5020" s="5" t="s">
        <v>4144</v>
      </c>
      <c r="F5020" s="6">
        <v>780</v>
      </c>
    </row>
    <row r="5021" spans="1:6" x14ac:dyDescent="0.15">
      <c r="A5021" s="5" t="s">
        <v>37</v>
      </c>
      <c r="B5021" s="5" t="s">
        <v>8340</v>
      </c>
      <c r="C5021" s="9">
        <v>44404</v>
      </c>
      <c r="D5021" s="5" t="s">
        <v>16</v>
      </c>
      <c r="E5021" s="5" t="s">
        <v>8341</v>
      </c>
      <c r="F5021" s="6">
        <v>2925</v>
      </c>
    </row>
    <row r="5022" spans="1:6" x14ac:dyDescent="0.15">
      <c r="A5022" s="5" t="s">
        <v>35</v>
      </c>
      <c r="B5022" s="5" t="s">
        <v>2696</v>
      </c>
      <c r="C5022" s="9"/>
      <c r="D5022" s="5" t="s">
        <v>16</v>
      </c>
      <c r="E5022" s="5" t="s">
        <v>2697</v>
      </c>
      <c r="F5022" s="6">
        <v>25350</v>
      </c>
    </row>
    <row r="5023" spans="1:6" x14ac:dyDescent="0.15">
      <c r="A5023" s="5" t="s">
        <v>35</v>
      </c>
      <c r="B5023" s="5" t="s">
        <v>4145</v>
      </c>
      <c r="C5023" s="9">
        <v>44405</v>
      </c>
      <c r="D5023" s="5" t="s">
        <v>16</v>
      </c>
      <c r="E5023" s="5" t="s">
        <v>4146</v>
      </c>
      <c r="F5023" s="6">
        <v>1072.5</v>
      </c>
    </row>
    <row r="5024" spans="1:6" x14ac:dyDescent="0.15">
      <c r="A5024" s="5" t="s">
        <v>35</v>
      </c>
      <c r="B5024" s="5" t="s">
        <v>4147</v>
      </c>
      <c r="C5024" s="9">
        <v>44405</v>
      </c>
      <c r="D5024" s="5" t="s">
        <v>16</v>
      </c>
      <c r="E5024" s="5" t="s">
        <v>2173</v>
      </c>
      <c r="F5024" s="6">
        <v>2340</v>
      </c>
    </row>
    <row r="5025" spans="1:6" x14ac:dyDescent="0.15">
      <c r="A5025" s="5" t="s">
        <v>40</v>
      </c>
      <c r="B5025" s="5" t="s">
        <v>2631</v>
      </c>
      <c r="C5025" s="9">
        <v>44405</v>
      </c>
      <c r="D5025" s="5" t="s">
        <v>16</v>
      </c>
      <c r="E5025" s="5" t="s">
        <v>2173</v>
      </c>
      <c r="F5025" s="6">
        <v>900</v>
      </c>
    </row>
    <row r="5026" spans="1:6" x14ac:dyDescent="0.15">
      <c r="A5026" s="5" t="s">
        <v>41</v>
      </c>
      <c r="B5026" s="5" t="s">
        <v>2172</v>
      </c>
      <c r="C5026" s="9">
        <v>44405</v>
      </c>
      <c r="D5026" s="5" t="s">
        <v>16</v>
      </c>
      <c r="E5026" s="5" t="s">
        <v>2173</v>
      </c>
      <c r="F5026" s="6">
        <v>582</v>
      </c>
    </row>
    <row r="5027" spans="1:6" x14ac:dyDescent="0.15">
      <c r="A5027" s="5" t="s">
        <v>43</v>
      </c>
      <c r="B5027" s="5" t="s">
        <v>5547</v>
      </c>
      <c r="C5027" s="9">
        <v>44405</v>
      </c>
      <c r="D5027" s="5" t="s">
        <v>16</v>
      </c>
      <c r="E5027" s="5" t="s">
        <v>5548</v>
      </c>
      <c r="F5027" s="6">
        <v>582</v>
      </c>
    </row>
    <row r="5028" spans="1:6" x14ac:dyDescent="0.15">
      <c r="A5028" s="5" t="s">
        <v>5739</v>
      </c>
      <c r="B5028" s="5" t="s">
        <v>5740</v>
      </c>
      <c r="C5028" s="9">
        <v>44421</v>
      </c>
      <c r="D5028" s="5" t="s">
        <v>16</v>
      </c>
      <c r="E5028" s="5" t="s">
        <v>5741</v>
      </c>
      <c r="F5028" s="6">
        <v>19687.5</v>
      </c>
    </row>
    <row r="5029" spans="1:6" x14ac:dyDescent="0.15">
      <c r="A5029" s="5" t="s">
        <v>37</v>
      </c>
      <c r="B5029" s="5" t="s">
        <v>8342</v>
      </c>
      <c r="C5029" s="9">
        <v>44405</v>
      </c>
      <c r="D5029" s="5" t="s">
        <v>16</v>
      </c>
      <c r="E5029" s="5" t="s">
        <v>8343</v>
      </c>
      <c r="F5029" s="6">
        <v>4387.5</v>
      </c>
    </row>
    <row r="5030" spans="1:6" x14ac:dyDescent="0.15">
      <c r="A5030" s="5" t="s">
        <v>35</v>
      </c>
      <c r="B5030" s="5" t="s">
        <v>4148</v>
      </c>
      <c r="C5030" s="9">
        <v>44406</v>
      </c>
      <c r="D5030" s="5" t="s">
        <v>16</v>
      </c>
      <c r="E5030" s="5" t="s">
        <v>4149</v>
      </c>
      <c r="F5030" s="6">
        <v>-2047.5</v>
      </c>
    </row>
    <row r="5031" spans="1:6" x14ac:dyDescent="0.15">
      <c r="A5031" s="5" t="s">
        <v>35</v>
      </c>
      <c r="B5031" s="5" t="s">
        <v>4150</v>
      </c>
      <c r="C5031" s="9">
        <v>44406</v>
      </c>
      <c r="D5031" s="5" t="s">
        <v>16</v>
      </c>
      <c r="E5031" s="5" t="s">
        <v>4149</v>
      </c>
      <c r="F5031" s="6">
        <v>2047</v>
      </c>
    </row>
    <row r="5032" spans="1:6" x14ac:dyDescent="0.15">
      <c r="A5032" s="5" t="s">
        <v>35</v>
      </c>
      <c r="B5032" s="5" t="s">
        <v>2698</v>
      </c>
      <c r="C5032" s="9"/>
      <c r="D5032" s="5" t="s">
        <v>16</v>
      </c>
      <c r="E5032" s="5" t="s">
        <v>2699</v>
      </c>
      <c r="F5032" s="6">
        <v>25350</v>
      </c>
    </row>
    <row r="5033" spans="1:6" x14ac:dyDescent="0.15">
      <c r="A5033" s="5" t="s">
        <v>37</v>
      </c>
      <c r="B5033" s="5" t="s">
        <v>8345</v>
      </c>
      <c r="C5033" s="9">
        <v>44410</v>
      </c>
      <c r="D5033" s="5" t="s">
        <v>16</v>
      </c>
      <c r="E5033" s="5" t="s">
        <v>6093</v>
      </c>
      <c r="F5033" s="6">
        <v>7800</v>
      </c>
    </row>
    <row r="5034" spans="1:6" x14ac:dyDescent="0.15">
      <c r="A5034" s="5" t="s">
        <v>42</v>
      </c>
      <c r="B5034" s="5" t="s">
        <v>6092</v>
      </c>
      <c r="C5034" s="9">
        <v>44410</v>
      </c>
      <c r="D5034" s="5" t="s">
        <v>16</v>
      </c>
      <c r="E5034" s="5" t="s">
        <v>6093</v>
      </c>
      <c r="F5034" s="6">
        <v>1575</v>
      </c>
    </row>
    <row r="5035" spans="1:6" x14ac:dyDescent="0.15">
      <c r="A5035" s="5" t="s">
        <v>37</v>
      </c>
      <c r="B5035" s="5" t="s">
        <v>6214</v>
      </c>
      <c r="C5035" s="9"/>
      <c r="D5035" s="5" t="s">
        <v>16</v>
      </c>
      <c r="E5035" s="5" t="s">
        <v>6215</v>
      </c>
      <c r="F5035" s="6">
        <v>25350</v>
      </c>
    </row>
    <row r="5036" spans="1:6" x14ac:dyDescent="0.15">
      <c r="A5036" s="5" t="s">
        <v>35</v>
      </c>
      <c r="B5036" s="5" t="s">
        <v>2700</v>
      </c>
      <c r="C5036" s="9"/>
      <c r="D5036" s="5" t="s">
        <v>16</v>
      </c>
      <c r="E5036" s="5" t="s">
        <v>2701</v>
      </c>
      <c r="F5036" s="6">
        <v>15600</v>
      </c>
    </row>
    <row r="5037" spans="1:6" x14ac:dyDescent="0.15">
      <c r="A5037" s="5" t="s">
        <v>37</v>
      </c>
      <c r="B5037" s="5" t="s">
        <v>6216</v>
      </c>
      <c r="C5037" s="9"/>
      <c r="D5037" s="5" t="s">
        <v>16</v>
      </c>
      <c r="E5037" s="5" t="s">
        <v>2701</v>
      </c>
      <c r="F5037" s="6">
        <v>9750</v>
      </c>
    </row>
    <row r="5038" spans="1:6" x14ac:dyDescent="0.15">
      <c r="A5038" s="5" t="s">
        <v>37</v>
      </c>
      <c r="B5038" s="5" t="s">
        <v>8349</v>
      </c>
      <c r="C5038" s="9">
        <v>44411</v>
      </c>
      <c r="D5038" s="5" t="s">
        <v>16</v>
      </c>
      <c r="E5038" s="5" t="s">
        <v>8350</v>
      </c>
      <c r="F5038" s="6">
        <v>11700</v>
      </c>
    </row>
    <row r="5039" spans="1:6" x14ac:dyDescent="0.15">
      <c r="A5039" s="5" t="s">
        <v>35</v>
      </c>
      <c r="B5039" s="5" t="s">
        <v>4154</v>
      </c>
      <c r="C5039" s="9">
        <v>44411</v>
      </c>
      <c r="D5039" s="5" t="s">
        <v>16</v>
      </c>
      <c r="E5039" s="5" t="s">
        <v>4155</v>
      </c>
      <c r="F5039" s="6">
        <v>5362.5</v>
      </c>
    </row>
    <row r="5040" spans="1:6" x14ac:dyDescent="0.15">
      <c r="A5040" s="5" t="s">
        <v>37</v>
      </c>
      <c r="B5040" s="5" t="s">
        <v>8346</v>
      </c>
      <c r="C5040" s="9">
        <v>44410</v>
      </c>
      <c r="D5040" s="5" t="s">
        <v>16</v>
      </c>
      <c r="E5040" s="5" t="s">
        <v>5551</v>
      </c>
      <c r="F5040" s="6">
        <v>682.5</v>
      </c>
    </row>
    <row r="5041" spans="1:6" x14ac:dyDescent="0.15">
      <c r="A5041" s="5" t="s">
        <v>43</v>
      </c>
      <c r="B5041" s="5" t="s">
        <v>5550</v>
      </c>
      <c r="C5041" s="9">
        <v>44410</v>
      </c>
      <c r="D5041" s="5" t="s">
        <v>16</v>
      </c>
      <c r="E5041" s="5" t="s">
        <v>5551</v>
      </c>
      <c r="F5041" s="6">
        <v>679</v>
      </c>
    </row>
    <row r="5042" spans="1:6" x14ac:dyDescent="0.15">
      <c r="A5042" s="5" t="s">
        <v>37</v>
      </c>
      <c r="B5042" s="5" t="s">
        <v>8347</v>
      </c>
      <c r="C5042" s="9">
        <v>44410</v>
      </c>
      <c r="D5042" s="5" t="s">
        <v>16</v>
      </c>
      <c r="E5042" s="5" t="s">
        <v>8348</v>
      </c>
      <c r="F5042" s="6">
        <v>4095</v>
      </c>
    </row>
    <row r="5043" spans="1:6" x14ac:dyDescent="0.15">
      <c r="A5043" s="5" t="s">
        <v>35</v>
      </c>
      <c r="B5043" s="5" t="s">
        <v>4152</v>
      </c>
      <c r="C5043" s="9">
        <v>44410</v>
      </c>
      <c r="D5043" s="5" t="s">
        <v>16</v>
      </c>
      <c r="E5043" s="5" t="s">
        <v>4153</v>
      </c>
      <c r="F5043" s="6">
        <v>1950</v>
      </c>
    </row>
    <row r="5044" spans="1:6" x14ac:dyDescent="0.15">
      <c r="A5044" s="5" t="s">
        <v>8588</v>
      </c>
      <c r="B5044" s="5" t="s">
        <v>8589</v>
      </c>
      <c r="C5044" s="9"/>
      <c r="D5044" s="5" t="s">
        <v>16</v>
      </c>
      <c r="E5044" s="5" t="s">
        <v>8590</v>
      </c>
      <c r="F5044" s="6">
        <v>25350</v>
      </c>
    </row>
    <row r="5045" spans="1:6" x14ac:dyDescent="0.15">
      <c r="A5045" s="5" t="s">
        <v>43</v>
      </c>
      <c r="B5045" s="5" t="s">
        <v>4513</v>
      </c>
      <c r="C5045" s="9"/>
      <c r="D5045" s="5" t="s">
        <v>16</v>
      </c>
      <c r="E5045" s="5" t="s">
        <v>2703</v>
      </c>
      <c r="F5045" s="6">
        <v>11640</v>
      </c>
    </row>
    <row r="5046" spans="1:6" x14ac:dyDescent="0.15">
      <c r="A5046" s="5" t="s">
        <v>37</v>
      </c>
      <c r="B5046" s="5" t="s">
        <v>6217</v>
      </c>
      <c r="C5046" s="9"/>
      <c r="D5046" s="5" t="s">
        <v>16</v>
      </c>
      <c r="E5046" s="5" t="s">
        <v>2703</v>
      </c>
      <c r="F5046" s="6">
        <v>9750</v>
      </c>
    </row>
    <row r="5047" spans="1:6" x14ac:dyDescent="0.15">
      <c r="A5047" s="5" t="s">
        <v>35</v>
      </c>
      <c r="B5047" s="5" t="s">
        <v>2702</v>
      </c>
      <c r="C5047" s="9"/>
      <c r="D5047" s="5" t="s">
        <v>16</v>
      </c>
      <c r="E5047" s="5" t="s">
        <v>2703</v>
      </c>
      <c r="F5047" s="6">
        <v>3900</v>
      </c>
    </row>
    <row r="5048" spans="1:6" x14ac:dyDescent="0.15">
      <c r="A5048" s="5" t="s">
        <v>35</v>
      </c>
      <c r="B5048" s="5" t="s">
        <v>4156</v>
      </c>
      <c r="C5048" s="9">
        <v>44413</v>
      </c>
      <c r="D5048" s="5" t="s">
        <v>16</v>
      </c>
      <c r="E5048" s="5" t="s">
        <v>4157</v>
      </c>
      <c r="F5048" s="6">
        <v>1950</v>
      </c>
    </row>
    <row r="5049" spans="1:6" x14ac:dyDescent="0.15">
      <c r="A5049" s="5" t="s">
        <v>41</v>
      </c>
      <c r="B5049" s="5" t="s">
        <v>2176</v>
      </c>
      <c r="C5049" s="9">
        <v>44413</v>
      </c>
      <c r="D5049" s="5" t="s">
        <v>16</v>
      </c>
      <c r="E5049" s="5" t="s">
        <v>2177</v>
      </c>
      <c r="F5049" s="6">
        <v>970</v>
      </c>
    </row>
    <row r="5050" spans="1:6" x14ac:dyDescent="0.15">
      <c r="A5050" s="5" t="s">
        <v>43</v>
      </c>
      <c r="B5050" s="5" t="s">
        <v>5554</v>
      </c>
      <c r="C5050" s="9">
        <v>44413</v>
      </c>
      <c r="D5050" s="5" t="s">
        <v>16</v>
      </c>
      <c r="E5050" s="5" t="s">
        <v>2177</v>
      </c>
      <c r="F5050" s="6">
        <v>2522</v>
      </c>
    </row>
    <row r="5051" spans="1:6" x14ac:dyDescent="0.15">
      <c r="A5051" s="5" t="s">
        <v>35</v>
      </c>
      <c r="B5051" s="5" t="s">
        <v>4158</v>
      </c>
      <c r="C5051" s="9">
        <v>44413</v>
      </c>
      <c r="D5051" s="5" t="s">
        <v>16</v>
      </c>
      <c r="E5051" s="5" t="s">
        <v>2177</v>
      </c>
      <c r="F5051" s="6">
        <v>5070</v>
      </c>
    </row>
    <row r="5052" spans="1:6" x14ac:dyDescent="0.15">
      <c r="A5052" s="5" t="s">
        <v>37</v>
      </c>
      <c r="B5052" s="5" t="s">
        <v>8352</v>
      </c>
      <c r="C5052" s="9">
        <v>44413</v>
      </c>
      <c r="D5052" s="5" t="s">
        <v>16</v>
      </c>
      <c r="E5052" s="5" t="s">
        <v>2177</v>
      </c>
      <c r="F5052" s="6">
        <v>975</v>
      </c>
    </row>
    <row r="5053" spans="1:6" x14ac:dyDescent="0.15">
      <c r="A5053" s="5" t="s">
        <v>43</v>
      </c>
      <c r="B5053" s="5" t="s">
        <v>4514</v>
      </c>
      <c r="C5053" s="9"/>
      <c r="D5053" s="5" t="s">
        <v>16</v>
      </c>
      <c r="E5053" s="5" t="s">
        <v>4515</v>
      </c>
      <c r="F5053" s="6">
        <v>25220</v>
      </c>
    </row>
    <row r="5054" spans="1:6" x14ac:dyDescent="0.15">
      <c r="A5054" s="5" t="s">
        <v>35</v>
      </c>
      <c r="B5054" s="5" t="s">
        <v>4159</v>
      </c>
      <c r="C5054" s="9">
        <v>44417</v>
      </c>
      <c r="D5054" s="5" t="s">
        <v>16</v>
      </c>
      <c r="E5054" s="5" t="s">
        <v>4160</v>
      </c>
      <c r="F5054" s="6">
        <v>1950</v>
      </c>
    </row>
    <row r="5055" spans="1:6" x14ac:dyDescent="0.15">
      <c r="A5055" s="5" t="s">
        <v>43</v>
      </c>
      <c r="B5055" s="5" t="s">
        <v>5552</v>
      </c>
      <c r="C5055" s="9">
        <v>44412</v>
      </c>
      <c r="D5055" s="5" t="s">
        <v>16</v>
      </c>
      <c r="E5055" s="5" t="s">
        <v>5553</v>
      </c>
      <c r="F5055" s="6">
        <v>388</v>
      </c>
    </row>
    <row r="5056" spans="1:6" x14ac:dyDescent="0.15">
      <c r="A5056" s="5" t="s">
        <v>37</v>
      </c>
      <c r="B5056" s="5" t="s">
        <v>8351</v>
      </c>
      <c r="C5056" s="9">
        <v>44412</v>
      </c>
      <c r="D5056" s="5" t="s">
        <v>16</v>
      </c>
      <c r="E5056" s="5" t="s">
        <v>5553</v>
      </c>
      <c r="F5056" s="6">
        <v>780</v>
      </c>
    </row>
    <row r="5057" spans="1:6" x14ac:dyDescent="0.15">
      <c r="A5057" s="5" t="s">
        <v>37</v>
      </c>
      <c r="B5057" s="5" t="s">
        <v>8353</v>
      </c>
      <c r="C5057" s="9">
        <v>44414</v>
      </c>
      <c r="D5057" s="5" t="s">
        <v>16</v>
      </c>
      <c r="E5057" s="5" t="s">
        <v>8354</v>
      </c>
      <c r="F5057" s="6">
        <v>780</v>
      </c>
    </row>
    <row r="5058" spans="1:6" x14ac:dyDescent="0.15">
      <c r="A5058" s="5" t="s">
        <v>43</v>
      </c>
      <c r="B5058" s="5" t="s">
        <v>4516</v>
      </c>
      <c r="C5058" s="9"/>
      <c r="D5058" s="5" t="s">
        <v>16</v>
      </c>
      <c r="E5058" s="5" t="s">
        <v>4517</v>
      </c>
      <c r="F5058" s="6">
        <v>1940</v>
      </c>
    </row>
    <row r="5059" spans="1:6" x14ac:dyDescent="0.15">
      <c r="A5059" s="5" t="s">
        <v>37</v>
      </c>
      <c r="B5059" s="5" t="s">
        <v>6218</v>
      </c>
      <c r="C5059" s="9"/>
      <c r="D5059" s="5" t="s">
        <v>16</v>
      </c>
      <c r="E5059" s="5" t="s">
        <v>4517</v>
      </c>
      <c r="F5059" s="6">
        <v>23400</v>
      </c>
    </row>
    <row r="5060" spans="1:6" x14ac:dyDescent="0.15">
      <c r="A5060" s="5" t="s">
        <v>37</v>
      </c>
      <c r="B5060" s="5" t="s">
        <v>8365</v>
      </c>
      <c r="C5060" s="9">
        <v>44425</v>
      </c>
      <c r="D5060" s="5" t="s">
        <v>16</v>
      </c>
      <c r="E5060" s="5" t="s">
        <v>8366</v>
      </c>
      <c r="F5060" s="6">
        <v>5850</v>
      </c>
    </row>
    <row r="5061" spans="1:6" x14ac:dyDescent="0.15">
      <c r="A5061" s="5" t="s">
        <v>49</v>
      </c>
      <c r="B5061" s="5" t="s">
        <v>8718</v>
      </c>
      <c r="C5061" s="9">
        <v>44418</v>
      </c>
      <c r="D5061" s="5" t="s">
        <v>16</v>
      </c>
      <c r="E5061" s="5" t="s">
        <v>8719</v>
      </c>
      <c r="F5061" s="6">
        <v>97.5</v>
      </c>
    </row>
    <row r="5062" spans="1:6" x14ac:dyDescent="0.15">
      <c r="A5062" s="5" t="s">
        <v>43</v>
      </c>
      <c r="B5062" s="5" t="s">
        <v>5555</v>
      </c>
      <c r="C5062" s="9">
        <v>44419</v>
      </c>
      <c r="D5062" s="5" t="s">
        <v>16</v>
      </c>
      <c r="E5062" s="5" t="s">
        <v>5556</v>
      </c>
      <c r="F5062" s="6">
        <v>4316.5</v>
      </c>
    </row>
    <row r="5063" spans="1:6" x14ac:dyDescent="0.15">
      <c r="A5063" s="5" t="s">
        <v>37</v>
      </c>
      <c r="B5063" s="5" t="s">
        <v>8356</v>
      </c>
      <c r="C5063" s="9">
        <v>44419</v>
      </c>
      <c r="D5063" s="5" t="s">
        <v>16</v>
      </c>
      <c r="E5063" s="5" t="s">
        <v>5556</v>
      </c>
      <c r="F5063" s="6">
        <v>195</v>
      </c>
    </row>
    <row r="5064" spans="1:6" x14ac:dyDescent="0.15">
      <c r="A5064" s="5" t="s">
        <v>35</v>
      </c>
      <c r="B5064" s="5" t="s">
        <v>4163</v>
      </c>
      <c r="C5064" s="9">
        <v>44418</v>
      </c>
      <c r="D5064" s="5" t="s">
        <v>16</v>
      </c>
      <c r="E5064" s="5" t="s">
        <v>4164</v>
      </c>
      <c r="F5064" s="6">
        <v>8775</v>
      </c>
    </row>
    <row r="5065" spans="1:6" x14ac:dyDescent="0.15">
      <c r="A5065" s="5" t="s">
        <v>37</v>
      </c>
      <c r="B5065" s="5" t="s">
        <v>8357</v>
      </c>
      <c r="C5065" s="9">
        <v>44420</v>
      </c>
      <c r="D5065" s="5" t="s">
        <v>16</v>
      </c>
      <c r="E5065" s="5" t="s">
        <v>4166</v>
      </c>
      <c r="F5065" s="6">
        <v>11700</v>
      </c>
    </row>
    <row r="5066" spans="1:6" x14ac:dyDescent="0.15">
      <c r="A5066" s="5" t="s">
        <v>35</v>
      </c>
      <c r="B5066" s="5" t="s">
        <v>4165</v>
      </c>
      <c r="C5066" s="9">
        <v>44420</v>
      </c>
      <c r="D5066" s="5" t="s">
        <v>16</v>
      </c>
      <c r="E5066" s="5" t="s">
        <v>4166</v>
      </c>
      <c r="F5066" s="6">
        <v>3900</v>
      </c>
    </row>
    <row r="5067" spans="1:6" x14ac:dyDescent="0.15">
      <c r="A5067" s="5" t="s">
        <v>40</v>
      </c>
      <c r="B5067" s="5" t="s">
        <v>2632</v>
      </c>
      <c r="C5067" s="9">
        <v>44420</v>
      </c>
      <c r="D5067" s="5" t="s">
        <v>16</v>
      </c>
      <c r="E5067" s="5" t="s">
        <v>2633</v>
      </c>
      <c r="F5067" s="6">
        <v>3375</v>
      </c>
    </row>
    <row r="5068" spans="1:6" x14ac:dyDescent="0.15">
      <c r="A5068" s="5" t="s">
        <v>44</v>
      </c>
      <c r="B5068" s="5" t="s">
        <v>4286</v>
      </c>
      <c r="C5068" s="9"/>
      <c r="D5068" s="5" t="s">
        <v>16</v>
      </c>
      <c r="E5068" s="5" t="s">
        <v>4287</v>
      </c>
      <c r="F5068" s="6">
        <v>26617.5</v>
      </c>
    </row>
    <row r="5069" spans="1:6" x14ac:dyDescent="0.15">
      <c r="A5069" s="5" t="s">
        <v>44</v>
      </c>
      <c r="B5069" s="5" t="s">
        <v>4288</v>
      </c>
      <c r="C5069" s="9"/>
      <c r="D5069" s="5" t="s">
        <v>16</v>
      </c>
      <c r="E5069" s="5" t="s">
        <v>4289</v>
      </c>
      <c r="F5069" s="6">
        <v>26617.5</v>
      </c>
    </row>
    <row r="5070" spans="1:6" x14ac:dyDescent="0.15">
      <c r="A5070" s="5" t="s">
        <v>44</v>
      </c>
      <c r="B5070" s="5" t="s">
        <v>4290</v>
      </c>
      <c r="C5070" s="9"/>
      <c r="D5070" s="5" t="s">
        <v>16</v>
      </c>
      <c r="E5070" s="5" t="s">
        <v>4291</v>
      </c>
      <c r="F5070" s="6">
        <v>26617.5</v>
      </c>
    </row>
    <row r="5071" spans="1:6" x14ac:dyDescent="0.15">
      <c r="A5071" s="5" t="s">
        <v>44</v>
      </c>
      <c r="B5071" s="5" t="s">
        <v>4292</v>
      </c>
      <c r="C5071" s="9"/>
      <c r="D5071" s="5" t="s">
        <v>16</v>
      </c>
      <c r="E5071" s="5" t="s">
        <v>4293</v>
      </c>
      <c r="F5071" s="6">
        <v>26617.5</v>
      </c>
    </row>
    <row r="5072" spans="1:6" x14ac:dyDescent="0.15">
      <c r="A5072" s="5" t="s">
        <v>44</v>
      </c>
      <c r="B5072" s="5" t="s">
        <v>4294</v>
      </c>
      <c r="C5072" s="9"/>
      <c r="D5072" s="5" t="s">
        <v>16</v>
      </c>
      <c r="E5072" s="5" t="s">
        <v>4295</v>
      </c>
      <c r="F5072" s="6">
        <v>26617.5</v>
      </c>
    </row>
    <row r="5073" spans="1:6" x14ac:dyDescent="0.15">
      <c r="A5073" s="5" t="s">
        <v>44</v>
      </c>
      <c r="B5073" s="5" t="s">
        <v>4296</v>
      </c>
      <c r="C5073" s="9"/>
      <c r="D5073" s="5" t="s">
        <v>16</v>
      </c>
      <c r="E5073" s="5" t="s">
        <v>4297</v>
      </c>
      <c r="F5073" s="6">
        <v>26617.5</v>
      </c>
    </row>
    <row r="5074" spans="1:6" x14ac:dyDescent="0.15">
      <c r="A5074" s="5" t="s">
        <v>44</v>
      </c>
      <c r="B5074" s="5" t="s">
        <v>4298</v>
      </c>
      <c r="C5074" s="9"/>
      <c r="D5074" s="5" t="s">
        <v>16</v>
      </c>
      <c r="E5074" s="5" t="s">
        <v>4299</v>
      </c>
      <c r="F5074" s="6">
        <v>20377.5</v>
      </c>
    </row>
    <row r="5075" spans="1:6" x14ac:dyDescent="0.15">
      <c r="A5075" s="5" t="s">
        <v>37</v>
      </c>
      <c r="B5075" s="5" t="s">
        <v>6219</v>
      </c>
      <c r="C5075" s="9"/>
      <c r="D5075" s="5" t="s">
        <v>16</v>
      </c>
      <c r="E5075" s="5" t="s">
        <v>4299</v>
      </c>
      <c r="F5075" s="6">
        <v>6240</v>
      </c>
    </row>
    <row r="5076" spans="1:6" x14ac:dyDescent="0.15">
      <c r="A5076" s="5" t="s">
        <v>35</v>
      </c>
      <c r="B5076" s="5" t="s">
        <v>4170</v>
      </c>
      <c r="C5076" s="9">
        <v>44421</v>
      </c>
      <c r="D5076" s="5" t="s">
        <v>16</v>
      </c>
      <c r="E5076" s="5" t="s">
        <v>4171</v>
      </c>
      <c r="F5076" s="6">
        <v>1365</v>
      </c>
    </row>
    <row r="5077" spans="1:6" x14ac:dyDescent="0.15">
      <c r="A5077" s="5" t="s">
        <v>35</v>
      </c>
      <c r="B5077" s="5" t="s">
        <v>4167</v>
      </c>
      <c r="C5077" s="9">
        <v>44420</v>
      </c>
      <c r="D5077" s="5" t="s">
        <v>16</v>
      </c>
      <c r="E5077" s="5" t="s">
        <v>4168</v>
      </c>
      <c r="F5077" s="6">
        <v>1950</v>
      </c>
    </row>
    <row r="5078" spans="1:6" x14ac:dyDescent="0.15">
      <c r="A5078" s="5" t="s">
        <v>41</v>
      </c>
      <c r="B5078" s="5" t="s">
        <v>2178</v>
      </c>
      <c r="C5078" s="9">
        <v>44420</v>
      </c>
      <c r="D5078" s="5" t="s">
        <v>16</v>
      </c>
      <c r="E5078" s="5" t="s">
        <v>2179</v>
      </c>
      <c r="F5078" s="6">
        <v>485</v>
      </c>
    </row>
    <row r="5079" spans="1:6" x14ac:dyDescent="0.15">
      <c r="A5079" s="5" t="s">
        <v>43</v>
      </c>
      <c r="B5079" s="5" t="s">
        <v>5557</v>
      </c>
      <c r="C5079" s="9">
        <v>44420</v>
      </c>
      <c r="D5079" s="5" t="s">
        <v>16</v>
      </c>
      <c r="E5079" s="5" t="s">
        <v>2179</v>
      </c>
      <c r="F5079" s="6">
        <v>3686</v>
      </c>
    </row>
    <row r="5080" spans="1:6" x14ac:dyDescent="0.15">
      <c r="A5080" s="5" t="s">
        <v>35</v>
      </c>
      <c r="B5080" s="5" t="s">
        <v>4169</v>
      </c>
      <c r="C5080" s="9">
        <v>44420</v>
      </c>
      <c r="D5080" s="5" t="s">
        <v>16</v>
      </c>
      <c r="E5080" s="5" t="s">
        <v>2179</v>
      </c>
      <c r="F5080" s="6">
        <v>6142.5</v>
      </c>
    </row>
    <row r="5081" spans="1:6" x14ac:dyDescent="0.15">
      <c r="A5081" s="5" t="s">
        <v>37</v>
      </c>
      <c r="B5081" s="5" t="s">
        <v>8358</v>
      </c>
      <c r="C5081" s="9">
        <v>44420</v>
      </c>
      <c r="D5081" s="5" t="s">
        <v>16</v>
      </c>
      <c r="E5081" s="5" t="s">
        <v>2179</v>
      </c>
      <c r="F5081" s="6">
        <v>1950</v>
      </c>
    </row>
    <row r="5082" spans="1:6" x14ac:dyDescent="0.15">
      <c r="A5082" s="5" t="s">
        <v>55</v>
      </c>
      <c r="B5082" s="5" t="s">
        <v>4506</v>
      </c>
      <c r="C5082" s="9">
        <v>44420</v>
      </c>
      <c r="D5082" s="5" t="s">
        <v>16</v>
      </c>
      <c r="E5082" s="5" t="s">
        <v>2179</v>
      </c>
      <c r="F5082" s="6">
        <v>1300</v>
      </c>
    </row>
    <row r="5083" spans="1:6" x14ac:dyDescent="0.15">
      <c r="A5083" s="5" t="s">
        <v>41</v>
      </c>
      <c r="B5083" s="5" t="s">
        <v>1741</v>
      </c>
      <c r="C5083" s="9"/>
      <c r="D5083" s="5" t="s">
        <v>16</v>
      </c>
      <c r="E5083" s="5" t="s">
        <v>1742</v>
      </c>
      <c r="F5083" s="6">
        <v>3880</v>
      </c>
    </row>
    <row r="5084" spans="1:6" x14ac:dyDescent="0.15">
      <c r="A5084" s="5" t="s">
        <v>35</v>
      </c>
      <c r="B5084" s="5" t="s">
        <v>2704</v>
      </c>
      <c r="C5084" s="9"/>
      <c r="D5084" s="5" t="s">
        <v>16</v>
      </c>
      <c r="E5084" s="5" t="s">
        <v>1742</v>
      </c>
      <c r="F5084" s="6">
        <v>21450</v>
      </c>
    </row>
    <row r="5085" spans="1:6" x14ac:dyDescent="0.15">
      <c r="A5085" s="5" t="s">
        <v>35</v>
      </c>
      <c r="B5085" s="5" t="s">
        <v>4172</v>
      </c>
      <c r="C5085" s="9">
        <v>44421</v>
      </c>
      <c r="D5085" s="5" t="s">
        <v>16</v>
      </c>
      <c r="E5085" s="5" t="s">
        <v>4173</v>
      </c>
      <c r="F5085" s="6">
        <v>3802.5</v>
      </c>
    </row>
    <row r="5086" spans="1:6" x14ac:dyDescent="0.15">
      <c r="A5086" s="5" t="s">
        <v>35</v>
      </c>
      <c r="B5086" s="5" t="s">
        <v>4174</v>
      </c>
      <c r="C5086" s="9">
        <v>44421</v>
      </c>
      <c r="D5086" s="5" t="s">
        <v>16</v>
      </c>
      <c r="E5086" s="5" t="s">
        <v>4175</v>
      </c>
      <c r="F5086" s="6">
        <v>1365</v>
      </c>
    </row>
    <row r="5087" spans="1:6" x14ac:dyDescent="0.15">
      <c r="A5087" s="5" t="s">
        <v>43</v>
      </c>
      <c r="B5087" s="5" t="s">
        <v>5561</v>
      </c>
      <c r="C5087" s="9">
        <v>44424</v>
      </c>
      <c r="D5087" s="5" t="s">
        <v>16</v>
      </c>
      <c r="E5087" s="5" t="s">
        <v>2181</v>
      </c>
      <c r="F5087" s="6">
        <v>1067</v>
      </c>
    </row>
    <row r="5088" spans="1:6" x14ac:dyDescent="0.15">
      <c r="A5088" s="5" t="s">
        <v>42</v>
      </c>
      <c r="B5088" s="5" t="s">
        <v>6094</v>
      </c>
      <c r="C5088" s="9">
        <v>44424</v>
      </c>
      <c r="D5088" s="5" t="s">
        <v>16</v>
      </c>
      <c r="E5088" s="5" t="s">
        <v>2181</v>
      </c>
      <c r="F5088" s="6">
        <v>525</v>
      </c>
    </row>
    <row r="5089" spans="1:6" x14ac:dyDescent="0.15">
      <c r="A5089" s="5" t="s">
        <v>40</v>
      </c>
      <c r="B5089" s="5" t="s">
        <v>2634</v>
      </c>
      <c r="C5089" s="9">
        <v>44424</v>
      </c>
      <c r="D5089" s="5" t="s">
        <v>16</v>
      </c>
      <c r="E5089" s="5" t="s">
        <v>2181</v>
      </c>
      <c r="F5089" s="6">
        <v>600</v>
      </c>
    </row>
    <row r="5090" spans="1:6" x14ac:dyDescent="0.15">
      <c r="A5090" s="5" t="s">
        <v>41</v>
      </c>
      <c r="B5090" s="5" t="s">
        <v>2180</v>
      </c>
      <c r="C5090" s="9">
        <v>44424</v>
      </c>
      <c r="D5090" s="5" t="s">
        <v>16</v>
      </c>
      <c r="E5090" s="5" t="s">
        <v>2181</v>
      </c>
      <c r="F5090" s="6">
        <v>97</v>
      </c>
    </row>
    <row r="5091" spans="1:6" x14ac:dyDescent="0.15">
      <c r="A5091" s="5" t="s">
        <v>37</v>
      </c>
      <c r="B5091" s="5" t="s">
        <v>8361</v>
      </c>
      <c r="C5091" s="9">
        <v>44421</v>
      </c>
      <c r="D5091" s="5" t="s">
        <v>16</v>
      </c>
      <c r="E5091" s="5" t="s">
        <v>8362</v>
      </c>
      <c r="F5091" s="6">
        <v>1950</v>
      </c>
    </row>
    <row r="5092" spans="1:6" x14ac:dyDescent="0.15">
      <c r="A5092" s="5" t="s">
        <v>51</v>
      </c>
      <c r="B5092" s="5" t="s">
        <v>4263</v>
      </c>
      <c r="C5092" s="9">
        <v>44421</v>
      </c>
      <c r="D5092" s="5" t="s">
        <v>16</v>
      </c>
      <c r="E5092" s="5" t="s">
        <v>4264</v>
      </c>
      <c r="F5092" s="6">
        <v>1072.5</v>
      </c>
    </row>
    <row r="5093" spans="1:6" x14ac:dyDescent="0.15">
      <c r="A5093" s="5" t="s">
        <v>40</v>
      </c>
      <c r="B5093" s="5" t="s">
        <v>2635</v>
      </c>
      <c r="C5093" s="9">
        <v>44424</v>
      </c>
      <c r="D5093" s="5" t="s">
        <v>16</v>
      </c>
      <c r="E5093" s="5" t="s">
        <v>2636</v>
      </c>
      <c r="F5093" s="6">
        <v>3375</v>
      </c>
    </row>
    <row r="5094" spans="1:6" x14ac:dyDescent="0.15">
      <c r="A5094" s="5" t="s">
        <v>35</v>
      </c>
      <c r="B5094" s="5" t="s">
        <v>4176</v>
      </c>
      <c r="C5094" s="9">
        <v>44424</v>
      </c>
      <c r="D5094" s="5" t="s">
        <v>16</v>
      </c>
      <c r="E5094" s="5" t="s">
        <v>4177</v>
      </c>
      <c r="F5094" s="6">
        <v>5850</v>
      </c>
    </row>
    <row r="5095" spans="1:6" x14ac:dyDescent="0.15">
      <c r="A5095" s="5" t="s">
        <v>44</v>
      </c>
      <c r="B5095" s="5" t="s">
        <v>4468</v>
      </c>
      <c r="C5095" s="9">
        <v>44424</v>
      </c>
      <c r="D5095" s="5" t="s">
        <v>16</v>
      </c>
      <c r="E5095" s="5" t="s">
        <v>4179</v>
      </c>
      <c r="F5095" s="6">
        <v>4095</v>
      </c>
    </row>
    <row r="5096" spans="1:6" x14ac:dyDescent="0.15">
      <c r="A5096" s="5" t="s">
        <v>35</v>
      </c>
      <c r="B5096" s="5" t="s">
        <v>4178</v>
      </c>
      <c r="C5096" s="9">
        <v>44424</v>
      </c>
      <c r="D5096" s="5" t="s">
        <v>16</v>
      </c>
      <c r="E5096" s="5" t="s">
        <v>4179</v>
      </c>
      <c r="F5096" s="6">
        <v>1950</v>
      </c>
    </row>
    <row r="5097" spans="1:6" x14ac:dyDescent="0.15">
      <c r="A5097" s="5" t="s">
        <v>35</v>
      </c>
      <c r="B5097" s="5" t="s">
        <v>4180</v>
      </c>
      <c r="C5097" s="9">
        <v>44424</v>
      </c>
      <c r="D5097" s="5" t="s">
        <v>16</v>
      </c>
      <c r="E5097" s="5" t="s">
        <v>4181</v>
      </c>
      <c r="F5097" s="6">
        <v>7215</v>
      </c>
    </row>
    <row r="5098" spans="1:6" x14ac:dyDescent="0.15">
      <c r="A5098" s="5" t="s">
        <v>43</v>
      </c>
      <c r="B5098" s="5" t="s">
        <v>5560</v>
      </c>
      <c r="C5098" s="9">
        <v>44421</v>
      </c>
      <c r="D5098" s="5" t="s">
        <v>16</v>
      </c>
      <c r="E5098" s="5" t="s">
        <v>2179</v>
      </c>
      <c r="F5098" s="6">
        <v>-3686</v>
      </c>
    </row>
    <row r="5099" spans="1:6" x14ac:dyDescent="0.15">
      <c r="A5099" s="5" t="s">
        <v>61</v>
      </c>
      <c r="B5099" s="5" t="s">
        <v>6150</v>
      </c>
      <c r="C5099" s="9">
        <v>44421</v>
      </c>
      <c r="D5099" s="5" t="s">
        <v>16</v>
      </c>
      <c r="E5099" s="5" t="s">
        <v>2179</v>
      </c>
      <c r="F5099" s="6">
        <v>3686</v>
      </c>
    </row>
    <row r="5100" spans="1:6" x14ac:dyDescent="0.15">
      <c r="A5100" s="5" t="s">
        <v>42</v>
      </c>
      <c r="B5100" s="5" t="s">
        <v>5742</v>
      </c>
      <c r="C5100" s="9"/>
      <c r="D5100" s="5" t="s">
        <v>16</v>
      </c>
      <c r="E5100" s="5" t="s">
        <v>4519</v>
      </c>
      <c r="F5100" s="6">
        <v>10500</v>
      </c>
    </row>
    <row r="5101" spans="1:6" x14ac:dyDescent="0.15">
      <c r="A5101" s="5" t="s">
        <v>43</v>
      </c>
      <c r="B5101" s="5" t="s">
        <v>4518</v>
      </c>
      <c r="C5101" s="9"/>
      <c r="D5101" s="5" t="s">
        <v>16</v>
      </c>
      <c r="E5101" s="5" t="s">
        <v>4519</v>
      </c>
      <c r="F5101" s="6">
        <v>1940</v>
      </c>
    </row>
    <row r="5102" spans="1:6" x14ac:dyDescent="0.15">
      <c r="A5102" s="5" t="s">
        <v>41</v>
      </c>
      <c r="B5102" s="5" t="s">
        <v>1743</v>
      </c>
      <c r="C5102" s="9"/>
      <c r="D5102" s="5" t="s">
        <v>16</v>
      </c>
      <c r="E5102" s="5" t="s">
        <v>1744</v>
      </c>
      <c r="F5102" s="6">
        <v>5820</v>
      </c>
    </row>
    <row r="5103" spans="1:6" x14ac:dyDescent="0.15">
      <c r="A5103" s="5" t="s">
        <v>35</v>
      </c>
      <c r="B5103" s="5" t="s">
        <v>2705</v>
      </c>
      <c r="C5103" s="9"/>
      <c r="D5103" s="5" t="s">
        <v>16</v>
      </c>
      <c r="E5103" s="5" t="s">
        <v>1744</v>
      </c>
      <c r="F5103" s="6">
        <v>19500</v>
      </c>
    </row>
    <row r="5104" spans="1:6" x14ac:dyDescent="0.15">
      <c r="A5104" s="5" t="s">
        <v>37</v>
      </c>
      <c r="B5104" s="5" t="s">
        <v>6220</v>
      </c>
      <c r="C5104" s="9"/>
      <c r="D5104" s="5" t="s">
        <v>16</v>
      </c>
      <c r="E5104" s="5" t="s">
        <v>6221</v>
      </c>
      <c r="F5104" s="6">
        <v>25350</v>
      </c>
    </row>
    <row r="5105" spans="1:6" x14ac:dyDescent="0.15">
      <c r="A5105" s="5" t="s">
        <v>35</v>
      </c>
      <c r="B5105" s="5" t="s">
        <v>4182</v>
      </c>
      <c r="C5105" s="9">
        <v>44425</v>
      </c>
      <c r="D5105" s="5" t="s">
        <v>16</v>
      </c>
      <c r="E5105" s="5" t="s">
        <v>4183</v>
      </c>
      <c r="F5105" s="6">
        <v>1950</v>
      </c>
    </row>
    <row r="5106" spans="1:6" x14ac:dyDescent="0.15">
      <c r="A5106" s="5" t="s">
        <v>35</v>
      </c>
      <c r="B5106" s="5" t="s">
        <v>4184</v>
      </c>
      <c r="C5106" s="9">
        <v>44425</v>
      </c>
      <c r="D5106" s="5" t="s">
        <v>16</v>
      </c>
      <c r="E5106" s="5" t="s">
        <v>4185</v>
      </c>
      <c r="F5106" s="6">
        <v>1950</v>
      </c>
    </row>
    <row r="5107" spans="1:6" x14ac:dyDescent="0.15">
      <c r="A5107" s="5" t="s">
        <v>40</v>
      </c>
      <c r="B5107" s="5" t="s">
        <v>2637</v>
      </c>
      <c r="C5107" s="9">
        <v>44425</v>
      </c>
      <c r="D5107" s="5" t="s">
        <v>16</v>
      </c>
      <c r="E5107" s="5" t="s">
        <v>2638</v>
      </c>
      <c r="F5107" s="6">
        <v>1350</v>
      </c>
    </row>
    <row r="5108" spans="1:6" x14ac:dyDescent="0.15">
      <c r="A5108" s="5" t="s">
        <v>35</v>
      </c>
      <c r="B5108" s="5" t="s">
        <v>4186</v>
      </c>
      <c r="C5108" s="9">
        <v>44425</v>
      </c>
      <c r="D5108" s="5" t="s">
        <v>16</v>
      </c>
      <c r="E5108" s="5" t="s">
        <v>2638</v>
      </c>
      <c r="F5108" s="6">
        <v>3510</v>
      </c>
    </row>
    <row r="5109" spans="1:6" x14ac:dyDescent="0.15">
      <c r="A5109" s="5" t="s">
        <v>35</v>
      </c>
      <c r="B5109" s="5" t="s">
        <v>4187</v>
      </c>
      <c r="C5109" s="9">
        <v>44425</v>
      </c>
      <c r="D5109" s="5" t="s">
        <v>16</v>
      </c>
      <c r="E5109" s="5" t="s">
        <v>4188</v>
      </c>
      <c r="F5109" s="6">
        <v>9847.5</v>
      </c>
    </row>
    <row r="5110" spans="1:6" x14ac:dyDescent="0.15">
      <c r="A5110" s="5" t="s">
        <v>37</v>
      </c>
      <c r="B5110" s="5" t="s">
        <v>8367</v>
      </c>
      <c r="C5110" s="9">
        <v>44425</v>
      </c>
      <c r="D5110" s="5" t="s">
        <v>16</v>
      </c>
      <c r="E5110" s="5" t="s">
        <v>4188</v>
      </c>
      <c r="F5110" s="6">
        <v>9652.5</v>
      </c>
    </row>
    <row r="5111" spans="1:6" x14ac:dyDescent="0.15">
      <c r="A5111" s="5" t="s">
        <v>49</v>
      </c>
      <c r="B5111" s="5" t="s">
        <v>8720</v>
      </c>
      <c r="C5111" s="9">
        <v>44425</v>
      </c>
      <c r="D5111" s="5" t="s">
        <v>16</v>
      </c>
      <c r="E5111" s="5" t="s">
        <v>8721</v>
      </c>
      <c r="F5111" s="6">
        <v>2000</v>
      </c>
    </row>
    <row r="5112" spans="1:6" x14ac:dyDescent="0.15">
      <c r="A5112" s="5" t="s">
        <v>37</v>
      </c>
      <c r="B5112" s="5" t="s">
        <v>8359</v>
      </c>
      <c r="C5112" s="9">
        <v>44420</v>
      </c>
      <c r="D5112" s="5" t="s">
        <v>16</v>
      </c>
      <c r="E5112" s="5" t="s">
        <v>8360</v>
      </c>
      <c r="F5112" s="6">
        <v>7800</v>
      </c>
    </row>
    <row r="5113" spans="1:6" x14ac:dyDescent="0.15">
      <c r="A5113" s="3" t="s">
        <v>9</v>
      </c>
      <c r="B5113" s="4"/>
      <c r="C5113" s="8"/>
      <c r="D5113" s="4"/>
      <c r="E5113" s="4"/>
      <c r="F5113" s="3">
        <f>SUBTOTAL(109,AtlasReport_4_Table_1[Quantity])</f>
        <v>24481881.550000001</v>
      </c>
    </row>
    <row r="5114" spans="1:6" x14ac:dyDescent="0.15">
      <c r="A5114" s="3"/>
      <c r="B5114" s="3"/>
      <c r="C5114" s="8"/>
      <c r="D5114" s="3"/>
      <c r="E5114" s="3"/>
      <c r="F5114" s="3"/>
    </row>
    <row r="5115" spans="1:6" x14ac:dyDescent="0.15">
      <c r="A5115" s="3"/>
      <c r="B5115" s="3"/>
      <c r="C5115" s="8"/>
      <c r="D5115" s="3"/>
      <c r="E5115" s="3"/>
      <c r="F5115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Summary"/>
  <dimension ref="A1:G26"/>
  <sheetViews>
    <sheetView workbookViewId="0">
      <selection activeCell="C135" sqref="C135"/>
    </sheetView>
  </sheetViews>
  <sheetFormatPr defaultRowHeight="13.5" x14ac:dyDescent="0.15"/>
  <cols>
    <col min="1" max="1" width="22.75" bestFit="1" customWidth="1"/>
    <col min="2" max="2" width="18.25" bestFit="1" customWidth="1"/>
    <col min="3" max="3" width="62.75" bestFit="1" customWidth="1"/>
    <col min="4" max="4" width="15.25" bestFit="1" customWidth="1"/>
    <col min="5" max="5" width="16.5" bestFit="1" customWidth="1"/>
    <col min="6" max="6" width="20.75" bestFit="1" customWidth="1"/>
    <col min="7" max="7" width="34.5" bestFit="1" customWidth="1"/>
  </cols>
  <sheetData>
    <row r="1" spans="1:7" x14ac:dyDescent="0.15">
      <c r="F1" s="10" t="s">
        <v>28</v>
      </c>
    </row>
    <row r="2" spans="1:7" x14ac:dyDescent="0.15">
      <c r="A2" s="10" t="s">
        <v>17</v>
      </c>
      <c r="B2" s="10" t="s">
        <v>7</v>
      </c>
      <c r="C2" s="10" t="s">
        <v>11</v>
      </c>
      <c r="D2" s="10" t="s">
        <v>19</v>
      </c>
      <c r="E2" s="10" t="s">
        <v>20</v>
      </c>
      <c r="F2" t="s">
        <v>26</v>
      </c>
      <c r="G2" t="s">
        <v>27</v>
      </c>
    </row>
    <row r="3" spans="1:7" x14ac:dyDescent="0.15">
      <c r="A3" t="s">
        <v>48</v>
      </c>
      <c r="B3" t="s">
        <v>35</v>
      </c>
      <c r="C3" t="s">
        <v>36</v>
      </c>
      <c r="D3" t="s">
        <v>15</v>
      </c>
      <c r="E3" t="s">
        <v>15</v>
      </c>
      <c r="F3" s="2">
        <v>990890.5</v>
      </c>
      <c r="G3" s="2">
        <v>990890.5</v>
      </c>
    </row>
    <row r="4" spans="1:7" x14ac:dyDescent="0.15">
      <c r="A4" t="s">
        <v>48</v>
      </c>
      <c r="B4" t="s">
        <v>37</v>
      </c>
      <c r="C4" t="s">
        <v>38</v>
      </c>
      <c r="D4" t="s">
        <v>15</v>
      </c>
      <c r="E4" t="s">
        <v>15</v>
      </c>
      <c r="F4" s="2">
        <v>2049157.5</v>
      </c>
      <c r="G4" s="2">
        <v>2049157.5</v>
      </c>
    </row>
    <row r="5" spans="1:7" x14ac:dyDescent="0.15">
      <c r="A5" t="s">
        <v>48</v>
      </c>
      <c r="B5" t="s">
        <v>40</v>
      </c>
      <c r="C5" t="s">
        <v>36</v>
      </c>
      <c r="D5" t="s">
        <v>15</v>
      </c>
      <c r="E5" t="s">
        <v>15</v>
      </c>
      <c r="F5" s="2">
        <v>121425</v>
      </c>
      <c r="G5" s="2">
        <v>121425</v>
      </c>
    </row>
    <row r="6" spans="1:7" x14ac:dyDescent="0.15">
      <c r="A6" t="s">
        <v>48</v>
      </c>
      <c r="B6" t="s">
        <v>41</v>
      </c>
      <c r="C6" t="s">
        <v>36</v>
      </c>
      <c r="D6" t="s">
        <v>15</v>
      </c>
      <c r="E6" t="s">
        <v>15</v>
      </c>
      <c r="F6" s="2">
        <v>114072</v>
      </c>
      <c r="G6" s="2">
        <v>114072</v>
      </c>
    </row>
    <row r="7" spans="1:7" x14ac:dyDescent="0.15">
      <c r="A7" t="s">
        <v>48</v>
      </c>
      <c r="B7" t="s">
        <v>42</v>
      </c>
      <c r="C7" t="s">
        <v>38</v>
      </c>
      <c r="D7" t="s">
        <v>15</v>
      </c>
      <c r="E7" t="s">
        <v>15</v>
      </c>
      <c r="F7" s="2">
        <v>118650</v>
      </c>
      <c r="G7" s="2">
        <v>118650</v>
      </c>
    </row>
    <row r="8" spans="1:7" x14ac:dyDescent="0.15">
      <c r="A8" t="s">
        <v>48</v>
      </c>
      <c r="B8" t="s">
        <v>43</v>
      </c>
      <c r="C8" t="s">
        <v>38</v>
      </c>
      <c r="D8" t="s">
        <v>15</v>
      </c>
      <c r="E8" t="s">
        <v>15</v>
      </c>
      <c r="F8" s="2">
        <v>389940</v>
      </c>
      <c r="G8" s="2">
        <v>389940</v>
      </c>
    </row>
    <row r="9" spans="1:7" x14ac:dyDescent="0.15">
      <c r="A9" t="s">
        <v>48</v>
      </c>
      <c r="B9" t="s">
        <v>44</v>
      </c>
      <c r="C9" t="s">
        <v>45</v>
      </c>
      <c r="D9" t="s">
        <v>15</v>
      </c>
      <c r="E9" t="s">
        <v>15</v>
      </c>
      <c r="F9" s="2">
        <v>146347.5</v>
      </c>
      <c r="G9" s="2">
        <v>146347.5</v>
      </c>
    </row>
    <row r="10" spans="1:7" x14ac:dyDescent="0.15">
      <c r="A10" t="s">
        <v>48</v>
      </c>
      <c r="B10" t="s">
        <v>46</v>
      </c>
      <c r="C10" t="s">
        <v>45</v>
      </c>
      <c r="D10" t="s">
        <v>15</v>
      </c>
      <c r="E10" t="s">
        <v>15</v>
      </c>
      <c r="F10" s="2">
        <v>21049</v>
      </c>
      <c r="G10" s="2">
        <v>21049</v>
      </c>
    </row>
    <row r="11" spans="1:7" x14ac:dyDescent="0.15">
      <c r="A11" t="s">
        <v>48</v>
      </c>
      <c r="B11" t="s">
        <v>49</v>
      </c>
      <c r="C11" t="s">
        <v>50</v>
      </c>
      <c r="D11" t="s">
        <v>15</v>
      </c>
      <c r="E11" t="s">
        <v>15</v>
      </c>
      <c r="F11" s="2">
        <v>11238</v>
      </c>
      <c r="G11" s="2">
        <v>11238</v>
      </c>
    </row>
    <row r="12" spans="1:7" x14ac:dyDescent="0.15">
      <c r="A12" t="s">
        <v>48</v>
      </c>
      <c r="B12" t="s">
        <v>51</v>
      </c>
      <c r="C12" t="s">
        <v>52</v>
      </c>
      <c r="D12" t="s">
        <v>15</v>
      </c>
      <c r="E12" t="s">
        <v>15</v>
      </c>
      <c r="F12" s="2">
        <v>109882.5</v>
      </c>
      <c r="G12" s="2">
        <v>109882.5</v>
      </c>
    </row>
    <row r="13" spans="1:7" x14ac:dyDescent="0.15">
      <c r="A13" t="s">
        <v>48</v>
      </c>
      <c r="B13" t="s">
        <v>53</v>
      </c>
      <c r="C13" t="s">
        <v>54</v>
      </c>
      <c r="D13" t="s">
        <v>15</v>
      </c>
      <c r="E13" t="s">
        <v>15</v>
      </c>
      <c r="F13" s="2">
        <v>185250</v>
      </c>
      <c r="G13" s="2">
        <v>185250</v>
      </c>
    </row>
    <row r="14" spans="1:7" x14ac:dyDescent="0.15">
      <c r="A14" t="s">
        <v>48</v>
      </c>
      <c r="B14" t="s">
        <v>55</v>
      </c>
      <c r="C14" t="s">
        <v>56</v>
      </c>
      <c r="D14" t="s">
        <v>15</v>
      </c>
      <c r="E14" t="s">
        <v>15</v>
      </c>
      <c r="F14" s="2">
        <v>1250</v>
      </c>
      <c r="G14" s="2">
        <v>1250</v>
      </c>
    </row>
    <row r="15" spans="1:7" x14ac:dyDescent="0.15">
      <c r="A15" t="s">
        <v>48</v>
      </c>
      <c r="B15" t="s">
        <v>57</v>
      </c>
      <c r="C15" t="s">
        <v>54</v>
      </c>
      <c r="D15" t="s">
        <v>15</v>
      </c>
      <c r="E15" t="s">
        <v>15</v>
      </c>
      <c r="F15" s="2">
        <v>29585</v>
      </c>
      <c r="G15" s="2">
        <v>29585</v>
      </c>
    </row>
    <row r="16" spans="1:7" x14ac:dyDescent="0.15">
      <c r="A16" t="s">
        <v>48</v>
      </c>
      <c r="B16" t="s">
        <v>58</v>
      </c>
      <c r="C16" t="s">
        <v>59</v>
      </c>
      <c r="D16" t="s">
        <v>15</v>
      </c>
      <c r="E16" t="s">
        <v>15</v>
      </c>
      <c r="F16" s="2">
        <v>23025</v>
      </c>
      <c r="G16" s="2">
        <v>23025</v>
      </c>
    </row>
    <row r="17" spans="1:7" x14ac:dyDescent="0.15">
      <c r="A17" t="s">
        <v>48</v>
      </c>
      <c r="B17" t="s">
        <v>61</v>
      </c>
      <c r="C17" t="s">
        <v>62</v>
      </c>
      <c r="D17" t="s">
        <v>15</v>
      </c>
      <c r="E17" t="s">
        <v>15</v>
      </c>
      <c r="F17" s="2">
        <v>4500</v>
      </c>
      <c r="G17" s="2">
        <v>4500</v>
      </c>
    </row>
    <row r="18" spans="1:7" x14ac:dyDescent="0.15">
      <c r="A18" t="s">
        <v>48</v>
      </c>
      <c r="B18" t="s">
        <v>63</v>
      </c>
      <c r="C18" t="s">
        <v>52</v>
      </c>
      <c r="D18" t="s">
        <v>15</v>
      </c>
      <c r="E18" t="s">
        <v>15</v>
      </c>
      <c r="F18" s="2">
        <v>5820</v>
      </c>
      <c r="G18" s="2">
        <v>5820</v>
      </c>
    </row>
    <row r="19" spans="1:7" x14ac:dyDescent="0.15">
      <c r="A19" t="s">
        <v>48</v>
      </c>
      <c r="B19" t="s">
        <v>64</v>
      </c>
      <c r="C19" t="s">
        <v>54</v>
      </c>
      <c r="D19" t="s">
        <v>15</v>
      </c>
      <c r="E19" t="s">
        <v>15</v>
      </c>
      <c r="F19" s="2">
        <v>54750</v>
      </c>
      <c r="G19" s="2">
        <v>54750</v>
      </c>
    </row>
    <row r="20" spans="1:7" x14ac:dyDescent="0.15">
      <c r="A20" t="s">
        <v>48</v>
      </c>
      <c r="B20" t="s">
        <v>65</v>
      </c>
      <c r="C20" t="s">
        <v>45</v>
      </c>
      <c r="D20" t="s">
        <v>15</v>
      </c>
      <c r="E20" t="s">
        <v>15</v>
      </c>
      <c r="F20" s="2">
        <v>37350</v>
      </c>
      <c r="G20" s="2">
        <v>37350</v>
      </c>
    </row>
    <row r="21" spans="1:7" x14ac:dyDescent="0.15">
      <c r="A21" t="s">
        <v>48</v>
      </c>
      <c r="B21" t="s">
        <v>66</v>
      </c>
      <c r="C21" t="s">
        <v>60</v>
      </c>
      <c r="D21" t="s">
        <v>15</v>
      </c>
      <c r="E21" t="s">
        <v>15</v>
      </c>
      <c r="F21" s="2">
        <v>5820</v>
      </c>
      <c r="G21" s="2">
        <v>5820</v>
      </c>
    </row>
    <row r="22" spans="1:7" x14ac:dyDescent="0.15">
      <c r="A22" t="s">
        <v>48</v>
      </c>
      <c r="B22" t="s">
        <v>148</v>
      </c>
      <c r="C22" t="s">
        <v>59</v>
      </c>
      <c r="D22" t="s">
        <v>15</v>
      </c>
      <c r="E22" t="s">
        <v>15</v>
      </c>
      <c r="F22" s="2">
        <v>60237</v>
      </c>
      <c r="G22" s="2">
        <v>60237</v>
      </c>
    </row>
    <row r="23" spans="1:7" x14ac:dyDescent="0.15">
      <c r="A23" t="s">
        <v>48</v>
      </c>
      <c r="B23" t="s">
        <v>158</v>
      </c>
      <c r="C23" t="s">
        <v>159</v>
      </c>
      <c r="D23" t="s">
        <v>15</v>
      </c>
      <c r="E23" t="s">
        <v>15</v>
      </c>
      <c r="F23" s="2">
        <v>44538</v>
      </c>
      <c r="G23" s="2">
        <v>44538</v>
      </c>
    </row>
    <row r="24" spans="1:7" x14ac:dyDescent="0.15">
      <c r="A24" t="s">
        <v>48</v>
      </c>
      <c r="B24" t="s">
        <v>174</v>
      </c>
      <c r="C24" t="s">
        <v>52</v>
      </c>
      <c r="D24" t="s">
        <v>15</v>
      </c>
      <c r="E24" t="s">
        <v>15</v>
      </c>
      <c r="F24" s="2">
        <v>18000</v>
      </c>
      <c r="G24" s="2">
        <v>18000</v>
      </c>
    </row>
    <row r="25" spans="1:7" x14ac:dyDescent="0.15">
      <c r="A25" t="s">
        <v>8723</v>
      </c>
      <c r="F25" s="2">
        <v>4542777</v>
      </c>
      <c r="G25" s="2">
        <v>4542777</v>
      </c>
    </row>
    <row r="26" spans="1:7" x14ac:dyDescent="0.15">
      <c r="A26" t="s">
        <v>1730</v>
      </c>
      <c r="F26" s="2">
        <v>4542777</v>
      </c>
      <c r="G26" s="2">
        <v>4542777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nalyze"/>
  <dimension ref="A1:O42"/>
  <sheetViews>
    <sheetView workbookViewId="0">
      <selection activeCell="A25" sqref="A25"/>
    </sheetView>
  </sheetViews>
  <sheetFormatPr defaultRowHeight="13.5" x14ac:dyDescent="0.15"/>
  <cols>
    <col min="1" max="1" width="22.75" bestFit="1" customWidth="1"/>
    <col min="2" max="5" width="15.75" customWidth="1"/>
    <col min="6" max="6" width="14.5" customWidth="1"/>
    <col min="7" max="13" width="15.75" customWidth="1"/>
    <col min="14" max="14" width="18.25" customWidth="1"/>
    <col min="15" max="15" width="9.625" customWidth="1"/>
    <col min="16" max="16" width="16.375" bestFit="1" customWidth="1"/>
    <col min="17" max="18" width="15.75" bestFit="1" customWidth="1"/>
    <col min="19" max="19" width="14.375" bestFit="1" customWidth="1"/>
    <col min="20" max="20" width="16.375" bestFit="1" customWidth="1"/>
    <col min="21" max="21" width="14.375" bestFit="1" customWidth="1"/>
    <col min="22" max="23" width="15.75" bestFit="1" customWidth="1"/>
    <col min="24" max="24" width="16.375" bestFit="1" customWidth="1"/>
    <col min="25" max="25" width="15.75" bestFit="1" customWidth="1"/>
    <col min="26" max="26" width="14.375" bestFit="1" customWidth="1"/>
    <col min="27" max="27" width="15.75" bestFit="1" customWidth="1"/>
    <col min="28" max="28" width="16.375" bestFit="1" customWidth="1"/>
    <col min="29" max="29" width="14.375" bestFit="1" customWidth="1"/>
    <col min="30" max="30" width="15.75" bestFit="1" customWidth="1"/>
    <col min="31" max="31" width="16.375" bestFit="1" customWidth="1"/>
    <col min="32" max="32" width="12.75" bestFit="1" customWidth="1"/>
    <col min="33" max="33" width="15.75" bestFit="1" customWidth="1"/>
    <col min="34" max="34" width="13.25" bestFit="1" customWidth="1"/>
    <col min="35" max="35" width="16.375" bestFit="1" customWidth="1"/>
    <col min="36" max="36" width="15.75" bestFit="1" customWidth="1"/>
    <col min="37" max="37" width="16.375" bestFit="1" customWidth="1"/>
    <col min="38" max="38" width="12.75" bestFit="1" customWidth="1"/>
    <col min="39" max="39" width="14.375" bestFit="1" customWidth="1"/>
    <col min="40" max="40" width="15.75" bestFit="1" customWidth="1"/>
    <col min="41" max="41" width="16.375" bestFit="1" customWidth="1"/>
    <col min="42" max="42" width="18.25" bestFit="1" customWidth="1"/>
  </cols>
  <sheetData>
    <row r="1" spans="1:14" x14ac:dyDescent="0.15">
      <c r="A1" s="10" t="s">
        <v>1731</v>
      </c>
      <c r="B1" s="10" t="s">
        <v>1729</v>
      </c>
    </row>
    <row r="2" spans="1:14" x14ac:dyDescent="0.15">
      <c r="A2" s="10" t="s">
        <v>1732</v>
      </c>
      <c r="B2" t="s">
        <v>1719</v>
      </c>
      <c r="C2" t="s">
        <v>1723</v>
      </c>
      <c r="D2" t="s">
        <v>1728</v>
      </c>
      <c r="E2" t="s">
        <v>1717</v>
      </c>
      <c r="F2" t="s">
        <v>1726</v>
      </c>
      <c r="G2" t="s">
        <v>1722</v>
      </c>
      <c r="H2" t="s">
        <v>1721</v>
      </c>
      <c r="I2" t="s">
        <v>1718</v>
      </c>
      <c r="J2" t="s">
        <v>1720</v>
      </c>
      <c r="K2" t="s">
        <v>1727</v>
      </c>
      <c r="L2" t="s">
        <v>1725</v>
      </c>
      <c r="M2" t="s">
        <v>1724</v>
      </c>
      <c r="N2" t="s">
        <v>1730</v>
      </c>
    </row>
    <row r="3" spans="1:14" x14ac:dyDescent="0.15">
      <c r="A3" s="14" t="s">
        <v>1558</v>
      </c>
      <c r="B3" s="16">
        <v>395293.5</v>
      </c>
      <c r="C3" s="16">
        <v>527790</v>
      </c>
      <c r="D3" s="16">
        <v>148898.5</v>
      </c>
      <c r="E3" s="16">
        <v>192215.5</v>
      </c>
      <c r="F3" s="16">
        <v>54241</v>
      </c>
      <c r="G3" s="16">
        <v>586121</v>
      </c>
      <c r="H3" s="16">
        <v>687248</v>
      </c>
      <c r="I3" s="16">
        <v>256888.5</v>
      </c>
      <c r="J3" s="16">
        <v>446160.5</v>
      </c>
      <c r="K3" s="16">
        <v>261177.5</v>
      </c>
      <c r="L3" s="16">
        <v>496634</v>
      </c>
      <c r="M3" s="16">
        <v>510962</v>
      </c>
      <c r="N3" s="16">
        <v>4563630</v>
      </c>
    </row>
    <row r="4" spans="1:14" x14ac:dyDescent="0.15">
      <c r="A4" s="15"/>
      <c r="B4" s="16">
        <v>10670</v>
      </c>
      <c r="C4" s="16"/>
      <c r="D4" s="16"/>
      <c r="E4" s="16"/>
      <c r="F4" s="16"/>
      <c r="G4" s="16"/>
      <c r="H4" s="16">
        <v>46800</v>
      </c>
      <c r="I4" s="16">
        <v>25350</v>
      </c>
      <c r="J4" s="16"/>
      <c r="K4" s="16"/>
      <c r="L4" s="16"/>
      <c r="M4" s="16"/>
      <c r="N4" s="16">
        <v>82820</v>
      </c>
    </row>
    <row r="5" spans="1:14" x14ac:dyDescent="0.15">
      <c r="A5" s="15" t="s">
        <v>1699</v>
      </c>
      <c r="B5" s="16">
        <v>1563.5</v>
      </c>
      <c r="C5" s="16">
        <v>7875</v>
      </c>
      <c r="D5" s="16"/>
      <c r="E5" s="16"/>
      <c r="F5" s="16"/>
      <c r="G5" s="16">
        <v>339.5</v>
      </c>
      <c r="H5" s="16">
        <v>3000</v>
      </c>
      <c r="I5" s="16"/>
      <c r="J5" s="16">
        <v>824.5</v>
      </c>
      <c r="K5" s="16"/>
      <c r="L5" s="16">
        <v>828</v>
      </c>
      <c r="M5" s="16"/>
      <c r="N5" s="16">
        <v>14430.5</v>
      </c>
    </row>
    <row r="6" spans="1:14" x14ac:dyDescent="0.15">
      <c r="A6" s="15" t="s">
        <v>1707</v>
      </c>
      <c r="B6" s="16">
        <v>7275</v>
      </c>
      <c r="C6" s="16"/>
      <c r="D6" s="16"/>
      <c r="E6" s="16"/>
      <c r="F6" s="16"/>
      <c r="G6" s="16">
        <v>10767</v>
      </c>
      <c r="H6" s="16"/>
      <c r="I6" s="16">
        <v>38410</v>
      </c>
      <c r="J6" s="16"/>
      <c r="K6" s="16"/>
      <c r="L6" s="16"/>
      <c r="M6" s="16"/>
      <c r="N6" s="16">
        <v>56452</v>
      </c>
    </row>
    <row r="7" spans="1:14" x14ac:dyDescent="0.15">
      <c r="A7" s="15" t="s">
        <v>1698</v>
      </c>
      <c r="B7" s="16"/>
      <c r="C7" s="16">
        <v>42187</v>
      </c>
      <c r="D7" s="16">
        <v>20853</v>
      </c>
      <c r="E7" s="16"/>
      <c r="F7" s="16">
        <v>19721</v>
      </c>
      <c r="G7" s="16">
        <v>22885</v>
      </c>
      <c r="H7" s="16">
        <v>-6538</v>
      </c>
      <c r="I7" s="16">
        <v>25350</v>
      </c>
      <c r="J7" s="16">
        <v>10140</v>
      </c>
      <c r="K7" s="16"/>
      <c r="L7" s="16"/>
      <c r="M7" s="16"/>
      <c r="N7" s="16">
        <v>134598</v>
      </c>
    </row>
    <row r="8" spans="1:14" x14ac:dyDescent="0.15">
      <c r="A8" s="15" t="s">
        <v>1695</v>
      </c>
      <c r="B8" s="16">
        <v>48630</v>
      </c>
      <c r="C8" s="16">
        <v>48610</v>
      </c>
      <c r="D8" s="16"/>
      <c r="E8" s="16">
        <v>46620</v>
      </c>
      <c r="F8" s="16"/>
      <c r="G8" s="16">
        <v>75930</v>
      </c>
      <c r="H8" s="16">
        <v>75950</v>
      </c>
      <c r="I8" s="16">
        <v>27300</v>
      </c>
      <c r="J8" s="16">
        <v>48677</v>
      </c>
      <c r="K8" s="16"/>
      <c r="L8" s="16">
        <v>25220</v>
      </c>
      <c r="M8" s="16">
        <v>36880</v>
      </c>
      <c r="N8" s="16">
        <v>433817</v>
      </c>
    </row>
    <row r="9" spans="1:14" x14ac:dyDescent="0.15">
      <c r="A9" s="15" t="s">
        <v>1697</v>
      </c>
      <c r="B9" s="16"/>
      <c r="C9" s="16">
        <v>14680</v>
      </c>
      <c r="D9" s="16"/>
      <c r="E9" s="16"/>
      <c r="F9" s="16"/>
      <c r="G9" s="16">
        <v>13650</v>
      </c>
      <c r="H9" s="16">
        <v>196850</v>
      </c>
      <c r="I9" s="16"/>
      <c r="J9" s="16">
        <v>62810</v>
      </c>
      <c r="K9" s="16">
        <v>7760</v>
      </c>
      <c r="L9" s="16">
        <v>11230</v>
      </c>
      <c r="M9" s="16"/>
      <c r="N9" s="16">
        <v>306980</v>
      </c>
    </row>
    <row r="10" spans="1:14" x14ac:dyDescent="0.15">
      <c r="A10" s="15" t="s">
        <v>1703</v>
      </c>
      <c r="B10" s="16">
        <v>26620</v>
      </c>
      <c r="C10" s="16"/>
      <c r="D10" s="16"/>
      <c r="E10" s="16"/>
      <c r="F10" s="16"/>
      <c r="G10" s="16">
        <v>4095</v>
      </c>
      <c r="H10" s="16"/>
      <c r="I10" s="16">
        <v>1170</v>
      </c>
      <c r="J10" s="16"/>
      <c r="K10" s="16"/>
      <c r="L10" s="16"/>
      <c r="M10" s="16"/>
      <c r="N10" s="16">
        <v>31885</v>
      </c>
    </row>
    <row r="11" spans="1:14" x14ac:dyDescent="0.15">
      <c r="A11" s="15" t="s">
        <v>1696</v>
      </c>
      <c r="B11" s="16"/>
      <c r="C11" s="16"/>
      <c r="D11" s="16"/>
      <c r="E11" s="16"/>
      <c r="F11" s="16"/>
      <c r="G11" s="16">
        <v>33070</v>
      </c>
      <c r="H11" s="16"/>
      <c r="I11" s="16">
        <v>10790</v>
      </c>
      <c r="J11" s="16"/>
      <c r="K11" s="16"/>
      <c r="L11" s="16"/>
      <c r="M11" s="16"/>
      <c r="N11" s="16">
        <v>43860</v>
      </c>
    </row>
    <row r="12" spans="1:14" x14ac:dyDescent="0.15">
      <c r="A12" s="15" t="s">
        <v>1704</v>
      </c>
      <c r="B12" s="16"/>
      <c r="C12" s="16"/>
      <c r="D12" s="16"/>
      <c r="E12" s="16"/>
      <c r="F12" s="16">
        <v>7020</v>
      </c>
      <c r="G12" s="16"/>
      <c r="H12" s="16"/>
      <c r="I12" s="16"/>
      <c r="J12" s="16"/>
      <c r="K12" s="16"/>
      <c r="L12" s="16"/>
      <c r="M12" s="16"/>
      <c r="N12" s="16">
        <v>7020</v>
      </c>
    </row>
    <row r="13" spans="1:14" x14ac:dyDescent="0.15">
      <c r="A13" s="15" t="s">
        <v>1692</v>
      </c>
      <c r="B13" s="16">
        <v>23530</v>
      </c>
      <c r="C13" s="16">
        <v>25350</v>
      </c>
      <c r="D13" s="16"/>
      <c r="E13" s="16">
        <v>65980</v>
      </c>
      <c r="F13" s="16">
        <v>25350</v>
      </c>
      <c r="G13" s="16">
        <v>30790</v>
      </c>
      <c r="H13" s="16">
        <v>81585</v>
      </c>
      <c r="I13" s="16">
        <v>47285</v>
      </c>
      <c r="J13" s="16">
        <v>69395</v>
      </c>
      <c r="K13" s="16"/>
      <c r="L13" s="16">
        <v>20380</v>
      </c>
      <c r="M13" s="16">
        <v>62595</v>
      </c>
      <c r="N13" s="16">
        <v>452240</v>
      </c>
    </row>
    <row r="14" spans="1:14" x14ac:dyDescent="0.15">
      <c r="A14" s="15" t="s">
        <v>1693</v>
      </c>
      <c r="B14" s="16">
        <v>198430</v>
      </c>
      <c r="C14" s="16">
        <v>344238</v>
      </c>
      <c r="D14" s="16">
        <v>116345.5</v>
      </c>
      <c r="E14" s="16">
        <v>2047.5</v>
      </c>
      <c r="F14" s="16">
        <v>2150</v>
      </c>
      <c r="G14" s="16">
        <v>303852.5</v>
      </c>
      <c r="H14" s="16">
        <v>173750.5</v>
      </c>
      <c r="I14" s="16">
        <v>81233.5</v>
      </c>
      <c r="J14" s="16">
        <v>106554</v>
      </c>
      <c r="K14" s="16">
        <v>253417.5</v>
      </c>
      <c r="L14" s="16">
        <v>374491</v>
      </c>
      <c r="M14" s="16">
        <v>358702</v>
      </c>
      <c r="N14" s="16">
        <v>2315212</v>
      </c>
    </row>
    <row r="15" spans="1:14" x14ac:dyDescent="0.15">
      <c r="A15" s="15" t="s">
        <v>1694</v>
      </c>
      <c r="B15" s="16">
        <v>53235</v>
      </c>
      <c r="C15" s="16"/>
      <c r="D15" s="16">
        <v>11700</v>
      </c>
      <c r="E15" s="16">
        <v>55867.5</v>
      </c>
      <c r="F15" s="16"/>
      <c r="G15" s="16">
        <v>55704</v>
      </c>
      <c r="H15" s="16">
        <v>55693</v>
      </c>
      <c r="I15" s="16"/>
      <c r="J15" s="16">
        <v>27885</v>
      </c>
      <c r="K15" s="16"/>
      <c r="L15" s="16">
        <v>27885</v>
      </c>
      <c r="M15" s="16">
        <v>27885</v>
      </c>
      <c r="N15" s="16">
        <v>315854.5</v>
      </c>
    </row>
    <row r="16" spans="1:14" x14ac:dyDescent="0.15">
      <c r="A16" s="15" t="s">
        <v>1705</v>
      </c>
      <c r="B16" s="16"/>
      <c r="C16" s="16"/>
      <c r="D16" s="16"/>
      <c r="E16" s="16"/>
      <c r="F16" s="16"/>
      <c r="G16" s="16"/>
      <c r="H16" s="16">
        <v>21450</v>
      </c>
      <c r="I16" s="16"/>
      <c r="J16" s="16">
        <v>18525</v>
      </c>
      <c r="K16" s="16"/>
      <c r="L16" s="16">
        <v>11700</v>
      </c>
      <c r="M16" s="16">
        <v>13650</v>
      </c>
      <c r="N16" s="16">
        <v>65325</v>
      </c>
    </row>
    <row r="17" spans="1:15" x14ac:dyDescent="0.15">
      <c r="A17" s="15" t="s">
        <v>1701</v>
      </c>
      <c r="B17" s="16">
        <v>25340</v>
      </c>
      <c r="C17" s="16">
        <v>44850</v>
      </c>
      <c r="D17" s="16"/>
      <c r="E17" s="16"/>
      <c r="F17" s="16"/>
      <c r="G17" s="16">
        <v>34650</v>
      </c>
      <c r="H17" s="16">
        <v>38707.5</v>
      </c>
      <c r="I17" s="16"/>
      <c r="J17" s="16">
        <v>101350</v>
      </c>
      <c r="K17" s="16"/>
      <c r="L17" s="16">
        <v>24900</v>
      </c>
      <c r="M17" s="16">
        <v>11250</v>
      </c>
      <c r="N17" s="16">
        <v>281047.5</v>
      </c>
    </row>
    <row r="18" spans="1:15" x14ac:dyDescent="0.15">
      <c r="A18" s="15" t="s">
        <v>1706</v>
      </c>
      <c r="B18" s="16"/>
      <c r="C18" s="16"/>
      <c r="D18" s="16"/>
      <c r="E18" s="16"/>
      <c r="F18" s="16"/>
      <c r="G18" s="16">
        <v>388</v>
      </c>
      <c r="H18" s="16"/>
      <c r="I18" s="16"/>
      <c r="J18" s="16"/>
      <c r="K18" s="16"/>
      <c r="L18" s="16">
        <v>0</v>
      </c>
      <c r="M18" s="16"/>
      <c r="N18" s="16">
        <v>388</v>
      </c>
    </row>
    <row r="19" spans="1:15" x14ac:dyDescent="0.15">
      <c r="A19" s="15" t="s">
        <v>1702</v>
      </c>
      <c r="B19" s="16"/>
      <c r="C19" s="16"/>
      <c r="D19" s="16"/>
      <c r="E19" s="16">
        <v>21700.5</v>
      </c>
      <c r="F19" s="16"/>
      <c r="G19" s="16"/>
      <c r="H19" s="16"/>
      <c r="I19" s="16"/>
      <c r="J19" s="16"/>
      <c r="K19" s="16"/>
      <c r="L19" s="16"/>
      <c r="M19" s="16"/>
      <c r="N19" s="16">
        <v>21700.5</v>
      </c>
    </row>
    <row r="20" spans="1:15" x14ac:dyDescent="0.15">
      <c r="A20" s="14" t="s">
        <v>1730</v>
      </c>
      <c r="B20" s="16">
        <v>395293.5</v>
      </c>
      <c r="C20" s="16">
        <v>527790</v>
      </c>
      <c r="D20" s="16">
        <v>148898.5</v>
      </c>
      <c r="E20" s="16">
        <v>192215.5</v>
      </c>
      <c r="F20" s="16">
        <v>54241</v>
      </c>
      <c r="G20" s="16">
        <v>586121</v>
      </c>
      <c r="H20" s="16">
        <v>687248</v>
      </c>
      <c r="I20" s="16">
        <v>256888.5</v>
      </c>
      <c r="J20" s="16">
        <v>446160.5</v>
      </c>
      <c r="K20" s="16">
        <v>261177.5</v>
      </c>
      <c r="L20" s="16">
        <v>496634</v>
      </c>
      <c r="M20" s="16">
        <v>510962</v>
      </c>
      <c r="N20" s="16">
        <v>4563630</v>
      </c>
    </row>
    <row r="23" spans="1:15" x14ac:dyDescent="0.15">
      <c r="A23" s="10" t="s">
        <v>1731</v>
      </c>
      <c r="B23" s="10" t="s">
        <v>1729</v>
      </c>
    </row>
    <row r="24" spans="1:15" x14ac:dyDescent="0.15">
      <c r="A24" s="10" t="s">
        <v>1733</v>
      </c>
      <c r="B24" t="s">
        <v>1719</v>
      </c>
      <c r="C24" t="s">
        <v>1723</v>
      </c>
      <c r="D24" t="s">
        <v>1728</v>
      </c>
      <c r="E24" t="s">
        <v>1717</v>
      </c>
      <c r="F24" t="s">
        <v>1726</v>
      </c>
      <c r="G24" t="s">
        <v>1722</v>
      </c>
      <c r="H24" t="s">
        <v>1721</v>
      </c>
      <c r="I24" t="s">
        <v>1718</v>
      </c>
      <c r="J24" t="s">
        <v>1720</v>
      </c>
      <c r="K24" t="s">
        <v>1727</v>
      </c>
      <c r="L24" t="s">
        <v>1725</v>
      </c>
      <c r="M24" t="s">
        <v>1724</v>
      </c>
      <c r="N24" t="s">
        <v>8722</v>
      </c>
      <c r="O24" t="s">
        <v>1730</v>
      </c>
    </row>
    <row r="25" spans="1:15" x14ac:dyDescent="0.15">
      <c r="A25" s="14" t="s">
        <v>1558</v>
      </c>
      <c r="B25" s="2">
        <v>459143.5</v>
      </c>
      <c r="C25" s="2">
        <v>598321.5</v>
      </c>
      <c r="D25" s="2">
        <v>128773</v>
      </c>
      <c r="E25" s="2">
        <v>149305.5</v>
      </c>
      <c r="F25" s="2">
        <v>54241</v>
      </c>
      <c r="G25" s="2">
        <v>619898</v>
      </c>
      <c r="H25" s="2">
        <v>561932.5</v>
      </c>
      <c r="I25" s="2">
        <v>169123.5</v>
      </c>
      <c r="J25" s="2">
        <v>399205.5</v>
      </c>
      <c r="K25" s="2">
        <v>258020</v>
      </c>
      <c r="L25" s="2">
        <v>575259</v>
      </c>
      <c r="M25" s="2">
        <v>569554</v>
      </c>
      <c r="N25" s="2">
        <v>20853</v>
      </c>
      <c r="O25" s="2">
        <v>4563630</v>
      </c>
    </row>
    <row r="26" spans="1:15" x14ac:dyDescent="0.15">
      <c r="A26" s="15"/>
      <c r="B26" s="2"/>
      <c r="C26" s="2"/>
      <c r="D26" s="2"/>
      <c r="E26" s="2"/>
      <c r="F26" s="2"/>
      <c r="G26" s="2">
        <v>72150</v>
      </c>
      <c r="H26" s="2"/>
      <c r="I26" s="2"/>
      <c r="J26" s="2">
        <v>10670</v>
      </c>
      <c r="K26" s="2"/>
      <c r="L26" s="2"/>
      <c r="M26" s="2"/>
      <c r="N26" s="2"/>
      <c r="O26" s="2">
        <v>82820</v>
      </c>
    </row>
    <row r="27" spans="1:15" x14ac:dyDescent="0.15">
      <c r="A27" s="15" t="s">
        <v>1699</v>
      </c>
      <c r="B27" s="2">
        <v>1563.5</v>
      </c>
      <c r="C27" s="2">
        <v>7875</v>
      </c>
      <c r="D27" s="2"/>
      <c r="E27" s="2"/>
      <c r="F27" s="2"/>
      <c r="G27" s="2">
        <v>339.5</v>
      </c>
      <c r="H27" s="2">
        <v>3000</v>
      </c>
      <c r="I27" s="2"/>
      <c r="J27" s="2">
        <v>824.5</v>
      </c>
      <c r="K27" s="2"/>
      <c r="L27" s="2">
        <v>828</v>
      </c>
      <c r="M27" s="2"/>
      <c r="N27" s="2"/>
      <c r="O27" s="2">
        <v>14430.5</v>
      </c>
    </row>
    <row r="28" spans="1:15" x14ac:dyDescent="0.15">
      <c r="A28" s="15" t="s">
        <v>1707</v>
      </c>
      <c r="B28" s="2">
        <v>8250</v>
      </c>
      <c r="C28" s="2">
        <v>10767</v>
      </c>
      <c r="D28" s="2"/>
      <c r="E28" s="2"/>
      <c r="F28" s="2"/>
      <c r="G28" s="2"/>
      <c r="H28" s="2"/>
      <c r="I28" s="2">
        <v>30160</v>
      </c>
      <c r="J28" s="2">
        <v>7275</v>
      </c>
      <c r="K28" s="2"/>
      <c r="L28" s="2"/>
      <c r="M28" s="2"/>
      <c r="N28" s="2"/>
      <c r="O28" s="2">
        <v>56452</v>
      </c>
    </row>
    <row r="29" spans="1:15" x14ac:dyDescent="0.15">
      <c r="A29" s="15" t="s">
        <v>1698</v>
      </c>
      <c r="B29" s="2">
        <v>25350</v>
      </c>
      <c r="C29" s="2">
        <v>22885</v>
      </c>
      <c r="D29" s="2"/>
      <c r="E29" s="2"/>
      <c r="F29" s="2">
        <v>19721</v>
      </c>
      <c r="G29" s="2">
        <v>21303</v>
      </c>
      <c r="H29" s="2">
        <v>-16141</v>
      </c>
      <c r="I29" s="2"/>
      <c r="J29" s="2">
        <v>-1560</v>
      </c>
      <c r="K29" s="2">
        <v>0</v>
      </c>
      <c r="L29" s="2"/>
      <c r="M29" s="2">
        <v>42187</v>
      </c>
      <c r="N29" s="2">
        <v>20853</v>
      </c>
      <c r="O29" s="2">
        <v>134598</v>
      </c>
    </row>
    <row r="30" spans="1:15" x14ac:dyDescent="0.15">
      <c r="A30" s="15" t="s">
        <v>1695</v>
      </c>
      <c r="B30" s="2">
        <v>62280</v>
      </c>
      <c r="C30" s="2">
        <v>48610</v>
      </c>
      <c r="D30" s="2"/>
      <c r="E30" s="2">
        <v>46620</v>
      </c>
      <c r="F30" s="2"/>
      <c r="G30" s="2">
        <v>75930</v>
      </c>
      <c r="H30" s="2">
        <v>75950</v>
      </c>
      <c r="I30" s="2">
        <v>13650</v>
      </c>
      <c r="J30" s="2">
        <v>48677</v>
      </c>
      <c r="K30" s="2"/>
      <c r="L30" s="2">
        <v>38820</v>
      </c>
      <c r="M30" s="2">
        <v>23280</v>
      </c>
      <c r="N30" s="2"/>
      <c r="O30" s="2">
        <v>433817</v>
      </c>
    </row>
    <row r="31" spans="1:15" x14ac:dyDescent="0.15">
      <c r="A31" s="15" t="s">
        <v>1697</v>
      </c>
      <c r="B31" s="2"/>
      <c r="C31" s="2"/>
      <c r="D31" s="2"/>
      <c r="E31" s="2"/>
      <c r="F31" s="2"/>
      <c r="G31" s="2">
        <v>64350</v>
      </c>
      <c r="H31" s="2">
        <v>149150</v>
      </c>
      <c r="I31" s="2"/>
      <c r="J31" s="2">
        <v>59810</v>
      </c>
      <c r="K31" s="2">
        <v>7760</v>
      </c>
      <c r="L31" s="2">
        <v>11230</v>
      </c>
      <c r="M31" s="2">
        <v>14680</v>
      </c>
      <c r="N31" s="2"/>
      <c r="O31" s="2">
        <v>306980</v>
      </c>
    </row>
    <row r="32" spans="1:15" x14ac:dyDescent="0.15">
      <c r="A32" s="15" t="s">
        <v>1703</v>
      </c>
      <c r="B32" s="2">
        <v>26620</v>
      </c>
      <c r="C32" s="2">
        <v>4095</v>
      </c>
      <c r="D32" s="2"/>
      <c r="E32" s="2"/>
      <c r="F32" s="2"/>
      <c r="G32" s="2"/>
      <c r="H32" s="2"/>
      <c r="I32" s="2">
        <v>1170</v>
      </c>
      <c r="J32" s="2"/>
      <c r="K32" s="2"/>
      <c r="L32" s="2"/>
      <c r="M32" s="2"/>
      <c r="N32" s="2"/>
      <c r="O32" s="2">
        <v>31885</v>
      </c>
    </row>
    <row r="33" spans="1:15" x14ac:dyDescent="0.15">
      <c r="A33" s="15" t="s">
        <v>1696</v>
      </c>
      <c r="B33" s="2">
        <v>10790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>
        <v>33070</v>
      </c>
      <c r="N33" s="2"/>
      <c r="O33" s="2">
        <v>43860</v>
      </c>
    </row>
    <row r="34" spans="1:15" x14ac:dyDescent="0.15">
      <c r="A34" s="15" t="s">
        <v>1704</v>
      </c>
      <c r="B34" s="2"/>
      <c r="C34" s="2"/>
      <c r="D34" s="2"/>
      <c r="E34" s="2"/>
      <c r="F34" s="2">
        <v>7020</v>
      </c>
      <c r="G34" s="2"/>
      <c r="H34" s="2"/>
      <c r="I34" s="2"/>
      <c r="J34" s="2"/>
      <c r="K34" s="2"/>
      <c r="L34" s="2"/>
      <c r="M34" s="2"/>
      <c r="N34" s="2"/>
      <c r="O34" s="2">
        <v>7020</v>
      </c>
    </row>
    <row r="35" spans="1:15" x14ac:dyDescent="0.15">
      <c r="A35" s="15" t="s">
        <v>1692</v>
      </c>
      <c r="B35" s="2">
        <v>47285</v>
      </c>
      <c r="C35" s="2">
        <v>30790</v>
      </c>
      <c r="D35" s="2"/>
      <c r="E35" s="2">
        <v>23070</v>
      </c>
      <c r="F35" s="2">
        <v>25350</v>
      </c>
      <c r="G35" s="2">
        <v>56235</v>
      </c>
      <c r="H35" s="2">
        <v>45865</v>
      </c>
      <c r="I35" s="2">
        <v>42910</v>
      </c>
      <c r="J35" s="2">
        <v>72410</v>
      </c>
      <c r="K35" s="2"/>
      <c r="L35" s="2">
        <v>82975</v>
      </c>
      <c r="M35" s="2">
        <v>25350</v>
      </c>
      <c r="N35" s="2"/>
      <c r="O35" s="2">
        <v>452240</v>
      </c>
    </row>
    <row r="36" spans="1:15" x14ac:dyDescent="0.15">
      <c r="A36" s="15" t="s">
        <v>1693</v>
      </c>
      <c r="B36" s="2">
        <v>198430</v>
      </c>
      <c r="C36" s="2">
        <v>344238</v>
      </c>
      <c r="D36" s="2">
        <v>117073</v>
      </c>
      <c r="E36" s="2">
        <v>2047.5</v>
      </c>
      <c r="F36" s="2">
        <v>2150</v>
      </c>
      <c r="G36" s="2">
        <v>303852.5</v>
      </c>
      <c r="H36" s="2">
        <v>173750.5</v>
      </c>
      <c r="I36" s="2">
        <v>81233.5</v>
      </c>
      <c r="J36" s="2">
        <v>106554</v>
      </c>
      <c r="K36" s="2">
        <v>250260</v>
      </c>
      <c r="L36" s="2">
        <v>376921</v>
      </c>
      <c r="M36" s="2">
        <v>358702</v>
      </c>
      <c r="N36" s="2"/>
      <c r="O36" s="2">
        <v>2315212</v>
      </c>
    </row>
    <row r="37" spans="1:15" x14ac:dyDescent="0.15">
      <c r="A37" s="15" t="s">
        <v>1694</v>
      </c>
      <c r="B37" s="2">
        <v>53235</v>
      </c>
      <c r="C37" s="2">
        <v>55704</v>
      </c>
      <c r="D37" s="2">
        <v>11700</v>
      </c>
      <c r="E37" s="2">
        <v>55867.5</v>
      </c>
      <c r="F37" s="2"/>
      <c r="G37" s="2"/>
      <c r="H37" s="2">
        <v>83578</v>
      </c>
      <c r="I37" s="2"/>
      <c r="J37" s="2"/>
      <c r="K37" s="2"/>
      <c r="L37" s="2">
        <v>27885</v>
      </c>
      <c r="M37" s="2">
        <v>27885</v>
      </c>
      <c r="N37" s="2"/>
      <c r="O37" s="2">
        <v>315854.5</v>
      </c>
    </row>
    <row r="38" spans="1:15" x14ac:dyDescent="0.15">
      <c r="A38" s="15" t="s">
        <v>1705</v>
      </c>
      <c r="B38" s="2"/>
      <c r="C38" s="2"/>
      <c r="D38" s="2"/>
      <c r="E38" s="2"/>
      <c r="F38" s="2"/>
      <c r="G38" s="2"/>
      <c r="H38" s="2">
        <v>21450</v>
      </c>
      <c r="I38" s="2"/>
      <c r="J38" s="2">
        <v>18525</v>
      </c>
      <c r="K38" s="2"/>
      <c r="L38" s="2">
        <v>11700</v>
      </c>
      <c r="M38" s="2">
        <v>13650</v>
      </c>
      <c r="N38" s="2"/>
      <c r="O38" s="2">
        <v>65325</v>
      </c>
    </row>
    <row r="39" spans="1:15" x14ac:dyDescent="0.15">
      <c r="A39" s="15" t="s">
        <v>1701</v>
      </c>
      <c r="B39" s="2">
        <v>25340</v>
      </c>
      <c r="C39" s="2">
        <v>73357.5</v>
      </c>
      <c r="D39" s="2"/>
      <c r="E39" s="2"/>
      <c r="F39" s="2"/>
      <c r="G39" s="2">
        <v>25350</v>
      </c>
      <c r="H39" s="2">
        <v>25330</v>
      </c>
      <c r="I39" s="2"/>
      <c r="J39" s="2">
        <v>76020</v>
      </c>
      <c r="K39" s="2"/>
      <c r="L39" s="2">
        <v>24900</v>
      </c>
      <c r="M39" s="2">
        <v>30750</v>
      </c>
      <c r="N39" s="2"/>
      <c r="O39" s="2">
        <v>281047.5</v>
      </c>
    </row>
    <row r="40" spans="1:15" x14ac:dyDescent="0.15">
      <c r="A40" s="15" t="s">
        <v>1706</v>
      </c>
      <c r="B40" s="2"/>
      <c r="C40" s="2"/>
      <c r="D40" s="2"/>
      <c r="E40" s="2"/>
      <c r="F40" s="2"/>
      <c r="G40" s="2">
        <v>388</v>
      </c>
      <c r="H40" s="2"/>
      <c r="I40" s="2"/>
      <c r="J40" s="2"/>
      <c r="K40" s="2"/>
      <c r="L40" s="2">
        <v>0</v>
      </c>
      <c r="M40" s="2"/>
      <c r="N40" s="2"/>
      <c r="O40" s="2">
        <v>388</v>
      </c>
    </row>
    <row r="41" spans="1:15" x14ac:dyDescent="0.15">
      <c r="A41" s="15" t="s">
        <v>1702</v>
      </c>
      <c r="B41" s="2"/>
      <c r="C41" s="2"/>
      <c r="D41" s="2"/>
      <c r="E41" s="2">
        <v>21700.5</v>
      </c>
      <c r="F41" s="2"/>
      <c r="G41" s="2"/>
      <c r="H41" s="2"/>
      <c r="I41" s="2"/>
      <c r="J41" s="2"/>
      <c r="K41" s="2"/>
      <c r="L41" s="2"/>
      <c r="M41" s="2"/>
      <c r="N41" s="2"/>
      <c r="O41" s="2">
        <v>21700.5</v>
      </c>
    </row>
    <row r="42" spans="1:15" x14ac:dyDescent="0.15">
      <c r="A42" s="14" t="s">
        <v>1730</v>
      </c>
      <c r="B42" s="2">
        <v>459143.5</v>
      </c>
      <c r="C42" s="2">
        <v>598321.5</v>
      </c>
      <c r="D42" s="2">
        <v>128773</v>
      </c>
      <c r="E42" s="2">
        <v>149305.5</v>
      </c>
      <c r="F42" s="2">
        <v>54241</v>
      </c>
      <c r="G42" s="2">
        <v>619898</v>
      </c>
      <c r="H42" s="2">
        <v>561932.5</v>
      </c>
      <c r="I42" s="2">
        <v>169123.5</v>
      </c>
      <c r="J42" s="2">
        <v>399205.5</v>
      </c>
      <c r="K42" s="2">
        <v>258020</v>
      </c>
      <c r="L42" s="2">
        <v>575259</v>
      </c>
      <c r="M42" s="2">
        <v>569554</v>
      </c>
      <c r="N42" s="2">
        <v>20853</v>
      </c>
      <c r="O42" s="2">
        <v>4563630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<?xml version="1.0" encoding="utf-8"?>
<Atlas>
  <Query type="ReportList" id="90e36081-2b85-47bf-9b5c-3fc253999e84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QAAAAE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E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B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VNhbGVzTGluZQYeAAAAC09yZGVyIGxpbmVzCQgAAAAJCAAAAAkIAAAABeD///8wR2xvYmVTb2Z0d2FyZS5BdGxhczQwLkF0bGFzQ29tbW9uLkRhdGFTb3VyY2VUeXBlAQAAAAd2YWx1ZV9fAAgCAAAAAAAAAAkhAAAACSIAAAAE3f///wtTeXN0ZW0uR3VpZAsAAAACX2ECX2ICX2MCX2QCX2UCX2YCX2cCX2gCX2kCX2oCX2sAAAAAAAAAAAAAAAgHBwICAgICAgICEcOa8aIjUEWOqs0bsgxZiQkIAAAACQgAAAAJJQAAAAYmAAAAD1RhYmxlLlNhbGVzTGlu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BAAAAAELUdsb2JlU29mdHdhcmUuQXRsYXM0MC5BdGxhc0NvbW1vbi5UeXBlLkNvbHVtbgIAAAAJLwAAAAkwAAAACTEAAAAJMgAAAAkzAAAACTQAAAAJNQAAAAk2AAAACTcAAAAJOAAAAAk5AAAACToAAAAJOwAAAAk8AAAACT0AAAAJPgAAABEVAAAABAAAAAY/AAAADUF0bGFzUmVwb3J0XzU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D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+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3///8+R2xvYmVTb2Z0d2FyZS5BdGxhczQwLkF0bGFzQ29tbW9uLlR5cGUuQXRsYXNRdWVyeUF0dHJpYnV0ZU5hbWUBAAAAB3ZhbHVlX18ACAIAAAACAAAABkQAAAAkOTBlMzYwODEtMmI4NS00N2JmLTliNWMtM2ZjMjUzOTk5ZTg0Abv///++////Abr///+9////AAAAAAZHAAAABHRydWUBuP///77///8Bt////73///8LAAAABkoAAAALT3JkZXIgbGluZXMBtf///77///8BtP///73///8bAAAABk0AAAAEVHJ1ZQGy////vv///wGx////vf///wYAAAAGUAAAAAVGYWxzZQGv////vv///wGu////vf///xwAAAAJTQAAAAGs////vv///wGr////vf///x0AAAAJUAAAAAGp////vv///wGo////vf///yoAAAAJTQAAAAGm////vv///wGl////vf///wEAAAAGXAAAAAMzNjIBo////77///8Bov///73///8nAAAABl8AAAALPURhdGFBcmVhSWQBoP///77///8Bn////73///8ZAAAABmIAAAAPQ2VsbHNWZXJ0aWNhbGx5AZ3///++////AZz///+9////CQAAAAoBm////77///8Bmv///73///8oAAAABmcAAAACMTYBmP///77///8Bl////73///8rAAAABmo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bAAAAAlTYWxlc0xpbm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NAAAACW0AAAARAAAACW4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gAAAAkSAAAABwAAAAlw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t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y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XMAAAAJdAAAAAl1AAAABnYAAAAHU2FsZXNJZAZ3AAAAC1NhbGVzIG9yZGVyBngAAAAGU3RyaW5nCQgAAAAGegAAACQxN2I1ZjQ2Yy1jNmIwLTRlZjgtYWI2My04NjEwZmRiN2RlMDYFhf///y1HbG9iZVNvZnR3YXJlLkF0bGFzNDAuQXRsYXNDb21tb24uQWdncmVnYXRpb24BAAAAB3ZhbHVlX18ACAIAAAD/////AAAAAAWE////LEdsb2JlU29mdHdhcmUuQXRsYXM0MC5BdGxhc0NvbW1vbi5Db2x1bW5UeXBlAQAAAAd2YWx1ZV9fAAgCAAAAAAAAAAWD////K0dsb2JlU29mdHdhcmUuQXRsYXM0MC5BdGxhc0NvbW1vbi5Tb3J0T3JkZXIBAAAAB3ZhbHVlX18ACAIAAAACAAAAAAAAAAAFgv///0BHbG9iZVNvZnR3YXJlLkF0bGFzNDAuQXRsYXNDb21tb24uVHlwZS5Db2x1bW4rQ3Jvc3NUYWJDb2x1bW5UeXBlAQAAAAd2YWx1ZV9fAAgCAAAAAAAAAAoBAAAAAAAAAAAAAAAAAAZ/AAAAJDIzOTcwOWUwLTQ2NjItNDQ1Yi04Nzc0LThiMWU3YWQzZDc0MwaAAAAAF1RhYmxlLlNhbGVzTGluZS5TYWxlc0lkCgoKCgEwAAAALwAAAAmBAAAACYIAAAAJgwAAAAaEAAAACUN1c3RHcm91cAaFAAAABUdyb3VwBoYAAAAGU3RyaW5nCQgAAAAGiAAAACRhMTM4NGFkYy1mYzI3LTQ5NjUtOTA5NS1hNjc1NzdkOWJiNzIBd////4X/////////AQAAAAF2////hP///wAAAAABdf///4P///8CAAAAAAAAAAABdP///4L///8AAAAACgEAAAAAAAAAAAEAAAAABo0AAAAkODkzYTBjY2EtOGViNC00ZDA4LTk2NDctNTg1ODZjZjEzNjk2Bo4AAAAZVGFibGUuU2FsZXNMaW5lLkN1c3RHcm91cAoKCgoBMQAAAC8AAAAJjwAAAAmQAAAACZEAAAAGkgAAAAtDdXN0QWNjb3VudAaTAAAACEN1c3RvbWVyBpQAAAAGU3RyaW5nCQgAAAAGlgAAACQ0YmY0NWI2Yy00NGZlLTQ0MmYtYmJkNy1lYmJhNzRiZjVlNzIBaf///4X/////////AgAAAAFo////hP///wAAAAABZ////4P///8CAAAAAAAAAAABZv///4L///8AAAAACgEAAAAAAAAAAAIAAAAABpsAAAAkMDA3OGYxM2YtNzVkMy00NDE0LTlmZmEtYzM2YWIxZDdiMzNkBpwAAAAbVGFibGUuU2FsZXNMaW5lLkN1c3RBY2NvdW50CgoKCgEyAAAALwAAAAmdAAAACZ4AAAAJnwAAAAagAAAAF0RlbGl2ZXJ5Q291bnRyeVJlZ2lvbklkBqEAAAAbQ291bnRyeS9yZWdpb24oZGlzdGluYXRpb24pBqIAAAAGU3RyaW5nCQgAAAAGpAAAACQ5YzM0YjEwOS0yYjg5LTRlYzAtOWI1Yi04MTQyNzRiMzc3MjUBW////4X/////////AwAAAAFa////hP///wAAAAABWf///4P///8CAAAAAAAAAAABWP///4L///8AAAAACgEAAAAAAAAAAAMAAAAABqkAAAAkNDk0ZGZmNGUtNjFmYy00YWE3LWFjZjQtMjFiN2VjYTE2MDI4BqoAAAAnVGFibGUuU2FsZXNMaW5lLkRlbGl2ZXJ5Q291bnRyeVJlZ2lvbklkCgoKCgEzAAAALwAAAAmrAAAACawAAAAJrQAAAAauAAAABkl0ZW1JZAavAAAAC0l0ZW0gbnVtYmVyBrAAAAAGU3RyaW5nCQgAAAAGsgAAACQxN2I3NTc4NC03MmE3LTQ5ZGMtYWFhOC03MTkyNGEyYTBiOWQBTf///4X/////////BAAAAAFM////hP///wAAAAABS////4P///8CAAAAAAAAAAABSv///4L///8AAAAACgEAAAAAAAAAAAQAAAAABrcAAAAkMDI5MDJiMGYtMmIwOC00ODljLWJjNDgtOTMxNTgwNDNiMmY4BrgAAAAWVGFibGUuU2FsZXNMaW5lLkl0ZW1JZAoKCgoBNAAAAC8AAAAJuQAAAAm6AAAACbsAAAAGvAAAAA9DcmVhdGVkRGF0ZVRpbWUGvQAAAAxDcmVhdGVkIGRhdGUGvgAAAAhEYXRlVGltZQkIAAAABsAAAAAkZDdlMDFmODgtZmI1OC00OTM2LTg5YTctODY5ZGEyZThkYjgwAT////+F/////////wUAAAABPv///4T///8AAAAAAT3///+D////AgAAAAAAAAAAATz///+C////AAAAAAoBAAAAAAAAAAAFAAAAAAbFAAAAJDcwMTRjMGI3LTJlYmQtNDFlZC04NDYxLTFmOTFmOTIyZGYwZgbGAAAAH1RhYmxlLlNhbGVzTGluZS5DcmVhdGVkRGF0ZVRpbWUKCgoKATUAAAAvAAAACccAAAAJyAAAAAnJAAAABsoAAAA3QXRsYXNNYW5hZ2VkQ29sdW1uXzRlYmQwMmNmLTdmZTUtNDY1Ny04ZDEyLWU5NTczNzFhZTAzNQbLAAAADUNyZWF0ZWQgTW9udGgJCAAAAAkIAAAABs0AAAAkNzc1ODAxZTEtODE1Ni00ZDZlLWI0MWMtY2RiY2U3YzRmODMxATL///+F/////////wYAAAABMf///4T///8CAAAAATD///+D////AgAAAAAAAAAAAS////+C////AAAAAAoBAAAAAAAAAAAGAAAAAAbSAAAAJDk2ZTUyODZhLTJjNTgtNDZkYi1iNjM3LWQ4NzYyMTg4NDNiNAkIAAAACgoKCgE2AAAALwAAAAnUAAAACdUAAAAJ1gAAAAbXAAAADUludmVudFRyYW5zSWQG2AAAAAZMb3QgSUQG2QAAAAZTdHJpbmcJCAAAAAbbAAAAJGRiYTJhNWIxLWNjYmEtNDUwYy05MDRmLWYxZjg4NWExNTNjMgEk////hf////////8HAAAAASP///+E////AAAAAAEi////g////wIAAAAAAAAAAAEh////gv///wAAAAAKAQAAAAAAAAAABwAAAAAG4AAAACQwMjQwMjQwYy1lNjUyLTQ0MDYtODc3Ny1kZjcxODI1ODlkODMG4QAAAB1UYWJsZS5TYWxlc0xpbmUuSW52ZW50VHJhbnNJZAoKCgoBNwAAAC8AAAAJ4gAAAAnjAAAACeQAAAAG5QAAAAhTYWxlc1F0eQbmAAAACU9yZGVyIHF0eQbnAAAABFJlYWwJCAAAAAbpAAAAJDI3ODhjNDczLWI2ZjMtNDE1MC04YjEwLTFjNjllMTJlMThjZAEW////hf///wEAAAAIAAAAARX///+E////AAAAAAEU////g////wIAAAAAAAAAAAET////gv///wAAAAAKAQAAAAAAAAAACAAAAAAG7gAAACQwMjQ4OGMwNC1lNGRiLTRhN2YtOTg2OS1hZTI5YTMyMjA1MTAG7wAAABhUYWJsZS5TYWxlc0xpbmUuU2FsZXNRdHkKCgoKATgAAAAvAAAACfAAAAAJ8QAAAAnyAAAABvMAAAAJU2FsZXNVbml0BvQAAAAEVW5pdAb1AAAABlN0cmluZwkIAAAABvcAAAAkMGUzODNkOGItZjg2YS00NWJlLThlYjMtM2U0Y2QyNzM5MjFhAQj///+F/////////wkAAAABB////4T///8AAAAAAQb///+D////AgAAAAAAAAAAAQX///+C////AAAAAAoBAAAAAAAAAAAJAAAAAAb8AAAAJGNjNGE4MWMyLTQxNzItNDAzZS04NDc5LWE0MmM3ZWQzZTc2Mgb9AAAAGVRhYmxlLlNhbGVzTGluZS5TYWxlc1VuaXQKCgoKATkAAAAvAAAACf4AAAAJ/wAAAAkAAQAABgEBAAAKU2FsZXNQcmljZQYCAQAAClVuaXQgcHJpY2UGAwEAAARSZWFsCQgAAAAGBQEAACQ5N2NlNTM3My1mMTQyLTRjM2MtOTJjZS1lYjg2MDdiYTY5ZjgB+v7//4X///8BAAAACgAAAAH5/v//hP///wAAAAAB+P7//4P///8CAAAAAAAAAAAB9/7//4L///8AAAAACgEAAAAAAAAAAAoAAAAABgoBAAAkYWEzYjc0NDItZjRiYi00MjliLThjZTgtMDU5YzcxMzI3M2RkBgsBAAAaVGFibGUuU2FsZXNMaW5lLlNhbGVzUHJpY2UKCgoKAToAAAAvAAAACQwBAAAJDQEAAAkOAQAABg8BAAAKTGluZUFtb3VudAYQAQAACk5ldCBhbW91bnQGEQEAAARSZWFsCQgAAAAGEwEAACQ0NzMzYWM4Yi04MjdjLTRiODgtODUwMi0xOTllZTNjODM3ODAB7P7//4X///8BAAAACwAAAAHr/v//hP///wAAAAAB6v7//4P///8CAAAAAAAAAAAB6f7//4L///8AAAAACgEAAAAAAAAAAAsAAAAABhgBAAAkNWMyMDQ4ZjktZjVmOC00OWVlLWEwYjMtMjYxMDZjYzNjYzRiBhkBAAAaVGFibGUuU2FsZXNMaW5lLkxpbmVBbW91bnQKCgoKATsAAAAvAAAACRoBAAAJGwEAAAkcAQAABh0BAAAMQ3VycmVuY3lDb2RlBh4BAAAIQ3VycmVuY3kGHwEAAAZTdHJpbmcJCAAAAAYhAQAAJGFlZGM2M2UyLTZiYTItNGQ0Mi1hZGEyLWVlZDRiNDQwZDg3MgHe/v//hf////////8MAAAAAd3+//+E////AAAAAAHc/v//g////wIAAAAAAAAAAAHb/v//gv///wAAAAAKAQAAAAAAAAAADAAAAAAGJgEAACRlMGFlN2I5MS1jODc5LTRmMjktYmU4Yi1hNDJmN2Q4MGQ5OWEGJwEAABxUYWJsZS5TYWxlc0xpbmUuQ3VycmVuY3lDb2RlCgoKCgE8AAAALwAAAAkoAQAACSkBAAAJKgEAAAYrAQAAC1NhbGVzU3RhdHVzBiwBAAALTGluZSBzdGF0dXMGLQEAAARFbnVtCQgAAAAGLwEAACQ4ZDFmZDZlOC04M2IwLTRmMDgtOGMwNi1mMmQwYWRiNTJmNWQB0P7//4X/////////DQAAAAHP/v//hP///wAAAAABzv7//4P///8CAAAAAAAAAAABzf7//4L///8AAAAACgEAAAAAAAAAAA0AAAAABjQBAAAkNGFiZWIwNmItMmY1NS00OWNhLThlNWItNTdjZGUwYTVkZTE2BjUBAAAbVGFibGUuU2FsZXNMaW5lLlNhbGVzU3RhdHVzCgoKCgE9AAAALwAAAAk2AQAACTcBAAAJOAEAAAY5AQAAN0F0bGFzTWFuYWdlZENvbHVtbl8xZTM5ZTcyYi01M2QyLTQ2MzgtYjBkZC1mNTc2ZDExMjE3MjkGOgEAAA5EZWxpdmVyZWQgRGF0ZQkIAAAACQgAAAAGPAEAACRiNzFjNTlhYi01ODZmLTQ2ZTgtYTExNi00ZTdkNmFhMzEwMzABw/7//4X/////////DgAAAAHC/v//hP///wIAAAABwf7//4P///8CAAAAAAAAAAABwP7//4L///8AAAAACgEAAAAAAAAAAA4AAAAABkEBAAAkNzJkODc4OTktODkyMS00MDBhLWI4YmMtZmQwYzA0YmE3OTY1CQgAAAAKCgoKAT4AAAAvAAAACUMBAAAJRAEAAAlFAQAABkYBAAA3QXRsYXNNYW5hZ2VkQ29sdW1uXzI2YWE4MWI5LTY0N2QtNDVmNS04OGM5LWM2MjFkYWU5NDc4MgZHAQAAD0RlbGl2ZXJlZCBNb250aAkIAAAACQgAAAAGSQEAACRmMWRjMDQ2Mi1iYmNmLTQxZmItODg3NC05MzMzNzlkYWMzNWEBtv7//4X/////////DwAAAAG1/v//hP///wIAAAABtP7//4P///8CAAAAAAAAAAABs/7//4L///8AAAAACgEAAAAAAAAAAA8AAAAABk4BAAAkM2I1Yjc4NTMtMDJmOC00YTkwLWI5NDgtNmI3OTBlYzFhMGU4CQgAAAAKCgoKAW0AAAASAAAAB24AAAAAAQAAAA0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LD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lEBAAAXVGFibGUuU2FsZXNMaW5lLlNhbGVzSWQJUgEAAAGt/v//sP7//wZUAQAAGVRhYmxlLlNhbGVzTGluZS5DdXN0R3JvdXAJVQEAAAGq/v//sP7//wZXAQAAG1RhYmxlLlNhbGVzTGluZS5DdXN0QWNjb3VudAlYAQAAAaf+//+w/v//BloBAAAnVGFibGUuU2FsZXNMaW5lLkRlbGl2ZXJ5Q291bnRyeVJlZ2lvbklkCVsBAAABpP7//7D+//8GXQEAABZUYWJsZS5TYWxlc0xpbmUuSXRlbUlkCV4BAAABof7//7D+//8GYAEAAB9UYWJsZS5TYWxlc0xpbmUuQ3JlYXRlZERhdGVUaW1lCWEBAAABnv7//7D+//8GYwEAAB1UYWJsZS5TYWxlc0xpbmUuSW52ZW50VHJhbnNJZAlkAQAAAZv+//+w/v//BmYBAAAYVGFibGUuU2FsZXNMaW5lLlNhbGVzUXR5CWcBAAABmP7//7D+//8GaQEAABlUYWJsZS5TYWxlc0xpbmUuU2FsZXNVbml0CWoBAAABlf7//7D+//8GbAEAABpUYWJsZS5TYWxlc0xpbmUuU2FsZXNQcmljZQltAQAAAZL+//+w/v//Bm8BAAAaVGFibGUuU2FsZXNMaW5lLkxpbmVBbW91bnQJcAEAAAGP/v//sP7//wZyAQAAHFRhYmxlLlNhbGVzTGluZS5DdXJyZW5jeUNvZGUJcwEAAAGM/v//sP7//wZ1AQAAG1RhYmxlLlNhbGVzTGluZS5TYWxlc1N0YXR1cwl2AQAAB3AAAAAAAQAAAAY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SJ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ngBAAAWVGFibGUuU2FsZXNMaW5lLkl0ZW1JZAl5AQAAAYb+//+J/v//BnsBAAAfVGFibGUuU2FsZXNMaW5lLkNyZWF0ZWREYXRlVGltZQl8AQAAAYP+//+J/v//Bn4BAAAZVGFibGUuU2FsZXNMaW5lLkN1c3RHcm91cAl/AQAAAYD+//+J/v//BoEBAAAcVGFibGUuU2FsZXNMaW5lLkRpbWVuc2lvbls4XQmCAQAAAX3+//+J/v//BoQBAAAcVGFibGUuU2FsZXNMaW5lLkRpbWVuc2lvbls3XQmFAQAAAXr+//+J/v//BocBAAAbVGFibGUuU2FsZXNMaW5lLlNhbGVzU3RhdHVzCYgBAAAEcg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HM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YkBAAABAAAAAQAAAAR0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UsAAAAJigEAAAcAAAAJiwEAAAR1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jAEAAAcAAAAJjQEAAAGBAAAAcwAAAAmOAQAAAQAAAAEAAAABggAAAHQAAAA0AAAACY8BAAAHAAAACZABAAAEg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ZEBAAAHAAAACZIBAAABjwAAAHMAAAAJkwEAAAEAAAABAAAAAZAAAAB0AAAALQAAAAmPAQAABwAAAAmVAQAABJ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mRAQAABwAAAAmXAQAAAZ0AAABzAAAACZgBAAABAAAAAQAAAAGeAAAAdAAAACsAAAAJmQEAAAcAAAAJmgEAAASf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mwEAAAcAAAAJnAEAAAGrAAAAcwAAAAmdAQAAAQAAAAEAAAABrAAAAHQAAABKAAAACYoBAAAHAAAACZ8BAAAEr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YwBAAAHAAAACaEBAAABuQAAAHMAAAAJogEAAAEAAAABAAAAAboAAAB0AAAAGAAAAAmjAQAABwAAAAmkAQAABL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mlAQAABwAAAAmmAQAAAccAAABzAAAACacBAAAAAAAAAAAAAAHIAAAAdAAAAAUAAAAJqAEAAAMAAAAJqQEAAAHJAAAAEAAAAAAAAAAJEgAAAAAAAAAB1AAAAHMAAAAJqwEAAAEAAAABAAAAAdUAAAB0AAAAEQAAAAmsAQAABwAAAAmtAQAABN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muAQAABwAAAAmvAQAAAeIAAABzAAAACbABAAABAAAAAQAAAAHjAAAAdAAAAEoAAAAJigEAAAcAAAAJsgEAAATk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jAEAAAcAAAAJtAEAAAHwAAAAcwAAAAm1AQAAAQAAAAEAAAAB8QAAAHQAAAAKAAAACbYBAAAHAAAACbcBAAAE8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bgBAAAHAAAACbkBAAAB/gAAAHMAAAAJugEAAAEAAAABAAAAAf8AAAB0AAAASgAAAAmKAQAABwAAAAm8AQAABA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MAQAABwAAAAm+AQAAAQwBAABzAAAACb8BAAABAAAAAQAAAAENAQAAdAAAAEoAAAAJigEAAAcAAAAJwQEAAAQ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jAEAAAcAAAAJwwEAAAEaAQAAcwAAAAnEAQAAAQAAAAEAAAABGwEAAHQAAABKAAAACYoBAAAHAAAACcYBAAAEH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YwBAAAHAAAACcgBAAABKAEAAHMAAAAJyQEAAAEAAAABAAAAASkBAAB0AAAASgAAAAmKAQAABwAAAAnLAQAABC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MAQAABwAAAAnNAQAAATYBAABzAAAACacBAAAAAAAAAAAAAAE3AQAAdAAAAAUAAAAJqAEAAAMAAAAJ0AEAAAE4AQAAEAAAAAAAAAAJEgAAAAAAAAABQwEAAHMAAAAJpwEAAAAAAAAAAAAAAUQBAAB0AAAABQAAAAmoAQAAAwAAAAnUAQAAAUUBAAAQAAAAAAAAAAkSAAAAAAAAAAVS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q/v//hf////////8ABtcBAAAGU3RyaW5nBtgBAAALU2FsZXMgb3JkZXIJ2QEAAAEm/v//g////wIAAAAFJf7//zlHbG9iZVNvZnR3YXJlLkF0bGFzNDAuQXRsYXNDb21tb24uTnVtYmVyU2VxdWVuY2VDb25kaXRpb24BAAAAB3ZhbHVlX18ACAIAAAABAAAAAAAG3AEAAA9UYWJsZS5TYWxlc0xpbmUJdgAAAAkIAAAACv////8J3AEAAAoJdgAAAAoKCgkIAAAACeIBAAAJCAAAAAFVAQAAUgEAAAEc/v//hf////////8ABuUBAAAGU3RyaW5nBuYBAAAFR3JvdXAJ5wEAAAEY/v//g////wIAAAABF/7//yX+//8BAAAAAAAG6gEAAA9UYWJsZS5TYWxlc0xpbmUJhAAAAAkIAAAACv////8J6gEAAAoJhAAAAAoKCgkIAAAACfABAAAJCAAAAAFYAQAAUgEAAAEO/v//hf////////8ABvMBAAAGU3RyaW5nBvQBAAAIQ3VzdG9tZXIJ9QEAAAEK/v//g////wIAAAABCf7//yX+//8BAAAAAAAG+AEAAA9UYWJsZS5TYWxlc0xpbmUJkgAAAAkIAAAACv////8J+AEAAAoJkgAAAAoKCgkIAAAACf4BAAAJCAAAAAFbAQAAUgEAAAEA/v//hf////////8ABgECAAAGU3RyaW5nBgICAAAOQ291bnRyeS9yZWdpb24JAwIAAAH8/f//g////wIAAAAB+/3//yX+//8BAAAAAAAGBgIAAA9UYWJsZS5TYWxlc0xpbmUJoAAAAAkIAAAACv////8JBgIAAAoJoAAAAAoKCgkIAAAACQwCAAAJCAAAAAFeAQAAUgEAAAHy/f//hf////////8ABg8CAAAGU3RyaW5nBhACAAALSXRlbSBudW1iZXIJ2QEAAAHu/f//g////wIAAAAB7f3//yX+//8BAAAAAAAJ3AEAAAmuAAAACQgAAAAK/////wncAQAACgmuAAAACgoKCQgAAAAJGgIAAAkIAAAAAWEBAABSAQAAAeT9//+F/////////wAGHQIAAAhEYXRlVGltZQYeAgAADENyZWF0ZWQgZGF0ZQkfAgAAAeD9//+D////AgAAAAHf/f//Jf7//wEAAAAAAAYiAgAAD1RhYmxlLlNhbGVzTGluZQm8AAAACQgAAAAK/////wkiAgAACgm8AAAACgoKCQgAAAAJKAIAAAkIAAAAAWQBAABSAQAAAdb9//+F/////////wAGKwIAAAZTdHJpbmcGLAIAAAZMb3QgSUQJLQIAAAHS/f//g////wIAAAAB0f3//yX+//8BAAAAAAAGMAIAAA9UYWJsZS5TYWxlc0xpbmUJ1wAAAAkIAAAACv////8JMAIAAAoJ1wAAAAoKCgkIAAAACTYCAAAJCAAAAAFnAQAAUgEAAAHI/f//hf////////8ABjkCAAAEUmVhbAY6AgAACU9yZGVyIHF0eQnZAQAAAcT9//+D////AgAAAAHD/f//Jf7//wEAAAAAAAncAQAACeUAAAAJCAAAAAr/////CdwBAAAKCeUAAAAKCgoJCAAAAAlEAgAACQgAAAABagEAAFIBAAABuv3//4X/////////AAZHAgAABlN0cmluZwZIAgAABFVuaXQJSQIAAAG2/f//g////wIAAAABtf3//yX+//8BAAAAAAAGTAIAAA9UYWJsZS5TYWxlc0xpbmUJ8wAAAAkIAAAACv////8JTAIAAAoJ8wAAAAoKCgkIAAAACVICAAAJCAAAAAFtAQAAUgEAAAGs/f//hf////////8ABlUCAAAEUmVhbAZWAgAAClVuaXQgcHJpY2UJ2QEAAAGo/f//g////wIAAAABp/3//yX+//8BAAAAAAAJ3AEAAAkBAQAACQgAAAAK/////wncAQAACgkBAQAACgoKCQgAAAAJYAIAAAkIAAAAAXABAABSAQAAAZ79//+F/////////wAGYwIAAARSZWFsBmQCAAAKTmV0IGFtb3VudAnZAQAAAZr9//+D////AgAAAAGZ/f//Jf7//wEAAAAAAAncAQAACQ8BAAAJCAAAAAr/////CdwBAAAKCQ8BAAAKCgoJCAAAAAluAgAACQgAAAABcwEAAFIBAAABkP3//4X/////////AAZxAgAABlN0cmluZwZyAgAACEN1cnJlbmN5CdkBAAABjP3//4P///8CAAAAAYv9//8l/v//AQAAAAAACdwBAAAJHQEAAAkIAAAACv////8J3AEAAAoJHQEAAAoKCgkIAAAACXwCAAAJCAAAAAF2AQAAUgEAAAGC/f//hf////////8ABn8CAAAERW51bQaAAgAAC0xpbmUgc3RhdHVzCdkBAAABfv3//4P///8CAAAAAX39//8l/v//AQAAAAAACdwBAAAJKwEAAAkIAAAACv////8J3AEAAAoJKwEAAAoKCgkIAAAACYoCAAAJCAAAAAV5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jAIAAA9UYWJsZS5TYWxlc0xpbmUGjQIAAAZJdGVtSWQJCAAAAAaPAgAAASr/////CYwCAAAKCY0CAAAKCgoJCAAAAAmTAgAACQgAAAABfAEAAHkBAAAJjAIAAAaWAgAAD0NyZWF0ZWREYXRlVGltZQkIAAAABpgCAAAWMS4xLjIwMTkgLi4gMTIuMzEuMjAxOf////8JjAIAAAoJlgIAAAoKCgkIAAAACZwCAAAJCAAAAAF/AQAAeQEAAAmMAgAABp8CAAAJQ3VzdEdyb3VwCQgAAAAGoQIAAAEq/////wmMAgAACgmfAgAACgoKCQgAAAAJpQIAAAkIAAAAAYIBAAB5AQAACYwCAAAGqAIAAAxEaW1lbnNpb25bOF0JCAAAAAaqAgAAASr/////CYwCAAAKCagCAAAKCgoJCAAAAAmuAgAACQgAAAABhQEAAHkBAAAJjAIAAAaxAgAADERpbWVuc2lvbls3XQkIAAAABrMCAAAHQVNQSEFMVP////8JjAIAAAoJsQIAAAoKCgkIAAAACbcCAAAJCAAAAAGIAQAAeQEAAAmMAgAABroCAAALU2FsZXNTdGF0dXMJCAAAAAa8AgAACSFDYW5jZWxlZP////8JjAIAAAa+AgAACVNhbGVzTGluZQm6AgAACgoKCQgAAAAJwQIAAAkIAAAAB4kBAAAAAQAAAAQAAAAEN0dsb2JlU29mdHdhcmUuQXRsYXM0MC5BdGxhc0NvbW1vbi5UeXBlLkZpZWxkT3V0cHV0RmllbGQCAAAACVIBAAANAwSK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L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PP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7/f//Mkdsb2JlU29mdHdhcmUuQXRsYXM0MC5BdGxhc0NvbW1vbi5Db2x1bW5BdHRyaWJ1dGVzAQAAAAd2YWx1ZV9fAAgCAAAABgAAAAbGAgAABVRvdGFsATn9//88/f//ATj9//87/f//EAAAAAbJAgAABE5vbmUBNv3//zz9//8BNf3//zv9//8JAAAACQgAAAABM/3//zz9//8BMv3//zv9//8LAAAABs8CAAABMAEw/f//PP3//wEv/f//O/3//wQAAAAG0gIAAAdHZW5lcmFsAS39//88/f//ASz9//87/f//AgAAAAbVAgAAATEBKv3//zz9//8BKf3//zv9//8AAAAABtgCAAAFMTguODYBjAEAABIAAAAHj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n/f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oCAAAIRm9udEJvbGQG2wIAAAVGYWxzZQEk/f//J/3//wbdAgAACkZvbnRJdGFsaWMJ2wIAAAEh/f//J/3//wbgAgAADUZvbnRVbmRlcmxpbmUG4QIAAAUtNDE0MgEe/f//J/3//wbjAgAACEZvbnROYW1lBuQCAAAHQ2FsaWJyaQEb/f//J/3//wbmAgAACUZvbnRDb2xvcgbnAgAAATABGP3//yf9//8G6QIAAAhGb250U2l6ZQbqAgAAAjExARX9//8n/f//BuwCAAAJRm9udFN0eWxlBu0CAAAHUmVndWxhcgeOAQAAAAEAAAAEAAAABDdHbG9iZVNvZnR3YXJlLkF0bGFzNDAuQXRsYXNDb21tb24uVHlwZS5GaWVsZE91dHB1dEZpZWxkAgAAAAlVAQAADQMBjwEAAIoBAAAHk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H9//88/f//ARD9//87/f//CQAAAAkIAAAAAQ79//88/f//AQ39//87/f//CwAAAAb0AgAAATEBC/3//zz9//8BCv3//zv9//8EAAAABvcCAAAHR2VuZXJhbAEI/f//PP3//wEH/f//O/3//wIAAAAG+gIAAAExAQX9//88/f//AQT9//87/f//AAAAAAb9AgAABDguNTcBkQEAABIAAAAHk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f//J/3//wb/AgAACEZvbnRCb2xkCdsCAAAB//z//yf9//8GAgMAAApGb250SXRhbGljCdsCAAAB/Pz//yf9//8GBQMAAA1Gb250VW5kZXJsaW5lBgYDAAAFLTQxNDIB+fz//yf9//8GCAMAAAhGb250TmFtZQYJAwAAB0NhbGlicmkB9vz//yf9//8GCwMAAAlGb250Q29sb3IGDAMAAAEwAfP8//8n/f//Bg4DAAAIRm9udFNpemUGDwMAAAIxMQHw/P//J/3//wYRAwAACUZvbnRTdHlsZQYSAwAAB1JlZ3VsYXIHkwEAAAABAAAABAAAAAQ3R2xvYmVTb2Z0d2FyZS5BdGxhczQwLkF0bGFzQ29tbW9uLlR5cGUuRmllbGRPdXRwdXRGaWVsZAIAAAAJWAEAAA0DB5U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s/P//PP3//wHr/P//O/3//wkAAAAJCAAAAAHp/P//PP3//wHo/P//O/3//wsAAAAGGQMAAAEyAeb8//88/f//AeX8//87/f//BAAAAAYcAwAAB0dlbmVyYWwB4/z//zz9//8B4vz//zv9//8CAAAABh8DAAABMQHg/P//PP3//wHf/P//O/3//wAAAAAGIgMAAAUxMS4xNAe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38//8n/f//BiQDAAAIRm9udEJvbGQJ2wIAAAHa/P//J/3//wYnAwAACkZvbnRJdGFsaWMJ2wIAAAHX/P//J/3//wYqAwAADUZvbnRVbmRlcmxpbmUGKwMAAAUtNDE0MgHU/P//J/3//wYtAwAACEZvbnROYW1lBi4DAAAHQ2FsaWJyaQHR/P//J/3//wYwAwAACUZvbnRDb2xvcgYxAwAAATABzvz//yf9//8GMwMAAAhGb250U2l6ZQY0AwAAAjExAcv8//8n/f//BjYDAAAJRm9udFN0eWxlBjcDAAAHUmVndWxhcgeYAQAAAAEAAAAEAAAABDdHbG9iZVNvZnR3YXJlLkF0bGFzNDAuQXRsYXNDb21tb24uVHlwZS5GaWVsZE91dHB1dEZpZWxkAgAAAAlbAQAADQMBmQEAAIoBAAAHm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f8//88/f//Acb8//87/f//CQAAAAkIAAAAAcT8//88/f//AcP8//87/f//CwAAAAY+AwAAATMBwfz//zz9//8BwPz//zv9//8kAAAACaEAAAABvvz//zz9//8Bvfz//zv9//8EAAAABkQDAAAHR2VuZXJhbAG7/P//PP3//wG6/P//O/3//wIAAAAGRwMAAAExAbj8//88/f//Abf8//87/f//AAAAAAZKAwAABTE2LjI5AZsBAAASAAAAB5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fz//yf9//8GTAMAAAhGb250Qm9sZAnbAgAAAbL8//8n/f//Bk8DAAAKRm9udEl0YWxpYwnbAgAAAa/8//8n/f//BlIDAAANRm9udFVuZGVybGluZQZTAwAABS00MTQyAaz8//8n/f//BlUDAAAIRm9udE5hbWUGVgMAAAdDYWxpYnJpAan8//8n/f//BlgDAAAJRm9udENvbG9yBlkDAAABMAGm/P//J/3//wZbAwAACEZvbnRTaXplBlwDAAACMTEBo/z//yf9//8GXgMAAAlGb250U3R5bGUGXwMAAAdSZWd1bGFyB50BAAAAAQAAAAQAAAAEN0dsb2JlU29mdHdhcmUuQXRsYXM0MC5BdGxhc0NvbW1vbi5UeXBlLkZpZWxkT3V0cHV0RmllbGQCAAAACV4BAAANAwe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/z//zz9//8Bnvz//zv9//8QAAAACckCAAABnPz//zz9//8Bm/z//zv9//8JAAAACQgAAAABmfz//zz9//8BmPz//zv9//8LAAAABmkDAAABNAGW/P//PP3//wGV/P//O/3//wQAAAAGbAMAAAdHZW5lcmFsAZP8//88/f//AZL8//87/f//AgAAAAZvAwAAATEBkPz//zz9//8Bj/z//zv9//8AAAAABnIDAAAFMTUuNDMHo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/P//J/3//wnaAgAACdsCAAABivz//yf9//8J3QIAAAnbAgAAAYf8//8n/f//CeACAAAGewMAAAUtNDE0MgGE/P//J/3//wnjAgAABn4DAAAHQ2FsaWJyaQGB/P//J/3//wnmAgAABoEDAAABMAF+/P//J/3//wnpAgAABoQDAAACMTEBe/z//yf9//8J7AIAAAaHAwAAB1JlZ3VsYXIHogEAAAABAAAABAAAAAQ3R2xvYmVTb2Z0d2FyZS5BdGxhczQwLkF0bGFzQ29tbW9uLlR5cGUuRmllbGRPdXRwdXRGaWVsZAIAAAAJYQEAAA0DAaMBAACKAQAAB6Q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3/P//PP3//wF2/P//O/3//wkAAAAJCAAAAAF0/P//PP3//wFz/P//O/3//wsAAAAGjgMAAAE1AXH8//88/f//AXD8//87/f//BAAAAAaRAwAADW0vZC95eXl5IGg6bW0Bbvz//zz9//8Bbfz//zv9//8CAAAABpQDAAABMQFr/P//PP3//wFq/P//O/3//wAAAAAGlwMAAAUxNS4xNAGlAQAAEgAAAAe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j8//8n/f//BpkDAAAIRm9udEJvbGQJ2wIAAAFl/P//J/3//wacAwAACkZvbnRJdGFsaWMJ2wIAAAFi/P//J/3//wafAwAADUZvbnRVbmRlcmxpbmUGoAMAAAUtNDE0MgFf/P//J/3//waiAwAACEZvbnROYW1lBqMDAAAHQ2FsaWJyaQFc/P//J/3//walAwAACUZvbnRDb2xvcgamAwAAATABWfz//yf9//8GqAMAAAhGb250U2l6ZQapAwAAAjExAVb8//8n/f//BqsDAAAJRm9udFN0eWxlBqwDAAAHUmVndWxhcgenAQAAAAEAAAAAAAAABDdHbG9iZVNvZnR3YXJlLkF0bGFzNDAuQXRsYXNDb21tb24uVHlwZS5GaWVsZE91dHB1dEZpZWxkAgAAAAGoAQAAigEAAAepAQ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/z//zz9//8BUvz//zv9//8kAAAACcsAAAABUPz//zz9//8BT/z//zv9//8LAAAABrIDAAABNgerAQAAAAEAAAAEAAAABDdHbG9iZVNvZnR3YXJlLkF0bGFzNDAuQXRsYXNDb21tb24uVHlwZS5GaWVsZE91dHB1dEZpZWxkAgAAAAlkAQAADQMBrAEAAIoBAAAHr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z8//88/f//AUv8//87/f//CQAAAAkIAAAAAUn8//88/f//AUj8//87/f//CwAAAAa5AwAAATcBRvz//zz9//8BRfz//zv9//8EAAAABrwDAAAHR2VuZXJhbAFD/P//PP3//wFC/P//O/3//wIAAAAGvwMAAAExAUD8//88/f//AT/8//87/f//AAAAAAbCAwAABDkuNDMBrgEAABIAAAAHr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P//J/3//wbEAwAACEZvbnRCb2xkCdsCAAABOvz//yf9//8GxwMAAApGb250SXRhbGljCdsCAAABN/z//yf9//8GygMAAA1Gb250VW5kZXJsaW5lBssDAAAFLTQxNDIBNPz//yf9//8GzQMAAAhGb250TmFtZQbOAwAAB0NhbGlicmkBMfz//yf9//8G0AMAAAlGb250Q29sb3IG0QMAAAEwAS78//8n/f//BtMDAAAIRm9udFNpemUG1AMAAAIxMQEr/P//J/3//wbWAwAACUZvbnRTdHlsZQbXAwAAB1JlZ3VsYXIHsAEAAAABAAAABAAAAAQ3R2xvYmVTb2Z0d2FyZS5BdGxhczQwLkF0bGFzQ29tbW9uLlR5cGUuRmllbGRPdXRwdXRGaWVsZAIAAAAJZwEAAA0DB7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n/P//PP3//wEm/P//O/3//xAAAAAJyQIAAAEk/P//PP3//wEj/P//O/3//wkAAAAJCAAAAAEh/P//PP3//wEg/P//O/3//wsAAAAG4QMAAAE4AR78//88/f//AR38//87/f//BAAAAAbkAwAAB0dlbmVyYWwBG/z//zz9//8BGvz//zv9//8CAAAABucDAAABMQEY/P//PP3//wEX/P//O/3//wAAAAAG6gMAAAIxMQe0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8//8n/f//CdoCAAAJ2wIAAAES/P//J/3//wndAgAACdsCAAABD/z//yf9//8J4AIAAAbzAwAABS00MTQyAQz8//8n/f//CeMCAAAG9gMAAAdDYWxpYnJpAQn8//8n/f//CeYCAAAG+QMAAAEwAQb8//8n/f//CekCAAAG/AMAAAIxMQED/P//J/3//wnsAgAABv8DAAAHUmVndWxhcge1AQAAAAEAAAAEAAAABDdHbG9iZVNvZnR3YXJlLkF0bGFzNDAuQXRsYXNDb21tb24uVHlwZS5GaWVsZE91dHB1dEZpZWxkAgAAAAlqAQAADQMBtgEAAIoBAAAHt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/7//88/f//Af77//87/f//CQAAAAkIAAAAAfz7//88/f//Afv7//87/f//CwAAAAYGBAAAATkB+fv//zz9//8B+Pv//zv9//8EAAAABgkEAAAHR2VuZXJhbAH2+///PP3//wH1+///O/3//wIAAAAGDAQAAAExAfP7//88/f//AfL7//87/f//AAAAAAYPBAAABDYuNDMBuAEAABIAAAAHu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+///J/3//wYRBAAACEZvbnRCb2xkCdsCAAAB7fv//yf9//8GFAQAAApGb250SXRhbGljCdsCAAAB6vv//yf9//8GFwQAAA1Gb250VW5kZXJsaW5lBhgEAAAFLTQxNDIB5/v//yf9//8GGgQAAAhGb250TmFtZQYbBAAAB0NhbGlicmkB5Pv//yf9//8GHQQAAAlGb250Q29sb3IGHgQAAAEwAeH7//8n/f//BiAEAAAIRm9udFNpemUGIQQAAAIxMQHe+///J/3//wYjBAAACUZvbnRTdHlsZQYkBAAAB1JlZ3VsYXIHugEAAAABAAAABAAAAAQ3R2xvYmVTb2Z0d2FyZS5BdGxhczQwLkF0bGFzQ29tbW9uLlR5cGUuRmllbGRPdXRwdXRGaWVsZAIAAAAJbQEAAA0DB7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a+///PP3//wHZ+///O/3//xAAAAAJyQIAAAHX+///PP3//wHW+///O/3//wkAAAAJCAAAAAHU+///PP3//wHT+///O/3//wsAAAAGLgQAAAIxMAHR+///PP3//wHQ+///O/3//wQAAAAGMQQAAAdHZW5lcmFsAc77//88/f//Ac37//87/f//AgAAAAY0BAAAATEBy/v//zz9//8Byvv//zv9//8AAAAABjcEAAAFMTEuMjkHv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+///J/3//wnaAgAACdsCAAABxfv//yf9//8J3QIAAAnbAgAAAcL7//8n/f//CeACAAAGQAQAAAUtNDE0MgG/+///J/3//wnjAgAABkMEAAAHQ2FsaWJyaQG8+///J/3//wnmAgAABkYEAAABMAG5+///J/3//wnpAgAABkkEAAACMTEBtvv//yf9//8J7AIAAAZMBAAAB1JlZ3VsYXIHvwEAAAABAAAABAAAAAQ3R2xvYmVTb2Z0d2FyZS5BdGxhczQwLkF0bGFzQ29tbW9uLlR5cGUuRmllbGRPdXRwdXRGaWVsZAIAAAAJcAEAAA0DB8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+///PP3//wGx+///O/3//xAAAAAJyQIAAAGv+///PP3//wGu+///O/3//wkAAAAJCAAAAAGs+///PP3//wGr+///O/3//wsAAAAGVgQAAAIxMQGp+///PP3//wGo+///O/3//wQAAAAGWQQAAAdHZW5lcmFsAab7//88/f//AaX7//87/f//AgAAAAZcBAAAATEBo/v//zz9//8Bovv//zv9//8AAAAABl8EAAAFMTMuMTQHw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+///J/3//wnaAgAACdsCAAABnfv//yf9//8J3QIAAAnbAgAAAZr7//8n/f//CeACAAAGaAQAAAUtNDE0MgGX+///J/3//wnjAgAABmsEAAAHQ2FsaWJyaQGU+///J/3//wnmAgAABm4EAAABMAGR+///J/3//wnpAgAABnEEAAACMTEBjvv//yf9//8J7AIAAAZ0BAAAB1JlZ3VsYXIHxAEAAAABAAAABAAAAAQ3R2xvYmVTb2Z0d2FyZS5BdGxhczQwLkF0bGFzQ29tbW9uLlR5cGUuRmllbGRPdXRwdXRGaWVsZAIAAAAJcwEAAA0DB8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K+///PP3//wGJ+///O/3//xAAAAAJyQIAAAGH+///PP3//wGG+///O/3//wkAAAAJCAAAAAGE+///PP3//wGD+///O/3//wsAAAAGfgQAAAIxMgGB+///PP3//wGA+///O/3//wQAAAAGgQQAAAdHZW5lcmFsAX77//88/f//AX37//87/f//AgAAAAaEBAAAATEBe/v//zz9//8Bevv//zv9//8AAAAABocEAAAFMTAuNDMHy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4+///J/3//wnaAgAACdsCAAABdfv//yf9//8J3QIAAAnbAgAAAXL7//8n/f//CeACAAAGkAQAAAUtNDE0MgFv+///J/3//wnjAgAABpMEAAAHQ2FsaWJyaQFs+///J/3//wnmAgAABpYEAAABMAFp+///J/3//wnpAgAABpkEAAACMTEBZvv//yf9//8J7AIAAAacBAAAB1JlZ3VsYXIHyQEAAAABAAAABAAAAAQ3R2xvYmVTb2Z0d2FyZS5BdGxhczQwLkF0bGFzQ29tbW9uLlR5cGUuRmllbGRPdXRwdXRGaWVsZAIAAAAJdgEAAA0DB8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i+///PP3//wFh+///O/3//xAAAAAJyQIAAAFf+///PP3//wFe+///O/3//wkAAAAJCAAAAAFc+///PP3//wFb+///O/3//wsAAAAGpgQAAAIxMwFZ+///PP3//wFY+///O/3//wQAAAAGqQQAAAdHZW5lcmFsAVb7//88/f//AVX7//87/f//AgAAAAasBAAAATEBU/v//zz9//8BUvv//zv9//8AAAAABq8EAAACMTIHz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+///J/3//wnaAgAACdsCAAABTfv//yf9//8J3QIAAAnbAgAAAUr7//8n/f//CeACAAAGuAQAAAUtNDE0MgFH+///J/3//wnjAgAABrsEAAAHQ2FsaWJyaQFE+///J/3//wnmAgAABr4EAAABMAFB+///J/3//wnpAgAABsEEAAACMTEBPvv//yf9//8J7AIAAAbEBAAAB1JlZ3VsYXIH0AE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v7//88/f//ATr7//87/f//JAAAAAk6AQAAATj7//88/f//ATf7//87/f//CwAAAAbKBAAAAjE0B9QB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1+///PP3//wE0+///O/3//yQAAAAJRwEAAAEy+///PP3//wEx+///O/3//wsAAAAG0AQAAAIxNQHZAQAADgAAAGcBAAAG0QQAAAlTYWxlc0xpbmUG0gQAAAtPcmRlciBsaW5lcwkIAAAACQgAAAAJCAAAAAEs+///4P///wAAAAAJ1QQAAAnWBAAAASn7///d////zeBcctW44kaSIPlP8BYN3QkIAAAACQgAAAAJ2QQAAAncAQAACgoKCgoBAAAAASX7///Z////AAAAAAEk+///2P///wAAAAAACd0EAAAE4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YwBAAADAAAACd8EAAAB5wEAAA4AAAD/////BuAEAAAJU2FsZXNMaW5lBuEEAAALT3JkZXIgbGluZXMJCAAAAAkIAAAACQgAAAABHfv//+D///8AAAAACeQEAAAJ5QQAAAEa+///3f///6paYT+BDR1MjXjj+KDugakJCAAAAAkIAAAACegEAAAJ6gEAAAoKCgoKAQAAAAEW+///2f///wAAAAABFfv//9j///8AAAAAAAnsBAAABP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AAAAAmRAQAAAwAAAAnuBAAAAfUBAAAOAAAA/////wbvBAAACVNhbGVzTGluZQbwBAAAC09yZGVyIGxpbmVzCQgAAAAJCAAAAAkIAAAAAQ77///g////AAAAAAnzBAAACfQEAAABC/v//93///9xTLcqynoZT5W2HW51gVFbCQgAAAAJCAAAAAn3BAAACfgBAAAKCgoKCgEAAAABB/v//9n///8AAAAAAQb7///Y////AAAAAAAJ+wQAAAT+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YAAAAJkQEAAAMAAAAJ/QQAAAEDAgAADgAAAP////8G/gQAAAlTYWxlc0xpbmUG/wQAAAtPcmRlciBsaW5lcwkIAAAACQgAAAAJCAAAAAH/+v//4P///wAAAAAJAgUAAAkDBQAAAfz6///d////kLMMjelZMk+y+KfwWzttlAkIAAAACQgAAAAJBgUAAAkGAgAACgoKCgoBAAAAAfj6///Z////AAAAAAH3+v//2P///wAAAAAACQoFAAAED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ZsBAAADAAAACQwFAAAEG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YwBAAADAAAACQ4FAAABHwIAAA4AAAD/////Bg8FAAAJU2FsZXNMaW5lBhAFAAALT3JkZXIgbGluZXMJCAAAAAkIAAAACQgAAAAB7vr//+D///8AAAAACRMFAAAJFAUAAAHr+v//3f///2nxVOn/uExIpGxbVBahT9UJCAAAAAkIAAAACRcFAAAJIgIAAAoKCgoKAQAAAAHn+v//2f///wAAAAAB5vr//9j///8AAAAAAAkbBQAABC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AAAAAmlAQAAAwAAAAkdBQAAAS0CAAAOAAAA/////wYeBQAACVNhbGVzTGluZQYfBQAAC09yZGVyIGxpbmVzCQgAAAAJCAAAAAkIAAAAAd/6///g////AAAAAAkiBQAACSMFAAAB3Pr//93///+XG6bAsm65Tbvn70IHvAyyCQgAAAAJCAAAAAkmBQAACTACAAAKCgoKCgEAAAAB2Pr//9n///8AAAAAAdf6///Y////AAAAAAAJKgUAAAQ2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rgEAAAMAAAAJLAUAAARE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EAAAAJjAEAAAMAAAAJLgUAAAFJAgAADgAAAP////8GLwUAAAlTYWxlc0xpbmUGMAUAAAtPcmRlciBsaW5lcwkIAAAACQgAAAAJCAAAAAHO+v//4P///wAAAAAJMwUAAAk0BQAAAcv6///d////gHR97JaJ4EmNenRhXjB/KgkIAAAACQgAAAAJNwUAAAlMAgAACgoKCgoBAAAAAcf6///Z////AAAAAAHG+v//2P///wAAAAAACTsFAAAEU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bgBAAADAAAACT0FAAAEY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YwBAAADAAAACT8FAAAEb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YwBAAADAAAACUEFAAAEf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YwBAAADAAAACUMFAAAEi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YwBAAADAAAACUUFAAAEk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UYFAAADAAAACUcFAAAEn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UYFAAADAAAACUkFAAAEp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UYFAAADAAAACUsFAAAEr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UYFAAADAAAACU0FAAAEt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UYFAAADAAAACU8FAAAEw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100AAAACUYFAAADAAAACVEFAAAB1QQAACEAAAAHAAAACVIFAAAHAAAACVMFAAAE1g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SBQAAAAAAAATZ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UgUAAAAAAAAB3QQAACkAAAAAAAAACVUFAAAAAAAAB98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r//yf9//8GVwUAAAhIZWxwVGV4dAZYBQAANlNwZWNpZnkgdGhlIG9yZGVyIG51bWJlciB0aGF0IHRoZSBsaW5lIGlzIGF0dGFjaGVkIHRvLgGn+v//J/3//wZaBQAABUxhYmVsCdgBAAABpPr//yf9//8GXQUAAARUeXBlCdcBAAAB5AQAACEAAAAIAAAACV8FAAARAAAACWAFAAAB5QQAACIAAAAGAAAACUYFAAAHAAAACWIFAAAE6A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8FAAAAAAAAAewEAAApAAAAAAAAAAlkBQAAAAAAAAfu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6//8n/f//BmYFAAAFTGFiZWwJ5gEAAAGY+v//J/3//wZpBQAABFR5cGUJ5QEAAAHzBAAAIQAAAAkAAAAJawUAABEAAAAJbAUAAAH0BAAAIgAAAAYAAAAJkQEAAAcAAAAJbgUAAAT3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awUAAAAAAAAB+wQAACkAAAAAAAAACXAFAAAAAAAAB/0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r//yf9//8JZgUAAAn0AQAAAYz6//8n/f//CWkFAAAJ8wEAAAECBQAAIQAAAAsAAAAJdwUAABEAAAAJeAUAAAEDBQAAIgAAAAYAAAAJkQEAAAcAAAAJegUAAAQG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dwUAAAAAAAABCgUAACkAAAAAAAAACXwFAAAAAAAABww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/r//yf9//8GfgUAAAVMYWJlbAkCAgAAAYD6//8n/f//BoEFAAAEVHlwZQkBAgAABw4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r//yf9//8JVwUAAAaFBQAAGUl0ZW0gbnVtYmVyIGluIG9yZGVyIGxpbmUBevr//yf9//8JWgUAAAkQAgAAAXf6//8n/f//CV0FAAAJDwIAAAETBQAAIQAAAAsAAAAJjAUAABEAAAAJjQUAAAEUBQAAIgAAAAYAAAAJjgUAAAcAAAAJjwUAAAQX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AUAAAAAAAABGwUAACkAAAAAAAAACZEFAAAAAAAABx0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r//yf9//8GkwUAAAVMYWJlbAkeAgAAAWv6//8n/f//BpYFAAAEVHlwZQkdAgAAASIFAAAhAAAADAAAAAmYBQAAEQAAAAmZBQAAASMFAAAiAAAABgAAAAmlAQAABwAAAAmbBQAABCY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YBQAAAAAAAAEqBQAAKQAAAAAAAAAJnQUAAAAAAAAHL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+v//J/3//wafBQAABUxhYmVsCSwCAAABX/r//yf9//8GogUAAARUeXBlCSsCAAAHL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c+v//J/3//wlXBQAABqYFAAAiUXVhbnRpdHkgb3JkZXJlZCBpbiB0aGUgc2FsZXMgdW5pdAFZ+v//J/3//wlaBQAACToCAAABVvr//yf9//8JXQUAAAk5AgAAATMFAAAhAAAADQAAAAmtBQAAEQAAAAmuBQAAATQFAAAiAAAABgAAAAmuAQAABwAAAAmwBQAABDc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tBQAAAAAAAAE7BQAAKQAAAAAAAAAJsgUAAAAAAAAHP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+v//J/3//wa0BQAABUxhYmVsCUgCAAABSvr//yf9//8GtwUAAARUeXBlCUcCAAAHP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+v//J/3//wlXBQAABrsFAAAiU2FsZXMgcHJpY2Ugb2YgbGluZSBwZXIgcHJpY2UgdW5pdAFE+v//J/3//wlaBQAACVYCAAABQfr//yf9//8JXQUAAAlVAgAAB0E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r//yf9//8JVwUAAAbEBQAAKlNhbGVzIGFtb3VudCBvZiB0aGUgbGluZSAoaW5jbC4gZGlzY291bnQpLgE7+v//J/3//wlaBQAACWQCAAABOPr//yf9//8JXQUAAAljAgAAB0M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r//yf9//8JVwUAAAbNBQAAIEN1cnJlbmN5IHRoZSBsaW5lIGlzIGludm9pY2VkIGluATL6//8n/f//CVoFAAAJcgIAAAEv+v//J/3//wldBQAACXECAAAHR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s+v//J/3//wlXBQAABtYFAAAxTGluZSBzdGF0dXMgd2l0aCByZWdhcmQgdG8gZGVsaXZlcnkgYW5kIGludm9pY2luZwEp+v//J/3//wlaBQAACYACAAABJvr//yf9//8JXQUAAAl/AgAAAUYFAAASAAAAB0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r//yf9//8G3gUAAARUeXBlCQ8CAAABIPr//yf9//8G4QUAAAVMYWJlbAkQAgAAAR36//8n/f//BuQFAAAIUmVmZXJzVG8G5QUAAAs9SXRlbU51bWJlcgdJ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6//8n/f//Cd4FAAAJHQIAAAEX+v//J/3//wnhBQAACR4CAAABFPr//yf9//8J5AUAAAbuBQAACz1EYXRlUGVyaW9kB0s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r//yf9//8J3gUAAAnlAQAAAQ76//8n/f//CeEFAAAJ5gEAAAEL+v//J/3//wnkBQAABvcFAAAKPUN1c3RHcm91cAdN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j6//8n/f//Cd4FAAAG+gUAAAZTdHJpbmcBBfr//yf9//8J4QUAAAb9BQAAFkRldGFpbCBNYXJrZXRpbmcgR3JvdXABAvr//yf9//8J5AUAAAYABgAABD1ETUcHT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/+f//J/3//wneBQAACfoFAAAB/Pn//yf9//8J4QUAAAYGBgAAFU1ham9yIE1hcmtldGluZyBHcm91cAH5+f//J/3//wnkBQAABgkGAAAEPU1NRwdR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b5//8n/f//Cd4FAAAJfwIAAAHz+f//J/3//wnhBQAACYACAAABUgUAABIAAAAHUwU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8Pn//7D+//8GEQYAABdUYWJsZS5TYWxlc0xpbmUuU2FsZXNJZAlSAQAAAe35//+w/v//BhQGAAAWVGFibGUuU2FsZXNMaW5lLkl0ZW1JZAleAQAAAer5//+w/v//BhcGAAAYVGFibGUuU2FsZXNMaW5lLlNhbGVzUXR5CWcBAAAB5/n//7D+//8GGgYAABpUYWJsZS5TYWxlc0xpbmUuU2FsZXNQcmljZQltAQAAAeT5//+w/v//Bh0GAAAaVGFibGUuU2FsZXNMaW5lLkxpbmVBbW91bnQJcAEAAAHh+f//sP7//wYgBgAAHFRhYmxlLlNhbGVzTGluZS5DdXJyZW5jeUNvZGUJcwEAAAHe+f//sP7//wYjBgAAG1RhYmxlLlNhbGVzTGluZS5TYWxlc1N0YXR1cwl2AQAAAVUFAAByAAAAAV8FAAASAAAAB2AF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v5//+w/v//BiYGAAAXVGFibGUuU2FsZXNMaW5lLlNhbGVzSWQJUgEAAAHY+f//sP7//wYpBgAAFlRhYmxlLlNhbGVzTGluZS5JdGVtSWQJXgEAAAHV+f//sP7//wYsBgAAGFRhYmxlLlNhbGVzTGluZS5TYWxlc1F0eQlnAQAAAdL5//+w/v//Bi8GAAAaVGFibGUuU2FsZXNMaW5lLlNhbGVzUHJpY2UJbQEAAAHP+f//sP7//wYyBgAAGlRhYmxlLlNhbGVzTGluZS5MaW5lQW1vdW50CXABAAABzPn//7D+//8GNQYAABxUYWJsZS5TYWxlc0xpbmUuQ3VycmVuY3lDb2RlCXMBAAAByfn//7D+//8GOAYAABtUYWJsZS5TYWxlc0xpbmUuU2FsZXNTdGF0dXMJdgEAAAHG+f//sP7//wY7BgAAGVRhYmxlLlNhbGVzTGluZS5DdXN0R3JvdXAJVQEAAAdiBQAAAAEAAAAG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/n//4n+//8GPgYAABZUYWJsZS5TYWxlc0xpbmUuSXRlbUlkCXkBAAABwPn//4n+//8GQQYAAB9UYWJsZS5TYWxlc0xpbmUuQ3JlYXRlZERhdGVUaW1lCXwBAAABvfn//4n+//8GRAYAABlUYWJsZS5TYWxlc0xpbmUuQ3VzdEdyb3VwCX8BAAABuvn//4n+//8GRwYAABxUYWJsZS5TYWxlc0xpbmUuRGltZW5zaW9uWzhdCYIBAAABt/n//4n+//8GSgYAABxUYWJsZS5TYWxlc0xpbmUuRGltZW5zaW9uWzddCYUBAAABtPn//4n+//8GTQYAABtUYWJsZS5TYWxlc0xpbmUuU2FsZXNTdGF0dXMJiAEAAAFkBQAAcgAAAAFrBQAAEgAAAAdsBQ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x+f//sP7//wZQBgAAF1RhYmxlLlNhbGVzTGluZS5TYWxlc0lkCVIBAAABrvn//7D+//8GUwYAABlUYWJsZS5TYWxlc0xpbmUuQ3VzdEdyb3VwCVUBAAABq/n//7D+//8GVgYAABZUYWJsZS5TYWxlc0xpbmUuSXRlbUlkCV4BAAABqPn//7D+//8GWQYAABhUYWJsZS5TYWxlc0xpbmUuU2FsZXNRdHkJZwEAAAGl+f//sP7//wZcBgAAGlRhYmxlLlNhbGVzTGluZS5TYWxlc1ByaWNlCW0BAAABovn//7D+//8GXwYAABpUYWJsZS5TYWxlc0xpbmUuTGluZUFtb3VudAlwAQAAAZ/5//+w/v//BmIGAAAcVGFibGUuU2FsZXNMaW5lLkN1cnJlbmN5Q29kZQlzAQAAAZz5//+w/v//BmUGAAAbVGFibGUuU2FsZXNMaW5lLlNhbGVzU3RhdHVzCXYBAAABmfn//7D+//8GaAYAABtUYWJsZS5TYWxlc0xpbmUuQ3VzdEFjY291bnQJWAEAAAduBQAAAAEAAAAG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lvn//4n+//8GawYAABZUYWJsZS5TYWxlc0xpbmUuSXRlbUlkCXkBAAABk/n//4n+//8GbgYAAB9UYWJsZS5TYWxlc0xpbmUuQ3JlYXRlZERhdGVUaW1lCXwBAAABkPn//4n+//8GcQYAABlUYWJsZS5TYWxlc0xpbmUuQ3VzdEdyb3VwCX8BAAABjfn//4n+//8GdAYAABxUYWJsZS5TYWxlc0xpbmUuRGltZW5zaW9uWzhdCYIBAAABivn//4n+//8GdwYAABxUYWJsZS5TYWxlc0xpbmUuRGltZW5zaW9uWzddCYUBAAABh/n//4n+//8GegYAABtUYWJsZS5TYWxlc0xpbmUuU2FsZXNTdGF0dXMJiAEAAAFwBQAAcgAAAAF3BQAAEgAAAAd4BQ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E+f//sP7//wZ9BgAAF1RhYmxlLlNhbGVzTGluZS5TYWxlc0lkCVIBAAABgfn//7D+//8GgAYAABlUYWJsZS5TYWxlc0xpbmUuQ3VzdEdyb3VwCVUBAAABfvn//7D+//8GgwYAABtUYWJsZS5TYWxlc0xpbmUuQ3VzdEFjY291bnQJWAEAAAF7+f//sP7//waGBgAAFlRhYmxlLlNhbGVzTGluZS5JdGVtSWQJXgEAAAF4+f//sP7//waJBgAAGFRhYmxlLlNhbGVzTGluZS5TYWxlc1F0eQlnAQAAAXX5//+w/v//BowGAAAaVGFibGUuU2FsZXNMaW5lLlNhbGVzUHJpY2UJbQEAAAFy+f//sP7//waPBgAAGlRhYmxlLlNhbGVzTGluZS5MaW5lQW1vdW50CXABAAABb/n//7D+//8GkgYAABxUYWJsZS5TYWxlc0xpbmUuQ3VycmVuY3lDb2RlCXMBAAABbPn//7D+//8GlQYAABtUYWJsZS5TYWxlc0xpbmUuU2FsZXNTdGF0dXMJdgEAAAFp+f//sP7//waYBgAAJ1RhYmxlLlNhbGVzTGluZS5EZWxpdmVyeUNvdW50cnlSZWdpb25JZAlbAQAAAWb5//+w/v//BpsGAAAnVGFibGUuU2FsZXNMaW5lLk9yaWdDb3VudHJ5UmVnaW9uSWRfc3N0CZwGAAAHegU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P5//+J/v//Bp4GAAAWVGFibGUuU2FsZXNMaW5lLkl0ZW1JZAl5AQAAAWD5//+J/v//BqEGAAAfVGFibGUuU2FsZXNMaW5lLkNyZWF0ZWREYXRlVGltZQl8AQAAAV35//+J/v//BqQGAAAZVGFibGUuU2FsZXNMaW5lLkN1c3RHcm91cAl/AQAAAVr5//+J/v//BqcGAAAcVGFibGUuU2FsZXNMaW5lLkRpbWVuc2lvbls4XQmCAQAAAVf5//+J/v//BqoGAAAcVGFibGUuU2FsZXNMaW5lLkRpbWVuc2lvbls3XQmFAQAAAVT5//+J/v//Bq0GAAAbVGFibGUuU2FsZXNMaW5lLlNhbGVzU3RhdHVzCYgBAAABfAUAAHIAAAABjAUAABIAAAAHjQU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fn//7D+//8GsAYAABdUYWJsZS5TYWxlc0xpbmUuU2FsZXNJZAlSAQAAAU75//+w/v//BrMGAAAZVGFibGUuU2FsZXNMaW5lLkN1c3RHcm91cAlVAQAAAUv5//+w/v//BrYGAAAbVGFibGUuU2FsZXNMaW5lLkN1c3RBY2NvdW50CVgBAAABSPn//7D+//8GuQYAACdUYWJsZS5TYWxlc0xpbmUuRGVsaXZlcnlDb3VudHJ5UmVnaW9uSWQJWwEAAAFF+f//sP7//wa8BgAAFlRhYmxlLlNhbGVzTGluZS5JdGVtSWQJXgEAAAFC+f//sP7//wa/BgAAGFRhYmxlLlNhbGVzTGluZS5TYWxlc1F0eQlnAQAAAT/5//+w/v//BsIGAAAaVGFibGUuU2FsZXNMaW5lLlNhbGVzUHJpY2UJbQEAAAE8+f//sP7//wbFBgAAGlRhYmxlLlNhbGVzTGluZS5MaW5lQW1vdW50CXABAAABOfn//7D+//8GyAYAABxUYWJsZS5TYWxlc0xpbmUuQ3VycmVuY3lDb2RlCXMBAAABNvn//7D+//8GywYAABtUYWJsZS5TYWxlc0xpbmUuU2FsZXNTdGF0dXMJdgEAAAEz+f//sP7//wbOBgAAH1RhYmxlLlNhbGVzTGluZS5DcmVhdGVkRGF0ZVRpbWUJYQEAAAGOBQAAEgAAAAePBQAAAAEAAAAG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MPn//4n+//8G0QYAABZUYWJsZS5TYWxlc0xpbmUuSXRlbUlkCXkBAAABLfn//4n+//8G1AYAAB9UYWJsZS5TYWxlc0xpbmUuQ3JlYXRlZERhdGVUaW1lCXwBAAABKvn//4n+//8G1wYAABlUYWJsZS5TYWxlc0xpbmUuQ3VzdEdyb3VwCX8BAAABJ/n//4n+//8G2gYAABxUYWJsZS5TYWxlc0xpbmUuRGltZW5zaW9uWzhdCYIBAAABJPn//4n+//8G3QYAABxUYWJsZS5TYWxlc0xpbmUuRGltZW5zaW9uWzddCYUBAAABIfn//4n+//8G4AYAABtUYWJsZS5TYWxlc0xpbmUuU2FsZXNTdGF0dXMJiAEAAAGRBQAAcgAAAAGYBQAAEgAAAAeZBQ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e+f//sP7//wbjBgAAF1RhYmxlLlNhbGVzTGluZS5TYWxlc0lkCVIBAAABG/n//7D+//8G5gYAABlUYWJsZS5TYWxlc0xpbmUuQ3VzdEdyb3VwCVUBAAABGPn//7D+//8G6QYAABtUYWJsZS5TYWxlc0xpbmUuQ3VzdEFjY291bnQJWAEAAAEV+f//sP7//wbsBgAAJ1RhYmxlLlNhbGVzTGluZS5EZWxpdmVyeUNvdW50cnlSZWdpb25JZAlbAQAAARL5//+w/v//Bu8GAAAWVGFibGUuU2FsZXNMaW5lLkl0ZW1JZAleAQAAAQ/5//+w/v//BvIGAAAfVGFibGUuU2FsZXNMaW5lLkNyZWF0ZWREYXRlVGltZQlhAQAAAQz5//+w/v//BvUGAAAYVGFibGUuU2FsZXNMaW5lLlNhbGVzUXR5CWcBAAABCfn//7D+//8G+AYAABpUYWJsZS5TYWxlc0xpbmUuU2FsZXNQcmljZQltAQAAAQb5//+w/v//BvsGAAAaVGFibGUuU2FsZXNMaW5lLkxpbmVBbW91bnQJcAEAAAED+f//sP7//wb+BgAAHFRhYmxlLlNhbGVzTGluZS5DdXJyZW5jeUNvZGUJcwEAAAEA+f//sP7//wYBBwAAG1RhYmxlLlNhbGVzTGluZS5TYWxlc1N0YXR1cwl2AQAAAf34//+w/v//BgQHAAAdVGFibGUuU2FsZXNMaW5lLkludmVudFRyYW5zSWQJZAEAAAebBQAAAAEAAAAG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+vj//4n+//8GBwcAABZUYWJsZS5TYWxlc0xpbmUuSXRlbUlkCXkBAAAB9/j//4n+//8GCgcAAB9UYWJsZS5TYWxlc0xpbmUuQ3JlYXRlZERhdGVUaW1lCXwBAAAB9Pj//4n+//8GDQcAABlUYWJsZS5TYWxlc0xpbmUuQ3VzdEdyb3VwCX8BAAAB8fj//4n+//8GEAcAABxUYWJsZS5TYWxlc0xpbmUuRGltZW5zaW9uWzhdCYIBAAAB7vj//4n+//8GEwcAABxUYWJsZS5TYWxlc0xpbmUuRGltZW5zaW9uWzddCYUBAAAB6/j//4n+//8GFgcAABtUYWJsZS5TYWxlc0xpbmUuU2FsZXNTdGF0dXMJiAEAAAGdBQAAcgAAAAGtBQAAEgAAAAeuBQ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o+P//sP7//wYZBwAAF1RhYmxlLlNhbGVzTGluZS5TYWxlc0lkCVIBAAAB5fj//7D+//8GHAcAABlUYWJsZS5TYWxlc0xpbmUuQ3VzdEdyb3VwCVUBAAAB4vj//7D+//8GHwcAABtUYWJsZS5TYWxlc0xpbmUuQ3VzdEFjY291bnQJWAEAAAHf+P//sP7//wYiBwAAJ1RhYmxlLlNhbGVzTGluZS5EZWxpdmVyeUNvdW50cnlSZWdpb25JZAlbAQAAAdz4//+w/v//BiUHAAAWVGFibGUuU2FsZXNMaW5lLkl0ZW1JZAleAQAAAdn4//+w/v//BigHAAAfVGFibGUuU2FsZXNMaW5lLkNyZWF0ZWREYXRlVGltZQlhAQAAAdb4//+w/v//BisHAAAdVGFibGUuU2FsZXNMaW5lLkludmVudFRyYW5zSWQJZAEAAAHT+P//sP7//wYuBwAAGFRhYmxlLlNhbGVzTGluZS5TYWxlc1F0eQlnAQAAAdD4//+w/v//BjEHAAAaVGFibGUuU2FsZXNMaW5lLlNhbGVzUHJpY2UJbQEAAAHN+P//sP7//wY0BwAAGlRhYmxlLlNhbGVzTGluZS5MaW5lQW1vdW50CXABAAAByvj//7D+//8GNwcAABxUYWJsZS5TYWxlc0xpbmUuQ3VycmVuY3lDb2RlCXMBAAABx/j//7D+//8GOgcAABtUYWJsZS5TYWxlc0xpbmUuU2FsZXNTdGF0dXMJdgEAAAHE+P//sP7//wY9BwAAGVRhYmxlLlNhbGVzTGluZS5TYWxlc1VuaXQJagEAAAewBQAAAAEAAAAG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fj//4n+//8GQAcAABZUYWJsZS5TYWxlc0xpbmUuSXRlbUlkCXkBAAABvvj//4n+//8GQwcAAB9UYWJsZS5TYWxlc0xpbmUuQ3JlYXRlZERhdGVUaW1lCXwBAAABu/j//4n+//8GRgcAABlUYWJsZS5TYWxlc0xpbmUuQ3VzdEdyb3VwCX8BAAABuPj//4n+//8GSQcAABxUYWJsZS5TYWxlc0xpbmUuRGltZW5zaW9uWzhdCYIBAAABtfj//4n+//8GTAcAABxUYWJsZS5TYWxlc0xpbmUuRGltZW5zaW9uWzddCYUBAAABsvj//4n+//8GTwcAABtUYWJsZS5TYWxlc0xpbmUuU2FsZXNTdGF0dXMJiAEAAAGyBQAAcgAAAAGcBgAAUgEAAAGv+P//hf////////8ABlIHAAAGU3RyaW5nBlMHAAAOQ291bnRyeS9yZWdpb24JAwIAAAGr+P//g////wIAAAABqvj//yX+//8BAAAAAAAJBgIAAAZYBwAAF09yaWdDb3VudHJ5UmVnaW9uSWRfc3N0CQgAAAAK/////wkGAgAACglYBwAACgoKCQgAAAAJXQcAAAkIAAAABF0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gAAAAmbAQAAAwAAAAlgBwAAB2A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/j//yf9//8JfgUAAAlTBwAAAZz4//8n/f//CYEFAAAJUgcAAAs=
    <Output>
      <OutputObject name="AtlasReport_5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FAAAAB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0DDBk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QAAAAgCAAAABhoAAAAVQXRsYXNSZXBvcnRfMV9UYWJsZV8xCRs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kAAAAICAkcAAAABgAAAAY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QAAAAkeAAAACR8AAAAGIAAAAA1QYWNraW5nU2xpcElkBiEAAAAMUGFja2luZyBzbGlwBiIAAAAGU3RyaW5nBiMAAAAABiQAAAAkNzM3MjAyOTYtM2I4Ny00ZDdjLTgzYTQtODY4MmFkYTE0OGE3Bdv///8tR2xvYmVTb2Z0d2FyZS5BdGxhczQwLkF0bGFzQ29tbW9uLkFnZ3JlZ2F0aW9uAQAAAAd2YWx1ZV9fAAgOAAAA/////wAAAAAF2v///yxHbG9iZVNvZnR3YXJlLkF0bGFzNDAuQXRsYXNDb21tb24uQ29sdW1uVHlwZQEAAAAHdmFsdWVfXwAIDgAAAAAAAAAF2f///ytHbG9iZVNvZnR3YXJlLkF0bGFzNDAuQXRsYXNDb21tb24uU29ydE9yZGVyAQAAAAd2YWx1ZV9fAAgOAAAAAgAAAAAAAAAABdj///9AR2xvYmVTb2Z0d2FyZS5BdGxhczQwLkF0bGFzQ29tbW9uLlR5cGUuQ29sdW1uK0Nyb3NzVGFiQ29sdW1uVHlwZQEAAAAHdmFsdWVfXwAIDgAAAAAAAAAKAQAAAAAAAAAAAAAAAAAGKQAAACQ5ODY0MGYwZi1mZjdhLTQxNTAtOThlZC02ZjA5Mjc2YzY2NjUJIwAAAAoKCgoBFQAAABQAAAAJKwAAAAksAAAACS0AAAAGLgAAAAZJdGVtSWQGLwAAAARJdGVtBjAAAAAGU3RyaW5nCSMAAAAGMgAAACQwNDU2NDIyMi1kMmE2LTRlN2ItOGU1My01N2JhMWE3YjJmMjMBzf///9v/////////AQAAAAHM////2v///wAAAAABy////9n///8CAAAAAAAAAAAByv///9j///8AAAAACgEAAAAAAAAAAAEAAAAABjcAAAAkNjQwMWE2NWMtYWNkMi00OWI0LWIzNGQtMDgzNDM0OTI4ODlhCSMAAAAKCgoKARYAAAAUAAAACTkAAAAJOgAAAAk7AAAABjwAAAADUXR5Bj0AAAAJRGVsaXZlcmVkBj4AAAAEUmVhbAkjAAAABkAAAAAkYjUyYWM1Y2MtODA5ZS00YmM0LTgzZjUtYWI0MTE0MjI1OWM0Ab/////b////AQAAAAIAAAABvv///9r///8AAAAAAb3////Z////AgAAAAAAAAAAAbz////Y////AAAAAAoBAAAAAAAAAAACAAAAAAZFAAAAJDNhZmY1ZDljLTNjNzUtNGU2NS04MThjLWFiMDkxODZmOGQwZAkjAAAACgoKCgEXAAAAFAAAAAlHAAAACUgAAAAJSQAAAAZKAAAAB09yZGVyZWQGSwAAAAdPcmRlcmVkBkwAAAAEUmVhbAkjAAAABk4AAAAkNjc2N2EyZmUtMWU4NS00YzI1LWI2ZDAtNTJhMmU3ODQ2MzJjAbH////b////AQAAAAMAAAABsP///9r///8AAAAAAa/////Z////AgAAAAAAAAAAAa7////Y////AAAAAAoBAAAAAAAAAAADAAAAAAZTAAAAJDU1NmMyNzNlLWJiMjktNGQxYy05NTkzLTNhMTVhZDhhZjQ5NwkjAAAACgoKCgEYAAAAFAAAAAlVAAAACVYAAAAJVwAAAAZYAAAABlJlbWFpbgZZAAAAElJlbWFpbmluZyBxdWFudGl0eQZaAAAABFJlYWwJIwAAAAZcAAAAJDI2ODZiNGZjLTBjOWQtNDNhZS1hOTdmLWFmODJhMzMwOWViZQGj////2////wEAAAAEAAAAAaL////a////AAAAAAGh////2f///wIAAAAAAAAAAAGg////2P///wAAAAAKAQAAAAAAAAAABAAAAAAGYQAAACQwODQ3YTIyYi0zOGE1LTQ3N2YtYmQ4Yi0yNDU4MzViNzczYzMJIwAAAAoKCgoFGwAAADhHbG9iZVNvZnR3YXJlLkF0bGFzNDAuQXRsYXNDb21tb25DbGllbnQuUmVwb3J0LlJlZmVyZW5jZQEAAAAKX3JlZmVyZW5jZQcIGQAAAAljAAAABxwAAAAAAQAAAAgAAAAEPEdsb2JlU29mdHdhcmUuQXRsYXM0MC5BdGxhc0NvbW1vbkNsaWVudC5EYXRhU291cmNlRmllbGRWYWx1ZRkAAAAJZAAAAAllAAAACWYAAAAJZwAAAAloAAAACWkAAAANAgQd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qAAAAAQAAAAEAAAAEH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FAAAACWsAAAAHAAAACWwAAAAEH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DAAAAAAAAAABKwAAAB0AAAAJbgAAAAEAAAABAAAAASwAAAAeAAAABAAAAAlrAAAAAwAAAAlwAAAAAS0AAAAfAAAAAAAAAAkMAAAAAAAAAAE5AAAAHQAAAAlyAAAAAQAAAAEAAAABOgAAAB4AAAAEAAAACWsAAAADAAAACXQAAAABOwAAAB8AAAAAAAAACQwAAAAAAAAAAUcAAAAdAAAACXYAAAABAAAAAQAAAAFIAAAAHgAAAAQAAAAJawAAAAMAAAAJeAAAAAFJAAAAHwAAAAAAAAAJDAAAAAAAAAABVQAAAB0AAAAJegAAAAEAAAABAAAAAVYAAAAeAAAABAAAAAlrAAAAAwAAAAl8AAAAAVcAAAAfAAAAAAAAAAkMAAAAAAAAAA9jAAAAAQAAAAgBAAAABWQAAAA8R2xvYmVTb2Z0d2FyZS5BdGxhczQwLkF0bGFzQ29tbW9uQ2xpZW50LkRhdGFTb3VyY2VGaWVsZFZhbHVlBAAAABJfaXNEcmlsbERvd25GaWx0ZXIGX2RzS2V5Cl9maWVsZG5hbWULX2ZpZWxkVmFsdWUAAQEBARkAAAAABn4AAAAaVGFibGUuQ3VzdFBhY2tpbmdTbGlwVHJhbnMGfwAAAApEYXRhQXJlYUlkCQYAAAABZQAAAGQAAAAACX4AAAAGggAAAAZJdGVtSWQGgwAAAAEqAWYAAABkAAAAAAl+AAAABoUAAAAMRGVsaXZlcnlEYXRlBoYAAAAVMS4xLjIwMjEgLi4gMi4yOC4yMDIxAWcAAABkAAAAAAl+AAAABogAAAAMRGltZW5zaW9uWzhdCSMAAAABaAAAAGQAAAAACX4AAAAGiwAAAAxEaW1lbnNpb25bN10GjAAAAAEqAWkAAABkAAAAAAaNAAAAM1RhYmxlLkN1c3RQYWNraW5nU2xpcFRyYW5zLlNhbGVzSWR+VGFibGUuU2FsZXNUYWJsZQaOAAAACUN1c3RHcm91cAaPAAAABCFJQyoHagAAAAABAAAABAAAAAQ3R2xvYmVTb2Z0d2FyZS5BdGxhczQwLkF0bGFzQ29tbW9uLlR5cGUuRmllbGRPdXRwdXRGaWVsZA4AAAAJkAAAAA0DBGs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2wAAAAAAQAAAAQ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v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W7///8yR2xvYmVTb2Z0d2FyZS5BdGxhczQwLkF0bGFzQ29tbW9uLkNvbHVtbkF0dHJpYnV0ZXMBAAAAB3ZhbHVlX18ACA4AAAAGAAAABpMAAAAFVG90YWwBbP///2////8Ba////27///8QAAAABpYAAAAETm9uZQFp////b////wFo////bv///wkAAAAJIwAAAAFm////b////wFl////bv///wsAAAAGnAAAAAEwB24AAAAAAQAAAAQAAAAEN0dsb2JlU29mdHdhcmUuQXRsYXM0MC5BdGxhc0NvbW1vbi5UeXBlLkZpZWxkT3V0cHV0RmllbGQOAAAACZ0AAAANAwdw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v///2////8BYf///27///8QAAAACZYAAAABX////2////8BXv///27///8JAAAACSMAAAABXP///2////8BW////27///8LAAAABqYAAAABMQdyAAAAAAEAAAAEAAAABDdHbG9iZVNvZnR3YXJlLkF0bGFzNDAuQXRsYXNDb21tb24uVHlwZS5GaWVsZE91dHB1dEZpZWxkDgAAAAmnAAAADQMHdA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j///9v////AVf///9u////EAAAAAmWAAAAAVX///9v////AVT///9u////CQAAAAkjAAAAAVL///9v////AVH///9u////CwAAAAawAAAAATIHdgAAAAABAAAABAAAAAQ3R2xvYmVTb2Z0d2FyZS5BdGxhczQwLkF0bGFzQ29tbW9uLlR5cGUuRmllbGRPdXRwdXRGaWVsZA4AAAAJsQAAAA0DB3g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////b////wFN////bv///xAAAAAJlgAAAAFL////b////wFK////bv///wkAAAAJIwAAAAFI////b////wFH////bv///wsAAAAGugAAAAEzB3oAAAAAAQAAAAQAAAAEN0dsb2JlU29mdHdhcmUuQXRsYXM0MC5BdGxhc0NvbW1vbi5UeXBlLkZpZWxkT3V0cHV0RmllbGQOAAAACbsAAAANAwd8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///2////8BQ////27///8QAAAACZYAAAABQf///2////8BQP///27///8JAAAACSMAAAABPv///2////8BPf///27///8LAAAABsQAAAABNAWQ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7////2/////////8ABsYAAAAGU3RyaW5nBscAAAAMUGFja2luZyBzbGlwCcgAAAABN////9n///8CAAAABTb///85R2xvYmVTb2Z0d2FyZS5BdGxhczQwLkF0bGFzQ29tbW9uLk51bWJlclNlcXVlbmNlQ29uZGl0aW9uAQAAAAd2YWx1ZV9fAAgOAAAAAQAAAAAABssAAAAaVGFibGUuQ3VzdFBhY2tpbmdTbGlwVHJhbnMJIAAAAAkjAAAACv////8JywAAAAoJIAAAAAoKCgkjAAAACdEAAAAJIwAAAAGdAAAAkAAAAAEt////2/////////8ABtQAAAAGU3RyaW5nBtUAAAAESXRlbQnIAAAAASn////Z////AgAAAAEo////Nv///wEAAAAAAAnLAAAACS4AAAAJIwAAAAr/////CcsAAAAKCS4AAAAKCgoJIwAAAAnfAAAACSMAAAABpwAAAJAAAAABH////9v/////////AAbiAAAABFJlYWwG4wAAAAlEZWxpdmVyZWQJyAAAAAEb////2f///wIAAAABGv///zb///8BAAAAAAAJywAAAAk8AAAACSMAAAAK/////wnLAAAACgk8AAAACgoKCSMAAAAJ7QAAAAkjAAAAAbEAAACQAAAAARH////b/////////wAG8AAAAARSZWFsBvEAAAAHT3JkZXJlZAnIAAAAAQ3////Z////AgAAAAEM////Nv///wEAAAAAAAnLAAAACUoAAAAJIwAAAAr/////CcsAAAAKCUoAAAAKCgoJIwAAAAn7AAAACSMAAAABuwAAAJAAAAABA////9v/////////AAb+AAAABFJlYWwG/wAAABJSZW1haW5pbmcgcXVhbnRpdHkJyAAAAAH//v//2f///wIAAAAB/v7//zb///8BAAAAAAAJywAAAAlYAAAACSMAAAAK/////wnLAAAACglYAAAACgoKCSMAAAAJCQEAAAkjAAAABcg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EgAAAAGCwEAABRDdXN0UGFja2luZ1NsaXBUcmFucwYMAQAAHUN1c3RvbWVyIC0gUGFja2luZyBzbGlwIGxpbmVzCSMAAAAJIwAAAAkjAAAABfL+//8wR2xvYmVTb2Z0d2FyZS5BdGxhczQwLkF0bGFzQ29tbW9uLkRhdGFTb3VyY2VUeXBlAQAAAAd2YWx1ZV9fAAgOAAAAAAAAAAkPAQAACRABAAAE7/7//wtTeXN0ZW0uR3VpZAsAAAACX2ECX2ICX2MCX2QCX2UCX2YCX2cCX2gCX2kCX2oCX2sAAAAAAAAAAAAAAAgHBwICAgICAgIC2YZXLdBKk06IOzepVndC4wkjAAAACSMAAAAJEwEAAAnLAAAACgoKCgoBAAAABev+//80R2xvYmVTb2Z0d2FyZS5BdGxhczQwLkF0bGFzQ29tbW9uLkRhdGFTb3VyY2VKb2luTW9kZQEAAAAHdmFsdWVfXwAIDgAAAAAAAAAF6v7//zVHbG9iZVNvZnR3YXJlLkF0bGFzNDAuQXRsYXNDb21tb24uRGF0YVNvdXJjZUZldGNoTW9kZQEAAAAHdmFsdWVfXwAIDgAAAAAAAAAACRcBAAAE0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RkBAAAE3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RsBAAAE7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R0BAAAE+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R8BAAAEC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SEBAAAEDw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UAAAAJIgEAAAcAAAAJIwEAAAQQ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GAAAACSIBAAAHAAAACSUBAAAEEw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IgEAAAMAAAAJJwEAAAQX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oAQAAAAAAAAcZ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Nf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KgEAAAhIZWxwVGV4dAYrAQAAI0lkZW50aWZpY2F0aW9uIG9mIHRoZSBwYWNraW5nIHNsaXAuAdT+///X/v//Bi0BAAAFTGFiZWwJxwAAAAHR/v//1/7//wYwAQAABFR5cGUJxgAAAAcb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7+///X/v//CSoBAAAGNAEAAA5JZGVudGlmeSBpdGVtLgHL/v//1/7//wktAQAACdUAAAAByP7//9f+//8JMAEAAAnUAAAABx0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7//9f+//8JKgEAAAY9AQAAJFRvdGFsIHF1YW50aXR5IG9mIHRoaXMgaXRlbSByZWxlYXNlZAHC/v//1/7//wktAQAACeMAAAABv/7//9f+//8JMAEAAAniAAAABx8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7//9f+//8JKgEAAAZGAQAAEFF1YW50aXR5IG9yZGVyZWQBuf7//9f+//8JLQEAAAnxAAAAAbb+///X/v//CTABAAAJ8AAAAAch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+///X/v//CSoBAAAGTwEAAElSZW1haW5pbmcgcXVhbnRpdHkgZm9yIHRoZSBzYWxlcyBvcmRlciBsaW5lIG5vdCB5ZXQgcGFja2luZyBzbGlwIHVwZGF0ZWQuAbD+///X/v//CS0BAAAJ/wAAAAGt/v//1/7//wkwAQAACf4AAAABIgEAAAwAAAAHIwE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qv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VwEAAChUYWJsZS5DdXN0UGFja2luZ1NsaXBUcmFucy5QYWNraW5nU2xpcElkCZAAAAABp/7//6r+//8GWgEAACFUYWJsZS5DdXN0UGFja2luZ1NsaXBUcmFucy5JdGVtSWQJnQAAAAGk/v//qv7//wZdAQAAHlRhYmxlLkN1c3RQYWNraW5nU2xpcFRyYW5zLlF0eQmnAAAAAaH+//+q/v//BmABAAAiVGFibGUuQ3VzdFBhY2tpbmdTbGlwVHJhbnMuT3JkZXJlZAmxAAAAAZ7+//+q/v//BmMBAAAhVGFibGUuQ3VzdFBhY2tpbmdTbGlwVHJhbnMuUmVtYWluCbsAAAAHJQE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Jv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ZgEAACVUYWJsZS5DdXN0UGFja2luZ1NsaXBUcmFucy5EYXRhQXJlYUlkCWcBAAABmP7//5v+//8GaQEAACFUYWJsZS5DdXN0UGFja2luZ1NsaXBUcmFucy5JdGVtSWQJagEAAAGV/v//m/7//wZsAQAAKFRhYmxlLkN1c3RQYWNraW5nU2xpcFRyYW5zLlBhY2tpbmdTbGlwSWQJbQEAAAGS/v//m/7//wZvAQAAJ1RhYmxlLkN1c3RQYWNraW5nU2xpcFRyYW5zLkRlbGl2ZXJ5RGF0ZQlwAQAAAY/+//+b/v//BnIBAAAnVGFibGUuQ3VzdFBhY2tpbmdTbGlwVHJhbnMuRGltZW5zaW9uWzhdCXMBAAABjP7//5v+//8GdQEAACdUYWJsZS5DdXN0UGFja2luZ1NsaXBUcmFucy5EaW1lbnNpb25bN10JdgEAAAcn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SJ/v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mNAAAACXkBAAAEKA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Wc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nLAAAABnsBAAAKRGF0YUFyZWFJZAkjAAAACSMAAAD/////CcsAAAAKCXsBAAAKCgoJIwAAAAmAAQAACSMAAAABagEAAGcBAAAJywAAAAaDAQAABkl0ZW1JZAkjAAAACSMAAAD/////CcsAAAAKCYMBAAAKCgoJIwAAAAmIAQAACSMAAAABbQEAAGcBAAAJywAAAAaLAQAADVBhY2tpbmdTbGlwSWQJIwAAAAkjAAAA/////wnLAAAACgmLAQAACgoKCSMAAAAJkAEAAAkjAAAAAXABAABnAQAACcsAAAAJhQAAAAkjAAAACSMAAAD/////CcsAAAAKCYUAAAAKCgoJIwAAAAmYAQAACSMAAAABcwEAAGcBAAAJywAAAAmIAAAACSMAAAAJIwAAAP////8JywAAAAoJiAAAAAoKCgkjAAAACaABAAAJIwAAAAF2AQAAZwEAAAnLAAAACYsAAAAJIwAAAAkjAAAA/////wnLAAAACgmLAAAACgoKCSMAAAAJqAEAAAkjAAAAAXkBAADIAAAA/////waqAQAAClNhbGVzVGFibGUGqwEAAAxTYWxlcyBvcmRlcnMJIwAAAAkjAAAACSMAAAABU/7///L+//8AAAAACa4BAAAJrwEAAAFQ/v//7/7//z7Q2GxdJftBloNw0dZCYJ0JIwAAAAkjAAAACbIBAAAJjQAAAAa0AQAAFEN1c3RQYWNraW5nU2xpcFRyYW5zBrUBAAAaVGFibGUuQ3VzdFBhY2tpbmdTbGlwVHJhbnMGtgEAACJUYWJsZS5DdXN0UGFja2luZ1NsaXBUcmFucy5TYWxlc0lkBrcBAAAHU2FsZXNJZAa4AQAAB1NhbGVzSWQBAAAAAUf+///r/v//AAAAAAFG/v//6v7//wAAAAAACbsBAAABgAEAAB8AAAAAAAAACQwAAAAAAAAAAYgBAAAfAAAAAAAAAAkMAAAAAAAAAAGQAQAAHwAAAAAAAAAJDAAAAAAAAAABmAEAAB8AAAAAAAAACQwAAAAAAAAAAaABAAAfAAAAAAAAAAkMAAAAAAAAAAGoAQAAHwAAAAAAAAAJDAAAAAAAAAAErg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wAAAAAAAAAAa8BAAAQAQAAAQAAAAkMAAAAAwAAAAm9AQAABLI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AAAAAAAAAAG7AQAAFwEAAAAAAAAJvwEAAAAAAAAHv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D+//+b/v//BsEBAAA9VGFibGUuQ3VzdFBhY2tpbmdTbGlwVHJhbnMuU2FsZXNJZH5UYWJsZS5TYWxlc1RhYmxlLkN1c3RHcm91cAnCAQAAAb8BAAAoAQAAAcIBAABnAQAACY0AAAAJjgAAAAkjAAAACY8AAAD/////CY0AAAAKCY4AAAAGyQEAAAdTYWxlc0lkCgoJIwAAAAnLAQAACSMAAAAEy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c4BAAAHz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v//1/7//wkwAQAABtEBAAAGU3RyaW5nAS7+///X/v//CS0BAAAG1AEAAA5DdXN0b21lciBncm91cAEr/v//1/7//wbWAQAACFJlZmVyc1RvBtcBAAAKPUN1c3RHcm91cAs=</Report>
</Atlas>
</file>

<file path=customXml/item3.xml><?xml version="1.0" encoding="utf-8"?>
<Atlas>
  <Query type="ReportList" id="9d5aeab3-fb07-40ff-9d23-d9081080176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GAAAAB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qPb8WXg/ihPk2IhEUJUcas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qVGFibGUuSW52ZW50VHJhbnMuSXRlbUlkflRhYmxlLkludmVudFRhYmxlCTEAAAABzv///9T///8GMwAAAC1UYWJsZS5JbnZlbnRUcmFucy5UcmFuc1JlZklkflRhYmxlLlNhbGVzVGFibGUJNAAAAAcUAAAAAAEAAAAIAAAABC1HbG9iZVNvZnR3YXJlLkF0bGFzNDAuQXRsYXNDb21tb24uVHlwZS5Db2x1bW4CAAAACTUAAAAJNgAAAAk3AAAACTgAAAAJOQAAAAk6AAAADQIRFQAAAAQAAAAGOwAAAA1BdGxhc1JlcG9ydF80DQMHFwAAAAABAAAAAw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E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C////xP///wY/AAAAEVRhYmxlLkludmVudFRhYmxlCTAAAAABv////8T///8GQgAAABBUYWJsZS5TYWxlc1RhYmxlCTM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z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u////z5HbG9iZVNvZnR3YXJlLkF0bGFzNDAuQXRsYXNDb21tb24uVHlwZS5BdGxhc1F1ZXJ5QXR0cmlidXRlTmFtZQEAAAAHdmFsdWVfXwAIAgAAAAIAAAAGRgAAACQ5ZDVhZWFiMy1mYjA3LTQwZmYtOWQyMy1kOTA4MTA4MDE3NjkBuf///7z///8BuP///7v///8AAAAABkkAAAAEdHJ1ZQG2////vP///wG1////u////wsAAAAGTAAAABZJbnZlbnRvcnkgdHJhbnNhY3Rpb25zAbP///+8////AbL///+7////GwAAAAZPAAAABFRydWUBsP///7z///8Br////7v///8GAAAABlIAAAAFRmFsc2UBrf///7z///8BrP///7v///8cAAAACU8AAAABqv///7z///8Bqf///7v///8dAAAACVIAAAABp////7z///8Bpv///7v///8qAAAACU8AAAABpP///7z///8Bo////7v///8BAAAABl4AAAADMzYyAaH///+8////AaD///+7////JwAAAAZhAAAACz1EYXRhQXJlYUlkAZ7///+8////AZ3///+7////GQAAAAZkAAAAD0NlbGxzVmVydGljYWxseQGb////vP///wGa////u////wkAAAAKAZn///+8////AZj///+7////KAAAAAZpAAAAATYBlv///7z///8Blf///7v///8rAAAABmwAAAARVGFibGVTdHlsZU1lZGl1bTIHHAAAAAABAAAAAw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P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bgAAAAtJbnZlbnRUcmFucwEAAAABkf///5P///8GcAAAAAtJbnZlbnRUYWJsZQEAAAABj////5P///8GcgAAAApTYWxlc1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gAAAAlzAAAABwAAAAl0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EgAAAAMAAAAJdgAAAAElAAAABAAAAAIAAAAJcwAAAAMAAAAJe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5AAAAAAAAAAcqAAAAAAEAAAAAAAAABC1HbG9iZVNvZnR3YXJlLkF0bGFzNDAuQXRsYXNDb21tb24uVHlwZS5Db2x1bW4CAAAAATEAAAAOAAAA/////wZ6AAAAC0ludmVudFRhYmxlBnsAAAAFSXRlbXMJCAAAAAkIAAAACQgAAAABg////+D///8AAAAACX4AAAAJfwAAAAGA////3f///+Dk3uBWIZZIvMfXb2fOJl8JCAAAAAkIAAAACYIAAAAJMAAAAAaEAAAAC0ludmVudFRyYW5zBoUAAAARVGFibGUuSW52ZW50VHJhbnMGhgAAABhUYWJsZS5JbnZlbnRUcmFucy5JdGVtSWQGhwAAAAZJdGVtSWQGiAAAAAZJdGVtSWQBAAAAAXf////Z////AAAAAAF2////2P///wAAAAAACYsAAAABNAAAAA4AAAD/////BowAAAAKU2FsZXNUYWJsZQaNAAAADFNhbGVzIG9yZGVycwkIAAAACQgAAAAJCAAAAAFx////4P///wAAAAAJkAAAAAmRAAAAAW7////d////Es1LFgvZoE2jJLlcjB1lowkIAAAACQgAAAAJlAAAAAkzAAAABpYAAAALSW52ZW50VHJhbnMGlwAAABFUYWJsZS5JbnZlbnRUcmFucwaYAAAAHFRhYmxlLkludmVudFRyYW5zLlRyYW5zUmVmSWQGmQAAAApUcmFuc1JlZklkBpoAAAAHU2FsZXNJZAEAAAABZf///9n///8AAAAAAWT////Y////AAAAAAAJnQAAAAU1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eAAAACZ8AAAAJoAAAAAahAAAABkl0ZW1JZAaiAAAAC0l0ZW0gbnVtYmVyBqMAAAAGU3RyaW5nCQgAAAAGpQAAACQ1M2ZiOWRjYS0wMzk2LTRkZTYtOTM3ZC00OTkzZGQ4OWNjZTUFWv///y1HbG9iZVNvZnR3YXJlLkF0bGFzNDAuQXRsYXNDb21tb24uQWdncmVnYXRpb24BAAAAB3ZhbHVlX18ACAIAAAD/////AAAAAAVZ////LEdsb2JlU29mdHdhcmUuQXRsYXM0MC5BdGxhc0NvbW1vbi5Db2x1bW5UeXBlAQAAAAd2YWx1ZV9fAAgCAAAAAAAAAAVY////K0dsb2JlU29mdHdhcmUuQXRsYXM0MC5BdGxhc0NvbW1vbi5Tb3J0T3JkZXIBAAAAB3ZhbHVlX18ACAIAAAACAAAAAAAAAAAFV////0BHbG9iZVNvZnR3YXJlLkF0bGFzNDAuQXRsYXNDb21tb24uVHlwZS5Db2x1bW4rQ3Jvc3NUYWJDb2x1bW5UeXBlAQAAAAd2YWx1ZV9fAAgCAAAAAAAAAAoBAAAAAAAAAAAAAAAAAAaqAAAAJDFiYjAwNTdhLWU5OGYtNGVkMC04MTkyLTM1NDBjOWIzNDljOAarAAAAGFRhYmxlLkludmVudFRyYW5zLkl0ZW1JZAoKCgoBNgAAADUAAAAJrAAAAAmtAAAACa4AAAAGrwAAAA1JbnZlbnRUcmFuc0lkBrAAAAAGTG90IElEBrEAAAAGU3RyaW5nCQgAAAAGswAAACQyZTlhNjkyMi1hMmIyLTQwYjMtOTEwOS1lNDRiZmYxMWE5YzcBTP///1r/////////AQAAAAFL////Wf///wAAAAABSv///1j///8CAAAAAAAAAAABSf///1f///8AAAAACgEAAAAAAAAAAAEAAAAABrgAAAAkZDkyYjA3MmQtMzcxNC00NzMyLWJjYzAtZjhjOWU0MjY0NGNjBrkAAAAfVGFibGUuSW52ZW50VHJhbnMuSW52ZW50VHJhbnNJZAoKCgoBNwAAADUAAAAJugAAAAm7AAAACbwAAAAGvQAAAAxEYXRlUGh5c2ljYWwGvgAAAA1QaHlzaWNhbCBkYXRlBr8AAAAERGF0ZQkIAAAABsEAAAAkYjk5NzY3N2ItNmU2Ni00NjQ0LWI0NDAtMjAyMGE2MTM4ZjdhAT7///9a/////////wIAAAABPf///1n///8AAAAAATz///9Y////AgAAAAAAAAAAATv///9X////AAAAAAoBAAAAAAAAAAACAAAAAAbGAAAAJGY5ZDE2NDI0LTdkYzktNGQ0OS1hZTg4LTM3Zjg1NGZhYzZiNAbHAAAAHlRhYmxlLkludmVudFRyYW5zLkRhdGVQaHlzaWNhbAoKCgoBOAAAADUAAAAJyAAAAAnJAAAACcoAAAAGywAAAAlUcmFuc1R5cGUGzAAAAAlSZWZlcmVuY2UGzQAAAARFbnVtCQgAAAAGzwAAACQxNzBmYTlmOC1hMzg2LTQ3ZmMtYmQ1Yi00ZDk2NDA3NGY5MmYBMP///1r/////////AwAAAAEv////Wf///wAAAAABLv///1j///8CAAAAAAAAAAABLf///1f///8AAAAACgEAAAAAAAAAAAMAAAAABtQAAAAkMmZjNzQwMDAtNzk0NC00ZDAzLWI1ZmQtNDU5YjMxNjlmODE0BtUAAAAbVGFibGUuSW52ZW50VHJhbnMuVHJhbnNUeXBlCgoKCgE5AAAANQAAAAnWAAAACdcAAAAJ2AAAAAbZAAAAClRyYW5zUmVmSWQG2gAAAAZOdW1iZXIG2wAAAAZTdHJpbmcJCAAAAAbdAAAAJDI4ZTY2ODYxLWE2N2EtNDhiNS04ZTg0LWM3NTAzNTliOWRiNwEi////Wv////////8EAAAAASH///9Z////AAAAAAEg////WP///wIAAAAAAAAAAAEf////V////wAAAAAKAQAAAAAAAAAABAAAAAAG4gAAACQwMzM5MDNlMC0yYzgxLTQzMGQtOWZhYy0wZjdiOGExNGNjMTkG4wAAABxUYWJsZS5JbnZlbnRUcmFucy5UcmFuc1JlZklkCgoKCgE6AAAANQAAAAnkAAAACeUAAAAJ5gAAAAbnAAAAA1F0eQboAAAACFF1YW50aXR5BukAAAAEUmVhbAkIAAAABusAAAAkMDJkZjQ4NTctMmJlNC00YmQwLWE2M2MtODA5NmE3OGQ1NWY2ART///9a////AQAAAAUAAAABE////1n///8AAAAAARL///9Y////AgAAAAAAAAAAARH///9X////AAAAAAoBAAAAAAAAAAAFAAAAAAbwAAAAJDE5YWNhODMyLWQxMmMtNDkwNi04NDhhLWUwMjhiMTQ3NjE4YwbxAAAAFVRhYmxlLkludmVudFRyYW5zLlF0eQoKCgoBcwAAABIAAAAHdAA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D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8wAAABhUYWJsZS5JbnZlbnRUcmFucy5JdGVtSWQJ9AAAAAEL////Dv///wb2AAAAH1RhYmxlLkludmVudFRyYW5zLkludmVudFRyYW5zSWQJ9wAAAAEI////Dv///wb5AAAAHlRhYmxlLkludmVudFRyYW5zLkRhdGVQaHlzaWNhbAn6AAAAAQX///8O////BvwAAAAbVGFibGUuSW52ZW50VHJhbnMuVHJhbnNUeXBlCf0AAAABAv///w7///8G/wAAABxUYWJsZS5JbnZlbnRUcmFucy5UcmFuc1JlZklkCQABAAAB//7//w7///8GAgEAABVUYWJsZS5JbnZlbnRUcmFucy5RdHkJAwEAAAd2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/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YFAQAAGFRhYmxlLkludmVudFRyYW5zLkl0ZW1JZAkGAQAAAfn+///8/v//BggBAAAbVGFibGUuSW52ZW50VHJhbnMuVHJhbnNUeXBlCQkBAAAHeA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9v7//9T///8JMAAAAAkxAAAAAfP+///U////CTMAAAAJNAAAAAR5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f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ABAAAAAAAAAX8AAAAiAAAAAgAAAAkSAAAAAwAAAAkSAQAABII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QAQAAAAAAAAGLAAAAKQAAAAAAAAAJFAEAAAAAAAAEkA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UBAAAAAAAAAZEAAAAiAAAAAQAAAAkSAAAAAwAAAAkXAQAABJ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VAQAAAAAAAAGdAAAAKQAAAAAAAAAJGQEAAAAAAAAEn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GgEAAAEAAAABAAAABJ8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aAAAAAkbAQAAEQAAAAkcAQAABK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kQAQAABwAAAAkeAQAAAawAAACeAAAACR8BAAABAAAAAQAAAAGtAAAAnwAAAGYAAAAJGwEAAAcAAAAJIQEAAAS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EAEAAAcAAAAJIwEAAAG6AAAAngAAAAkkAQAAAQAAAAEAAAABuwAAAJ8AAABXAAAACSUBAAAHAAAACSYBAAAEv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ScBAAAHAAAACSgBAAAByAAAAJ4AAAAJKQEAAAEAAAABAAAAAckAAACfAAAAZgAAAAkbAQAABwAAAAkrAQAABM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kQAQAABwAAAAktAQAAAdYAAACeAAAACS4BAAABAAAAAQAAAAHXAAAAnwAAAGYAAAAJGwEAAAcAAAAJMAEAAATY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EAEAAAcAAAAJMgEAAAHkAAAAngAAAAkzAQAAAQAAAAEAAAAB5QAAAJ8AAABqAAAACRsBAAARAAAACTUBAAAE5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RABAAAHAAAACTcBAAAF9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yP7//1r/////////AAY5AQAABlN0cmluZwY6AQAAC0l0ZW0gbnVtYmVyCTsBAAABxP7//1j///8CAAAABcP+//85R2xvYmVTb2Z0d2FyZS5BdGxhczQwLkF0bGFzQ29tbW9uLk51bWJlclNlcXVlbmNlQ29uZGl0aW9uAQAAAAd2YWx1ZV9fAAgCAAAAAQAAAAAABj4BAAARVGFibGUuSW52ZW50VHJhbnMJoQAAAAkIAAAACv////8JPgEAAAoJoQAAAAoKCgkIAAAACUQBAAAJCAAAAAH3AAAA9AAAAAG6/v//Wv////////8ABkcBAAAGU3RyaW5nBkgBAAAGTG90IElECTsBAAABtv7//1j///8CAAAAAbX+///D/v//AQAAAAAACT4BAAAJrwAAAAkIAAAACv////8JPgEAAAoJrwAAAAoKCgkIAAAACVIBAAAJCAAAAAH6AAAA9AAAAAGs/v//Wv////////8ABlUBAAAERGF0ZQZWAQAADVBoeXNpY2FsIGRhdGUJVwEAAAGo/v//WP///wIAAAABp/7//8P+//8BAAAAAAAGWgEAABFUYWJsZS5JbnZlbnRUcmFucwm9AAAACQgAAAAK/////wlaAQAACgm9AAAACgoKCQgAAAAJYAEAAAkIAAAAAf0AAAD0AAAAAZ7+//9a/////////wAGYwEAAARFbnVtBmQBAAAJUmVmZXJlbmNlCTsBAAABmv7//1j///8CAAAAAZn+///D/v//AQAAAAAACT4BAAAJywAAAAkIAAAACv////8JPgEAAAoJywAAAAoKCgkIAAAACW4BAAAJCAAAAAEAAQAA9AAAAAGQ/v//Wv////////8ABnEBAAAGU3RyaW5nBnIBAAAGTnVtYmVyCTsBAAABjP7//1j///8CAAAAAYv+///D/v//AQAAAAAACT4BAAAJ2QAAAAkIAAAACv////8JPgEAAAoJ2QAAAAoKCgkIAAAACXwBAAAJCAAAAAEDAQAA9AAAAAGC/v//Wv////////8BBn8BAAAEUmVhbAaAAQAACFF1YW50aXR5CTsBAAABfv7//1j///8CAAAAAX3+///D/v//AQAAAAAACT4BAAAJ5wAAAAkIAAAACv////8JPgEAAAoJ5wAAAAoKCgkIAAAACYoBAAAJCAAAAAUG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jAEAABFUYWJsZS5JbnZlbnRUcmFucwaNAQAABkl0ZW1JZAkIAAAABo8BAAABKv////8JjAEAAAoJjQEAAAoKCgkIAAAACZMBAAAJCAAAAAEJAQAABgEAAAmMAQAABpYBAAAJVHJhbnNUeXBlCQgAAAAGmAEAAAVTYWxlc/////8JjAEAAAoJlgEAAAoKCgkIAAAACZwBAAAJCAAAAAEQAQAAEgAAAAcSAQ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Yv7///z+//8GnwEAADdUYWJsZS5JbnZlbnRUcmFucy5JdGVtSWR+VGFibGUuSW52ZW50VGFibGUuRGltZW5zaW9uWzhdCaABAAABX/7///z+//8GogEAADdUYWJsZS5JbnZlbnRUcmFucy5JdGVtSWR+VGFibGUuSW52ZW50VGFibGUuRGltZW5zaW9uWzddCaMBAAABFAEAAHkAAAABFQEAABIAAAAHFw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z+///8/v//BqUBAAA3VGFibGUuSW52ZW50VHJhbnMuVHJhbnNSZWZJZH5UYWJsZS5TYWxlc1RhYmxlLkN1c3RHcm91cAmmAQAAARkBAAB5AAAABxoBAAAAAQAAAAQAAAAEN0dsb2JlU29mdHdhcmUuQXRsYXM0MC5BdGxhc0NvbW1vbi5UeXBlLkZpZWxkT3V0cHV0RmllbGQCAAAACfQAAAANAwQb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cAQAAAAEAAAAI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W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VX/v//Mkdsb2JlU29mdHdhcmUuQXRsYXM0MC5BdGxhc0NvbW1vbi5Db2x1bW5BdHRyaWJ1dGVzAQAAAAd2YWx1ZV9fAAgCAAAABgAAAAaqAQAABVRvdGFsAVX+//9Y/v//AVT+//9X/v//EAAAAAatAQAABE5vbmUBUv7//1j+//8BUf7//1f+//8JAAAACQgAAAABT/7//1j+//8BTv7//1f+//8LAAAABrMBAAABMAFM/v//WP7//wFL/v//V/7//wQAAAAGtgEAAAdHZW5lcmFsAUn+//9Y/v//AUj+//9X/v//AgAAAAa5AQAAATEBRv7//1j+//8BRf7//1f+//8AAAAABrwBAAAFMTEuNTcBQ/7//1j+//8BQv7//1f+//8kAAAACaIAAAAHH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A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sEBAAAIRm9udEJvbGQGwgEAAAVGYWxzZQE9/v//QP7//wbEAQAACkZvbnRJdGFsaWMJwgEAAAE6/v//QP7//wbHAQAADUZvbnRVbmRlcmxpbmUGyAEAAAUtNDE0MgE3/v//QP7//wbKAQAACEZvbnROYW1lBssBAAAHQ2FsaWJyaQE0/v//QP7//wbNAQAACUZvbnRDb2xvcgbOAQAAATABMf7//0D+//8G0AEAAAhGb250U2l6ZQbRAQAAAjExAS7+//9A/v//BtMBAAAJRm9udFN0eWxlBtQBAAAHUmVndWxhcgcfAQAAAAEAAAAEAAAABDdHbG9iZVNvZnR3YXJlLkF0bGFzNDAuQXRsYXNDb21tb24uVHlwZS5GaWVsZE91dHB1dEZpZWxkAgAAAAn3AAAADQMHI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r+//9Y/v//ASn+//9X/v//EAAAAAmtAQAAASf+//9Y/v//ASb+//9X/v//CQAAAAkIAAAAAST+//9Y/v//ASP+//9X/v//CwAAAAbeAQAAATEBIf7//1j+//8BIP7//1f+//8EAAAABuEBAAAHR2VuZXJhbAEe/v//WP7//wEd/v//V/7//wIAAAAG5AEAAAExARv+//9Y/v//ARr+//9X/v//AAAAAAbnAQAABTEwLjg2By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P7//0D+//8JwQEAAAnCAQAAARX+//9A/v//CcQBAAAJwgEAAAES/v//QP7//wnHAQAABvABAAAFLTQxNDIBD/7//0D+//8JygEAAAbzAQAAB0NhbGlicmkBDP7//0D+//8JzQEAAAb2AQAAATABCf7//0D+//8J0AEAAAb5AQAAAjExAQb+//9A/v//CdMBAAAG/AEAAAdSZWd1bGFyByQBAAAAAQAAAAQAAAAEN0dsb2JlU29mdHdhcmUuQXRsYXM0MC5BdGxhc0NvbW1vbi5UeXBlLkZpZWxkT3V0cHV0RmllbGQCAAAACfoAAAANAwElAQAAGwEAAAcm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v7//1j+//8BAf7//1f+//8JAAAACQgAAAAB//3//1j+//8B/v3//1f+//8LAAAABgMCAAABMgH8/f//WP7//wH7/f//V/7//wQAAAAGBgIAAAhtL2QveXl5eQH5/f//WP7//wH4/f//V/7//wIAAAAGCQIAAAExAfb9//9Y/v//AfX9//9X/v//AAAAAAYMAgAABTE4LjI5AScBAAASAAAABy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/3//0D+//8GDgIAAAhGb250Qm9sZAnCAQAAAfD9//9A/v//BhECAAAKRm9udEl0YWxpYwnCAQAAAe39//9A/v//BhQCAAANRm9udFVuZGVybGluZQYVAgAABS00MTQyAer9//9A/v//BhcCAAAIRm9udE5hbWUGGAIAAAdDYWxpYnJpAef9//9A/v//BhoCAAAJRm9udENvbG9yBhsCAAABMAHk/f//QP7//wYdAgAACEZvbnRTaXplBh4CAAACMTEB4f3//0D+//8GIAIAAAlGb250U3R5bGUGIQIAAAdSZWd1bGFyBykBAAAAAQAAAAQAAAAEN0dsb2JlU29mdHdhcmUuQXRsYXM0MC5BdGxhc0NvbW1vbi5UeXBlLkZpZWxkT3V0cHV0RmllbGQCAAAACf0AAAANAwcr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f3//1j+//8B3P3//1f+//8QAAAACa0BAAAB2v3//1j+//8B2f3//1f+//8JAAAACQgAAAAB1/3//1j+//8B1v3//1f+//8LAAAABisCAAABMwHU/f//WP7//wHT/f//V/7//wQAAAAGLgIAAAdHZW5lcmFsAdH9//9Y/v//AdD9//9X/v//AgAAAAYxAgAAATEBzv3//1j+//8Bzf3//1f+//8AAAAABjQCAAAFMTMuMjk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f//QP7//wnBAQAACcIBAAAByP3//0D+//8JxAEAAAnCAQAAAcX9//9A/v//CccBAAAGPQIAAAUtNDE0MgHC/f//QP7//wnKAQAABkACAAAHQ2FsaWJyaQG//f//QP7//wnNAQAABkMCAAABMAG8/f//QP7//wnQAQAABkYCAAACMTEBuf3//0D+//8J0wEAAAZJAgAAB1JlZ3VsYXIHLgEAAAABAAAABAAAAAQ3R2xvYmVTb2Z0d2FyZS5BdGxhczQwLkF0bGFzQ29tbW9uLlR5cGUuRmllbGRPdXRwdXRGaWVsZAIAAAAJAAEAAA0DBz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1/f//WP7//wG0/f//V/7//xAAAAAJrQEAAAGy/f//WP7//wGx/f//V/7//wkAAAAJCAAAAAGv/f//WP7//wGu/f//V/7//wsAAAAGUwIAAAE0Aaz9//9Y/v//Aav9//9X/v//BAAAAAZWAgAAB0dlbmVyYWwBqf3//1j+//8BqP3//1f+//8CAAAABlkCAAABMQGm/f//WP7//wGl/f//V/7//wAAAAAGXAIAAAUxNy43MQc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P9//9A/v//CcEBAAAJwgEAAAGg/f//QP7//wnEAQAACcIBAAABnf3//0D+//8JxwEAAAZlAgAABS00MTQyAZr9//9A/v//CcoBAAAGaAIAAAdDYWxpYnJpAZf9//9A/v//Cc0BAAAGawIAAAEwAZT9//9A/v//CdABAAAGbgIAAAIxMQGR/f//QP7//wnTAQAABnECAAAHUmVndWxhcgczAQAAAAEAAAAEAAAABDdHbG9iZVNvZnR3YXJlLkF0bGFzNDAuQXRsYXNDb21tb24uVHlwZS5GaWVsZE91dHB1dEZpZWxkAgAAAAkDAQAADQMHNQEAAAABAAAAC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39//9Y/v//AYz9//9X/v//EAAAAAmtAQAAAYr9//9Y/v//AYn9//9X/v//CQAAAAkIAAAAAYf9//9Y/v//AYb9//9X/v//CwAAAAZ7AgAAATUBhP3//1j+//8Bg/3//1f+//8kAAAACegAAAABgf3//1j+//8BgP3//1f+//8MAAAABoECAAAEVHJ1ZQF+/f//WP7//wF9/f//V/7//woAAAAGhAIAAAVGYWxzZQF7/f//WP7//wF6/f//V/7//wQAAAAGhwIAAAdHZW5lcmFsAXj9//9Y/v//AXf9//9X/v//AgAAAAaKAgAAATEBdf3//1j+//8BdP3//1f+//8AAAAABo0CAAACMTIHN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f//QP7//wnBAQAACcIBAAABb/3//0D+//8JxAEAAAnCAQAAAWz9//9A/v//CccBAAAGlgIAAAUtNDE0MgFp/f//QP7//wnKAQAABpkCAAAHQ2FsaWJyaQFm/f//QP7//wnNAQAABpwCAAABMAFj/f//QP7//wnQAQAABp8CAAACMTEBYP3//0D+//8J0wEAAAaiAgAAB1JlZ3VsYXIBOwEAAA4AAACxAAAABqMCAAALSW52ZW50VHJhbnMGpAIAABZJbnZlbnRvcnkgdHJhbnNhY3Rpb25zCQgAAAAJCAAAAAkIAAAAAVr9///g////AAAAAAmnAgAACagCAAABV/3//93///9fRLSx37mWTL96wrLRU4lKCQgAAAAJCAAAAAmrAgAACT4BAAAKCgoKCgEAAAABU/3//9n///8AAAAAAVL9///Y////AAAAAAAJrwIAAARE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EAEAAAMAAAAJsQIAAARS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EAEAAAMAAAAJswIAAAFXAQAADgAAAP////8GtAIAAAtJbnZlbnRUcmFucwa1AgAAFkludmVudG9yeSB0cmFuc2FjdGlvbnMJCAAAAAkIAAAACQgAAAABSf3//+D///8AAAAACbgCAAAJuQIAAAFG/f//3f///1T1lNW9JUhMqErmVQM9GX0JCAAAAAkIAAAACbwCAAAJWgEAAAoKCgoKAQAAAAFC/f//2f///wAAAAABQf3//9j///8AAAAAAAnAAgAABG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gAAAAknAQAAAwAAAAnCAgAABG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QAAAAkQAQAAAwAAAAnEAgAABH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QAAAAkQAQAAAwAAAAnGAgAABI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QAAAAkQAQAAAwAAAAnIAgAABJ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gAAAAkVAQAAAwAAAAnKAgAABJ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VAQAAAwAAAAnMAgAAAaABAAAGAQAACTAAAAAGzgIAAAxEaW1lbnNpb25bOF0JCAAAAAbQAgAAASr/////CTAAAAAKCc4CAAAG0wIAAAZJdGVtSWQKCgkIAAAACdUCAAAJCAAAAAGjAQAABgEAAAkwAAAABtgCAAAMRGltZW5zaW9uWzddCQgAAAAG2gIAAAdBU1BIQUxU/////wkwAAAACgnYAgAABt0CAAAGSXRlbUlkCgoJCAAAAAnfAgAACQgAAAABpgEAAAYBAAAJMwAAAAbiAgAACUN1c3RHcm91cAkIAAAABuQCAAABKv////8JMwAAAAoJ4gIAAAbnAgAAClRyYW5zUmVmSWQKCgkIAAAACekCAAAJCAAAAAGnAgAAIQAAAA8AAAAJ6wIAABEAAAAJ7AIAAAGoAgAAIgAAAAgAAAAJEAEAABEAAAAJ7gIAAAGrAgAABAAAAAEAAAAJ6wIAAAMAAAAJ8AIAAAGvAgAAKQAAAAAAAAAJ8QIAAAAAAAAHs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O/f//QP7//wbzAgAACEhlbHBUZXh0BvQCAAAOSWRlbnRpZnkgaXRlbS4BC/3//0D+//8G9gIAAAVMYWJlbAk6AQAAAQj9//9A/v//BvkCAAAEVHlwZQk5AQAAB7M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3//0D+//8J8wIAAAb9AgAAUlN1bW1hcnkgbnVtYmVyL0xvdCBJRCBmb3IgdHJhbnNhY3Rpb25zIGF0dGFjaGVkIHRvIHRoZSBzYW1lIGludmVudG9yeSB0cmFuc2FjdGlvbi4BAv3//0D+//8J9gIAAAlIAQAAAf/8//9A/v//CfkCAAAJRwEAAAG4AgAAIQAAAAYAAAAJBAMAAAcAAAAJBQMAAAG5AgAAIgAAAAMAAAAJBgMAAAMAAAAJBwMAAAG8AgAABAAAAAEAAAAJBAMAAAMAAAAJCQMAAAHAAgAAKQAAAAAAAAAJCgMAAAAAAAAHwg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1/P//QP7//wYMAwAABUxhYmVsCVYBAAAB8vz//0D+//8GDwMAAARUeXBlCVUBAAAHx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/P//QP7//wnzAgAABhMDAAAyU3BlY2lmeSB0aGUgbW9kdWxlIHRoYXQgZ2VuZXJhdGVkIHRoZSB0cmFuc2FjdGlvbi4B7Pz//0D+//8J9gIAAAlkAQAAAen8//9A/v//CfkCAAAJYwEAAAfG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b8//9A/v//CfMCAAAGHAMAADVPcmRlciBudW1iZXIsIHByb2plY3QgbnVtYmVyLCBwcm9kdWN0aW9uIG51bWJlciwgZXRjLgHj/P//QP7//wn2AgAACXIBAAAB4Pz//0D+//8J+QIAAAlxAQAAB8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fz//0D+//8J8wIAAAYlAwAAJFF1YW50aXR5IGF0dGFjaGVkIHRvIHRoZSB0cmFuc2FjdGlvbgHa/P//QP7//wn2AgAACYABAAAB1/z//0D+//8J+QIAAAl/AQAAB8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Pz//0D+//8GLQMAAARUeXBlCTkBAAAB0fz//0D+//8GMAMAAAVMYWJlbAk6AQAAAc78//9A/v//BjMDAAAIUmVmZXJzVG8GNAMAAAs9SXRlbU51bWJlcgfM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v8//9A/v//CS0DAAAJYwEAAAHI/P//QP7//wkwAwAACWQBAAAE1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RUBAAADAAAACTwDAAAE3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RUBAAADAAAACT4DAAAE6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RUBAAADAAAACUADAAAB6wIAABIAAAAH7A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/z//w7///8GQgMAABhUYWJsZS5JbnZlbnRUcmFucy5JdGVtSWQJ9AAAAAG8/P//Dv///wZFAwAAH1RhYmxlLkludmVudFRyYW5zLkludmVudFRyYW5zSWQJ9wAAAAG5/P//Dv///wZIAwAAG1RhYmxlLkludmVudFRyYW5zLlRyYW5zVHlwZQn9AAAAAbb8//8O////BksDAAAcVGFibGUuSW52ZW50VHJhbnMuVHJhbnNSZWZJZAkAAQAAAbP8//8O////Bk4DAAAVVGFibGUuSW52ZW50VHJhbnMuUXR5CQMBAAAH7gIAAAABAAAAC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bD8///8/v//BlEDAAAfVGFibGUuSW52ZW50VHJhbnMuRGF0ZUZpbmFuY2lhbAlSAwAAAa38///8/v//BlQDAAAdVGFibGUuSW52ZW50VHJhbnMuU3RhdHVzSXNzdWUJVQMAAAGq/P///P7//wZXAwAAGFRhYmxlLkludmVudFRyYW5zLkl0ZW1JZAlYAwAAAaf8///8/v//BloDAAAfVGFibGUuSW52ZW50VHJhbnMuSW52ZW50VHJhbnNJZAlbAwAAAaT8///8/v//Bl0DAAAcVGFibGUuSW52ZW50VHJhbnMuVHJhbnNSZWZJZAleAwAAAaH8///8/v//BmADAAAeVGFibGUuSW52ZW50VHJhbnMuRGF0ZVBoeXNpY2FsCWEDAAABnvz///z+//8GYwMAAB9UYWJsZS5JbnZlbnRUcmFucy5TdGF0dXNSZWNlaXB0CWQDAAABm/z///z+//8GZgMAABtUYWJsZS5JbnZlbnRUcmFucy5UcmFuc1R5cGUJZwMAAAfw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Y/P//1P///wkwAAAACTEAAAAB8QIAAHkAAAABBAMAABIAAAAHBQM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lfz//w7///8GbAMAABhUYWJsZS5JbnZlbnRUcmFucy5JdGVtSWQJ9AAAAAGS/P//Dv///wZvAwAAH1RhYmxlLkludmVudFRyYW5zLkludmVudFRyYW5zSWQJ9wAAAAGP/P//Dv///wZyAwAAG1RhYmxlLkludmVudFRyYW5zLlRyYW5zVHlwZQn9AAAAAYz8//8O////BnUDAAAcVGFibGUuSW52ZW50VHJhbnMuVHJhbnNSZWZJZAkAAQAAAYn8//8O////BngDAAAVVGFibGUuSW52ZW50VHJhbnMuUXR5CQMBAAABhvz//w7///8GewMAAB5UYWJsZS5JbnZlbnRUcmFucy5EYXRlUGh5c2ljYWwJ+gAAAAEGAwAAEgAAAAcHAwAAAAEAAAAD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/z///z+//8GfgMAABhUYWJsZS5JbnZlbnRUcmFucy5JdGVtSWQJWAMAAAGA/P///P7//waBAwAAHlRhYmxlLkludmVudFRyYW5zLkRhdGVQaHlzaWNhbAlhAwAAAX38///8/v//BoQDAAAbVGFibGUuSW52ZW50VHJhbnMuVHJhbnNUeXBlCWcDAAAHCQM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evz//9T///8JMAAAAAkxAAAAAQoDAAB5AAAABz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z//0D+//8JLQMAAAaLAwAABlN0cmluZwF0/P//QP7//wkwAwAABo4DAAAWRGV0YWlsIE1hcmtldGluZyBHcm91cAFx/P//QP7//wkzAwAABpEDAAAEPURNRwc+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78//9A/v//CS0DAAAJiwMAAAFr/P//QP7//wkwAwAABpcDAAAVTWFqb3IgTWFya2V0aW5nIEdyb3VwAWj8//9A/v//CTMDAAAGmgMAAAQ9TU1HB0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0D+//8JLQMAAAadAwAABlN0cmluZwFi/P//QP7//wkwAwAABqADAAAOQ3VzdG9tZXIgZ3JvdXABX/z//0D+//8JMwMAAAajAwAACj1DdXN0R3JvdXABUgMAAAYBAAAJPgEAAAalAwAADURhdGVGaW5hbmNpYWwJCAAAAAkIAAAA/////wk+AQAACgmlAwAACgoKCQgAAAAJqgMAAAkIAAAAAVUDAAAGAQAACT4BAAAGrQMAAAtTdGF0dXNJc3N1ZQkIAAAACQgAAAD/////CT4BAAAKCa0DAAAKCgoJCAAAAAmyAwAACQgAAAABWAMAAAYBAAAJPgEAAAmNAQAACQgAAAAGtwMAAAEq/////wk+AQAACgmNAQAACgoKCQgAAAAJuwMAAAkIAAAAAVsDAAAGAQAACT4BAAAGvgMAAA1JbnZlbnRUcmFuc0lkCQgAAAAJCAAAAP////8JPgEAAAoJvgMAAAoKCgkIAAAACcMDAAAJCAAAAAFeAwAABgEAAAk+AQAABsYDAAAKVHJhbnNSZWZJZAkIAAAACQgAAAD/////CT4BAAAKCcYDAAAKCgoJCAAAAAnLAwAACQgAAAABYQMAAAYBAAAJPgEAAAbOAwAADERhdGVQaHlzaWNhbAkIAAAABtADAAAVMS4xLjIwMjEgLi4gMi4yOC4yMDIx/////wk+AQAACgnOAwAACgoKCQgAAAAJ1AMAAAkIAAAAAWQDAAAGAQAACT4BAAAG1wMAAA1TdGF0dXNSZWNlaXB0CQgAAAAJCAAAAP////8JPgEAAAoJ1wMAAAoKCgkIAAAACdwDAAAJCAAAAAFnAwAABgEAAAk+AQAACZYBAAAJCAAAAAmYAQAA/////wk+AQAABuMDAAALSW52ZW50VHJhbnMJlgEAAAoKCgkIAAAACeYDAAAJCAAAAASq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EAEAAAMAAAAJ6QMAAASy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EAEAAAMAAAAJ6wMAAAS7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oAAAAJEAEAAAMAAAAJ7QMAAATD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EAEAAAMAAAAJ7wMAAATL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EAEAAAMAAAAJ8QMAAATU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oAAAAJEAEAAAMAAAAJ8wMAAATc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EAEAAAMAAAAJ9QMAAATm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YAAAAJEAEAAAMAAAAJ9wMAAAfp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j8//9A/v//CfkCAAAG+gMAAAREYXRlAQX8//9A/v//CfYCAAAG/QMAAA5GaW5hbmNpYWwgZGF0ZQfr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L8//9A/v//CfkCAAAGAAQAAARFbnVtAf/7//9A/v//CfYCAAAGAwQAAAxJc3N1ZSBzdGF0dXMH7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8+///QP7//wn5AgAABgYEAAAGU3RyaW5nAfn7//9A/v//CfYCAAAGCQQAAAtJdGVtIG51bWJlcgH2+///QP7//wYLBAAACFJlZmVyc1RvCTQDAAAH7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+///QP7//wn5AgAABg8EAAAGU3RyaW5nAfD7//9A/v//CfYCAAAGEgQAAAZMb3QgSUQH8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+///QP7//wn5AgAABhUEAAAGU3RyaW5nAer7//9A/v//CfYCAAAGGAQAAAZOdW1iZXIH8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n+///QP7//wn5AgAABhsEAAAERGF0ZQHk+///QP7//wn2AgAABh4EAAANUGh5c2ljYWwgZGF0ZQHh+///QP7//wkLBAAABiEEAAALPURhdGVQZXJpb2QH9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+///QP7//wn5AgAABiQEAAAERW51bQHb+///QP7//wn2AgAABicEAAAOUmVjZWlwdCBzdGF0dXMH9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+///QP7//wn5AgAABioEAAAERW51bQHV+///QP7//wn2AgAABi0EAAAJUmVmZXJlbmNlCw==
    <Output>
      <OutputObject name="AtlasReport_4"/>
    </Output>
  </Query>
</Atlas>
</file>

<file path=customXml/item4.xml><?xml version="1.0" encoding="utf-8"?>
<Atlas>
  <Query type="ReportList" id="72d2434c-554d-4328-a42b-035537ec7d2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KAAAAC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FEN1c3RQYWNraW5nU2xpcFRyYW5zBh4AAAAdQ3VzdG9tZXIgLSBQYWNraW5nIHNsaXAgbGluZXMJCAAAAAkIAAAACQgAAAAF4P///zBHbG9iZVNvZnR3YXJlLkF0bGFzNDAuQXRsYXNDb21tb24uRGF0YVNvdXJjZVR5cGUBAAAAB3ZhbHVlX18ACAIAAAAAAAAACSEAAAAJIgAAAATd////C1N5c3RlbS5HdWlkCwAAAAJfYQJfYgJfYwJfZAJfZQJfZgJfZwJfaAJfaQJfagJfawAAAAAAAAAAAAAACAcHAgICAgICAgKGnhFFEbTsQJs2fhVcltX1CQgAAAAJCAAAAAklAAAABiYAAAAaVGFibGUuQ3VzdFBhY2tpbmdTbGlw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Q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1RhYmxlLkN1c3RQYWNraW5nU2xpcFRyYW5zLlNhbGVzSWR+VGFibGUuU2FsZXNUYWJsZQkxAAAAAc7////U////BjMAAAAzVGFibGUuQ3VzdFBhY2tpbmdTbGlwVHJhbnMuSXRlbUlkflRhYmxlLkludmVudFRhYmxlCTQAAAABy////9T///8GNgAAADlUYWJsZS5DdXN0UGFja2luZ1NsaXBUcmFucy5JdGVtSWR+VGFibGUuSW52ZW50VGFibGVNb2R1bGUJNwAAAAcUAAAAAAEAAAAQAAAABC1HbG9iZVNvZnR3YXJlLkF0bGFzNDAuQXRsYXNDb21tb24uVHlwZS5Db2x1bW4CAAAACTgAAAAJOQAAAAk6AAAACTsAAAAJPAAAAAk9AAAACT4AAAAJPwAAAAlAAAAACUEAAAANBhEVAAAABAAAAAZCAAAADUF0bGFzUmVwb3J0XzMNAwcXAAAAAAEAAAAE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v///+9////BkYAAAAQVGFibGUuU2FsZXNUYWJsZQkwAAAAAbj///+9////BkkAAAARVGFibGUuSW52ZW50VGFibGUJMwAAAAG1////vf///wZMAAAAF1RhYmxlLkludmVudFRhYmxlTW9kdWxlCT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L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sf///z5HbG9iZVNvZnR3YXJlLkF0bGFzNDAuQXRsYXNDb21tb24uVHlwZS5BdGxhc1F1ZXJ5QXR0cmlidXRlTmFtZQEAAAAHdmFsdWVfXwAIAgAAAAIAAAAGUAAAACQ3MmQyNDM0Yy01NTRkLTQzMjgtYTQyYi0wMzU1MzdlYzdkMjcBr////7L///8Brv///7H///8AAAAABlMAAAAEdHJ1ZQGs////sv///wGr////sf///wsAAAAGVgAAAB1DdXN0b21lciAtIFBhY2tpbmcgc2xpcCBsaW5lcwGp////sv///wGo////sf///xsAAAAGWQAAAARUcnVlAab///+y////AaX///+x////BgAAAAZcAAAABUZhbHNlAaP///+y////AaL///+x////HAAAAAlZAAAAAaD///+y////AZ////+x////HQAAAAlcAAAAAZ3///+y////AZz///+x////KgAAAAlZAAAAAZr///+y////AZn///+x////AQAAAAZoAAAAAzM2MgGX////sv///wGW////sf///ycAAAAGawAAAAs9RGF0YUFyZWFJZAGU////sv///wGT////sf///xkAAAAGbgAAAA9DZWxsc1ZlcnRpY2FsbHkBkf///7L///8BkP///7H///8JAAAACgGP////sv///wGO////sf///ygAAAAGcwAAAAIxMAGM////sv///wGL////sf///ysAAAAGdgAAABFUYWJsZVN0eWxlTWVkaXVtMgccAAAAAAEAAAAE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i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4AAAAFEN1c3RQYWNraW5nU2xpcFRyYW5zAQAAAAGH////if///wZ6AAAAClNhbGVzVGFibGUBAAAAAYX///+J////BnwAAAALSW52ZW50VGFibGUBAAAAAYP///+J////Bn4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X8AAAAHAAAACYA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AAAAAkSAAAABwAAAAmCAAAAASUAAAAEAAAAAwAAAAl/AAAAAwAAAAmE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UAAAAAAAAAByoAAAAAAQAAAAAAAAAELUdsb2JlU29mdHdhcmUuQXRsYXM0MC5BdGxhc0NvbW1vbi5UeXBlLkNvbHVtbgIAAAABMQAAAA4AAAD/////BoYAAAAKU2FsZXNUYWJsZQaHAAAADFNhbGVzIG9yZGVycwkIAAAACQgAAAAJCAAAAAF3////4P///wAAAAAJigAAAAmLAAAAAXT////d////PtDYbF0l+0GWg3DR1kJgnQkIAAAACQgAAAAJjgAAAAkwAAAABpAAAAAUQ3VzdFBhY2tpbmdTbGlwVHJhbnMGkQAAABpUYWJsZS5DdXN0UGFja2luZ1NsaXBUcmFucwaSAAAAIlRhYmxlLkN1c3RQYWNraW5nU2xpcFRyYW5zLlNhbGVzSWQGkwAAAAdTYWxlc0lkBpQAAAAHU2FsZXNJZAEAAAABa////9n///8AAAAAAWr////Y////AAAAAAAJlwAAAAE0AAAADgAAAP////8GmAAAAAtJbnZlbnRUYWJsZQaZAAAABUl0ZW1zCQgAAAAJCAAAAAkIAAAAAWX////g////AAAAAAmcAAAACZ0AAAABYv///93///8ycFoMTNKFTo/ooXh10hqmCQgAAAAJCAAAAAmgAAAACTMAAAAGogAAABRDdXN0UGFja2luZ1NsaXBUcmFucwajAAAAGlRhYmxlLkN1c3RQYWNraW5nU2xpcFRyYW5zBqQAAAAhVGFibGUuQ3VzdFBhY2tpbmdTbGlwVHJhbnMuSXRlbUlkBqUAAAAGSXRlbUlkBqYAAAAGSXRlbUlkAQAAAAFZ////2f///wAAAAABWP///9j///8AAAAAAAmpAAAAATcAAAAOAAAA/////waqAAAAEUludmVudFRhYmxlTW9kdWxlBqsAAAAbSW52ZW50b3J5IG1vZHVsZSBwYXJhbWV0ZXJzCQgAAAAJCAAAAAkIAAAAAVP////g////AAAAAAmuAAAACa8AAAABUP///93////L4s6lblR+S5Lcn5lvyFFrCQgAAAAJCAAAAAmyAAAACTYAAAAGtAAAABRDdXN0UGFja2luZ1NsaXBUcmFucwa1AAAAGlRhYmxlLkN1c3RQYWNraW5nU2xpcFRyYW5zBrYAAAAhVGFibGUuQ3VzdFBhY2tpbmdTbGlwVHJhbnMuSXRlbUlkBrcAAAAGSXRlbUlkBrgAAAAGSXRlbUlkAQAAAAFH////2f///wAAAAABRv///9j///8AAAAAAAm7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bwAAAAJvQAAAAm+AAAABr8AAAAKRGF0YUFyZWFJZAbAAAAAEENvbXBhbnkgYWNjb3VudHMGwQAAAAZTdHJpbmcJCAAAAAbDAAAAJGVhMjQ0YTIzLWM1YzEtNDY4Ni05ODFlLTZhMDdhM2M2N2Y5OAU8////LUdsb2JlU29mdHdhcmUuQXRsYXM0MC5BdGxhc0NvbW1vbi5BZ2dyZWdhdGlvbgEAAAAHdmFsdWVfXwAIAgAAAP////8AAAAABTv///8sR2xvYmVTb2Z0d2FyZS5BdGxhczQwLkF0bGFzQ29tbW9uLkNvbHVtblR5cGUBAAAAB3ZhbHVlX18ACAIAAAAAAAAABTr///8rR2xvYmVTb2Z0d2FyZS5BdGxhczQwLkF0bGFzQ29tbW9uLlNvcnRPcmRlcgEAAAAHdmFsdWVfXwAIAgAAAAIAAAAAAAAAAAU5////QEdsb2JlU29mdHdhcmUuQXRsYXM0MC5BdGxhc0NvbW1vbi5UeXBlLkNvbHVtbitDcm9zc1RhYkNvbHVtblR5cGUBAAAAB3ZhbHVlX18ACAIAAAAAAAAACgEAAAAAAAAAAAAAAAAABsgAAAAkN2U4YTJkNTUtOTNkOC00NzJkLWFmY2ItMTAxN2JlNWM5ZjU2BskAAAAlVGFibGUuQ3VzdFBhY2tpbmdTbGlwVHJhbnMuRGF0YUFyZWFJZAoKCgoBOQAAADgAAAAJygAAAAnLAAAACcwAAAAGzQAAAAdTYWxlc0lkBs4AAAALU2FsZXMgb3JkZXIGzwAAAAZTdHJpbmcJCAAAAAbRAAAAJGRmOWM3YjI0LTU5MGUtNGI3MS04ODdiLTE1MmFiOTFkZjE4NgEu////PP////////8BAAAAAS3///87////AAAAAAEs////Ov///wIAAAAAAAAAAAEr////Of///wAAAAAKAQAAAAAAAAAAAQAAAAAG1gAAACQxYTJmNWFhMy1lN2IyLTQ1OTktYWVjYy1kNzE2NWVmODlmNTUG1wAAACJUYWJsZS5DdXN0UGFja2luZ1NsaXBUcmFucy5TYWxlc0lkCgoKCgE6AAAAOAAAAAnYAAAACdkAAAAJ2gAAAAbbAAAABkl0ZW1JZAbcAAAABEl0ZW0G3QAAAAZTdHJpbmcJCAAAAAbfAAAAJDA0NTY0MjIyLWQyYTYtNGU3Yi04ZTUzLTU3YmExYTdiMmYyMwEg////PP////////8CAAAAAR////87////AAAAAAEe////Ov///wIAAAAAAAAAAAEd////Of///wAAAAAKAQAAAAAAAAAAAgAAAAAG5AAAACQ2NDAxYTY1Yy1hY2QyLTQ5YjQtYjM0ZC0wODM0MzQ5Mjg4OWEG5QAAACFUYWJsZS5DdXN0UGFja2luZ1NsaXBUcmFucy5JdGVtSWQKCgoKATsAAAA4AAAACeYAAAAJ5wAAAAnoAAAABukAAAAISXRlbU5hbWUG6gAAAAlJdGVtIG5hbWUG6wAAAAZTdHJpbmcJCAAAAAbtAAAAJGI4MzJlNzMyLTUwNWItNDUwMS04YWE1LTU3N2QxMGY1Y2RhMgES////PP////////8DAAAAARH///87////AAAAAAEQ////Ov///wIAAAAAAAAAAAEP////Of///wAAAAAKAQAAAAAAAAAAAwAAAAAG8gAAACRjMjNiMDcxZS1mOGVhLTQyYTItYjE4Mi1jZDVlZDVlNTY2NmQG8wAAADxUYWJsZS5DdXN0UGFja2luZ1NsaXBUcmFucy5JdGVtSWR+VGFibGUuSW52ZW50VGFibGUuSXRlbU5hbWUKCgoKATwAAAA4AAAACfQAAAAJ9QAAAAn2AAAABvcAAAAMRGVsaXZlcnlEYXRlBvgAAAAJU2hpcCBkYXRlBvkAAAAERGF0ZQkIAAAABvsAAAAkY2JjMWIxMDktY2E3Yy00Njg0LWI0YzgtZDU4NWRiMDYxMjEyAQT///88/////////wQAAAABA////zv///8AAAAAAQL///86////AgAAAAAAAAAAAQH///85////AAAAAAoBAAAAAAAAAAAEAAAAAAYAAQAAJGQ2YTNiY2VkLTIxNTYtNGY3Mi1iZTY1LTY2OTM5NzA5ZTY5ZQYBAQAAJ1RhYmxlLkN1c3RQYWNraW5nU2xpcFRyYW5zLkRlbGl2ZXJ5RGF0ZQoKCgoBPQAAADgAAAAJAgEAAAkDAQAACQQBAAAGBQEAAANRdHkGBgEAAAlEZWxpdmVyZWQGBwEAAARSZWFsCQgAAAAGCQEAACRiNTJhYzVjYy04MDllLTRiYzQtODNmNS1hYjQxMTQyMjU5YzQB9v7//zz///8BAAAABQAAAAH1/v//O////wAAAAAB9P7//zr///8CAAAAAAAAAAAB8/7//zn///8AAAAACgEAAAAAAAAAAAUAAAAABg4BAAAkM2FmZjVkOWMtM2M3NS00ZTY1LTgxOGMtYWIwOTE4NmY4ZDBkBg8BAAAeVGFibGUuQ3VzdFBhY2tpbmdTbGlwVHJhbnMuUXR5CgoKCgE+AAAAOAAAAAkQAQAACREBAAAJEgEAAAYTAQAACVNhbGVzVW5pdAYUAQAAClNhbGVzIHVuaXQGFQEAAAZTdHJpbmcJCAAAAAYXAQAAJGYyNGFiMTY2LWIxY2MtNGU5Ny04MGUyLTdmMWU3ODE0ODk5ZQHo/v//PP////////8GAAAAAef+//87////AAAAAAHm/v//Ov///wIAAAAAAAAAAAHl/v//Of///wAAAAAKAQAAAAAAAAAABgAAAAAGHAEAACQxZDE4MDRlZi04NTFiLTRiOWEtYmM2OC02ODM4YzY0MWIwODAGHQEAACRUYWJsZS5DdXN0UGFja2luZ1NsaXBUcmFucy5TYWxlc1VuaXQKCgoKAT8AAAA4AAAACR4BAAAJHwEAAAkgAQAABiEBAAA3QXRsYXNNYW5hZ2VkQ29sdW1uXzZkZjdiY2ZmLWI1YWMtNGFkYS04NGMyLWU2M2M3ZTQyMmI4NwYiAQAAFEludmVudCBxdHkgZGVsaXZlcmVkCQgAAAAJCAAAAAYkAQAAJGE3NTBjOWFjLWJjMjYtNDhhMi04ZTc2LTdjN2I4MTAxNmE2OQHb/v//PP////////8HAAAAAdr+//87////AgAAAAHZ/v//Ov///wIAAAAAAAAAAAHY/v//Of///wAAAAAKAQAAAAAAAAAABwAAAAAGKQEAACRmYWJiNWIyMi1iZDVkLTRmMjUtYjljZS1mMTBlYTFhNmQ5YTQJCAAAAAoKCgoBQAAAADgAAAAJKwEAAAksAQAACS0BAAAGLgEAAAZVbml0SWQGLwEAAAtJbnZlbnQgdW5pdAYwAQAABlN0cmluZwkIAAAABjIBAAAkNmIyYjAwNmUtNjNhNy00MWM3LThmMWEtMzUxMWIxMmI5ZDgyAc3+//88/////////wgAAAABzP7//zv///8AAAAAAcv+//86////AgAAAAAAAAAAAcr+//85////AAAAAAoBAAAAAAAAAAAIAAAAAAY3AQAAJGU1NjQyYmIyLTk4Y2QtNDBiZS05MzY4LTY2NDU5MGQzZjQ4MgY4AQAAQFRhYmxlLkN1c3RQYWNraW5nU2xpcFRyYW5zLkl0ZW1JZH5UYWJsZS5JbnZlbnRUYWJsZU1vZHVsZS5Vbml0SWQKCgoKAUEAAAA4AAAACTkBAAAJOgEAAAk7AQAABjwBAAANSW52ZW50VHJhbnNJZAY9AQAABkxvdCBJRAY+AQAABlN0cmluZwkIAAAABkABAAAkYTg0YzYwMDEtZGRkYi00OWRjLWJmZDgtN2RkZDMyNjZhNWExAb/+//88/////////wkAAAABvv7//zv///8AAAAAAb3+//86////AgAAAAAAAAAAAbz+//85////AAAAAAoBAAAAAAAAAAAJAAAAAAZFAQAAJDNmNjU3N2NmLTRlODctNDJhNC04ZWEzLTBkYTUxM2RkNGZlNQZGAQAAKFRhYmxlLkN1c3RQYWNraW5nU2xpcFRyYW5zLkludmVudFRyYW5zSWQKCgoKAX8AAAASAAAAB4A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Ln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kgBAAAlVGFibGUuQ3VzdFBhY2tpbmdTbGlwVHJhbnMuRGF0YUFyZWFJZAlJAQAAAbb+//+5/v//BksBAAAiVGFibGUuQ3VzdFBhY2tpbmdTbGlwVHJhbnMuU2FsZXNJZAlMAQAAAbP+//+5/v//Bk4BAAAhVGFibGUuQ3VzdFBhY2tpbmdTbGlwVHJhbnMuSXRlbUlkCU8BAAABsP7//7n+//8GUQEAACdUYWJsZS5DdXN0UGFja2luZ1NsaXBUcmFucy5EZWxpdmVyeURhdGUJUgEAAAGt/v//uf7//wZUAQAAHlRhYmxlLkN1c3RQYWNraW5nU2xpcFRyYW5zLlF0eQlVAQAAAar+//+5/v//BlcBAAAkVGFibGUuQ3VzdFBhY2tpbmdTbGlwVHJhbnMuU2FsZXNVbml0CVgBAAABp/7//7n+//8GWgEAAChUYWJsZS5DdXN0UGFja2luZ1NsaXBUcmFucy5JbnZlbnRUcmFuc0lkCVsBAAAHggA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KT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XQEAACFUYWJsZS5DdXN0UGFja2luZ1NsaXBUcmFucy5JdGVtSWQJXgEAAAGh/v//pP7//wZgAQAAJ1RhYmxlLkN1c3RQYWNraW5nU2xpcFRyYW5zLkRlbGl2ZXJ5RGF0ZQlhAQAAAZ7+//+k/v//BmMBAAAnVGFibGUuQ3VzdFBhY2tpbmdTbGlwVHJhbnMuRGltZW5zaW9uWzhdCWQBAAABm/7//6T+//8GZgEAACdUYWJsZS5DdXN0UGFja2luZ1NsaXBUcmFucy5EaW1lbnNpb25bN10JZwEAAAeE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Y/v//1P///wkwAAAACTEAAAABlf7//9T///8JMwAAAAk0AAAAAZL+///U////CTYAAAAJNwAAAASF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i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EBAAAAAAAAAYsAAAAiAAAAAQAAAAkSAAAAAwAAAAlzAQAABI4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xAQAAAAAAAAGXAAAAKQAAAAAAAAAJdQEAAAAAAAABnAAAACEAAAABAAAACXYBAAADAAAACXcBAAAEnQ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g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dgEAAAAAAAABqQAAACkAAAAAAAAACXoBAAAAAAAAAa4AAAAhAAAAAQAAAAl7AQAAAwAAAAl8AQAAAa8AAAAiAAAAAQAAAAkSAAAAAwAAAAl+AQAABLI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7AQAAAAAAAAG7AAAAKQAAAAAAAAAJgAEAAAAAAAAEv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gQEAAAEAAAABAAAABL0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QAAAAmCAQAABwAAAAmDAQAABL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mEAQAABwAAAAmFAQAAAcoAAAC8AAAACYYBAAABAAAAAQAAAAHLAAAAvQAAAIgAAAAJhwEAAAcAAAAJiAEAAATM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iQEAAAcAAAAJigEAAAHYAAAAvAAAAAmLAQAAAQAAAAEAAAAB2QAAAL0AAADBAAAACYwBAAAHAAAACY0BAAAE2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122AAAACXEBAAAHAAAACY8BAAAB5gAAALwAAAAJkAEAAAEAAAABAAAAAecAAAC9AAAApwAAAAmRAQAABwAAAAmSAQAABO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l2AQAABwAAAAmUAQAAAfQAAAC8AAAACZUBAAABAAAAAQAAAAH1AAAAvQAAAJYAAAAJlgEAAAcAAAAJlwEAAAT2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mAEAAAcAAAAJmQEAAAECAQAAvAAAAAmaAQAAAQAAAAEAAAABAwEAAL0AAADBAAAACYwBAAAHAAAACZwBAAAEB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122AAAACXEBAAAHAAAACZ4BAAABEAEAALwAAAAJnwEAAAEAAAABAAAAAREBAAC9AAAAmwAAAAmWAQAABwAAAAmhAQAABBI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mYAQAABwAAAAmjAQAAAR4BAAC8AAAACaQBAAAAAAAAAAAAAAEfAQAAvQAAAJkAAAAJlgEAAAcAAAAJpgEAAAQ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mAEAAAcAAAAJqAEAAAErAQAAvAAAAAmpAQAAAQAAAAEAAAABLAEAAL0AAACAAAAACaoBAAAHAAAACasBAAAEL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XsBAAAHAAAACa0BAAABOQEAALwAAAAJrgEAAAEAAAABAAAAAToBAAC9AAAAgQAAAAmCAQAABwAAAAmwAQAABD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mEAQAABwAAAAmyAQAABUk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U3+//88/////////wAGtAEAAAZTdHJpbmcGtQEAABBDb21wYW55IGFjY291bnRzCbYBAAABSf7//zr///8CAAAABUj+//85R2xvYmVTb2Z0d2FyZS5BdGxhczQwLkF0bGFzQ29tbW9uLk51bWJlclNlcXVlbmNlQ29uZGl0aW9uAQAAAAd2YWx1ZV9fAAgCAAAAAQAAAAAABrkBAAAaVGFibGUuQ3VzdFBhY2tpbmdTbGlwVHJhbnMJvwAAAAkIAAAACv////8JuQEAAAoJvwAAAAoKCgkIAAAACb8BAAAJCAAAAAFMAQAASQEAAAE//v//PP////////8ABsIBAAAGU3RyaW5nBsMBAAALU2FsZXMgb3JkZXIJxAEAAAE7/v//Ov///wIAAAABOv7//0j+//8BAAAAAAAGxwEAABpUYWJsZS5DdXN0UGFja2luZ1NsaXBUcmFucwnNAAAACQgAAAAK/////wnHAQAACgnNAAAACgoKCQgAAAAJzQEAAAkIAAAAAU8BAABJAQAAATH+//88/////////wAG0AEAAAZTdHJpbmcG0QEAAARJdGVtCdIBAAABLf7//zr///8CAAAAASz+//9I/v//AQAAAAAABtUBAAAaVGFibGUuQ3VzdFBhY2tpbmdTbGlwVHJhbnMJ2wAAAAkIAAAACv////8J1QEAAAoJ2wAAAAoKCgkIAAAACdsBAAAJCAAAAAFSAQAASQEAAAEj/v//PP////////8ABt4BAAAERGF0ZQbfAQAACVNoaXAgZGF0ZQngAQAAAR/+//86////AgAAAAEe/v//SP7//wEAAAAAAAbjAQAAGlRhYmxlLkN1c3RQYWNraW5nU2xpcFRyYW5zCfcAAAAJCAAAAAr/////CeMBAAAKCfcAAAAKCgoJCAAAAAnpAQAACQgAAAABVQEAAEkBAAABFf7//zz/////////AAbsAQAABFJlYWwG7QEAAAlEZWxpdmVyZWQJ0gEAAAER/v//Ov///wIAAAABEP7//0j+//8BAAAAAAAJ1QEAAAkFAQAACQgAAAAK/////wnVAQAACgkFAQAACgoKCQgAAAAJ9wEAAAkIAAAAAVgBAABJAQAAAQf+//88/////////wAG+gEAAAZTdHJpbmcG+wEAAARVbml0CeABAAABA/7//zr///8CAAAAAQL+//9I/v//AQAAAAAACeMBAAAJEwEAAAkIAAAACv////8J4wEAAAoJEwEAAAoKCgkIAAAACQUCAAAJCAAAAAFbAQAASQEAAAH5/f//PP////////8ABggCAAAGU3RyaW5nBgkCAAAGTG90IElECbYBAAAB9f3//zr///8CAAAAAfT9//9I/v//AQAAAAAACbkBAAAJPAEAAAkIAAAACv////8JuQEAAAoJPAEAAAoKCgkIAAAACRMCAAAJCAAAAAVe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FQIAABpUYWJsZS5DdXN0UGFja2luZ1NsaXBUcmFucwYWAgAABkl0ZW1JZAkIAAAABhgCAAABKv////8JFQIAAAoJFgIAAAoKCgkIAAAACRwCAAAJCAAAAAFhAQAAXgEAAAkVAgAABh8CAAAMRGVsaXZlcnlEYXRlCQgAAAAGIQIAABYxLjEuMjAxOSAuLiAxMi4zMS4yMDE5/////wkVAgAACgkfAgAACgoKCQgAAAAJJQIAAAkIAAAAAWQBAABeAQAACRUCAAAGKAIAAAxEaW1lbnNpb25bOF0JCAAAAAYqAgAAASr/////CRUCAAAKCSgCAAAKCgoJCAAAAAkuAgAACQgAAAABZwEAAF4BAAAJFQIAAAYxAgAADERpbWVuc2lvbls3XQkIAAAABjMCAAAHQVNQSEFMVP////8JFQIAAAoJMQIAAAoKCgkIAAAACTcCAAAJCAAAAAFxAQAAEgAAAAdz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x/3//6T+//8GOgIAAD1UYWJsZS5DdXN0UGFja2luZ1NsaXBUcmFucy5TYWxlc0lkflRhYmxlLlNhbGVzVGFibGUuQ3VzdEdyb3VwCTsCAAABdQEAAIUAAAABdgEAABIAAAAHd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xP3//7n+//8GPQIAADxUYWJsZS5DdXN0UGFja2luZ1NsaXBUcmFucy5JdGVtSWR+VGFibGUuSW52ZW50VGFibGUuSXRlbU5hbWUJPgIAAAF6AQAAhQAAAAF7AQAAEgAAAAd8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B/f//uf7//wZAAgAAQFRhYmxlLkN1c3RQYWNraW5nU2xpcFRyYW5zLkl0ZW1JZH5UYWJsZS5JbnZlbnRUYWJsZU1vZHVsZS5Vbml0SWQJQQIAAAd+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vv3//6T+//8GQwIAAERUYWJsZS5DdXN0UGFja2luZ1NsaXBUcmFucy5JdGVtSWR+VGFibGUuSW52ZW50VGFibGVNb2R1bGUuTW9kdWxlVHlwZQlEAgAAAYABAACFAAAAB4EBAAAAAQAAAAQAAAAEN0dsb2JlU29mdHdhcmUuQXRsYXM0MC5BdGxhc0NvbW1vbi5UeXBlLkZpZWxkT3V0cHV0RmllbGQCAAAACUkBAAANAwSC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D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uv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5/f//Mkdsb2JlU29mdHdhcmUuQXRsYXM0MC5BdGxhc0NvbW1vbi5Db2x1bW5BdHRyaWJ1dGVzAQAAAAd2YWx1ZV9fAAgCAAAACQAAAAkIAAAAAbf9//+6/f//Abb9//+5/f//CwAAAAZLAgAAATABtP3//7r9//8Bs/3//7n9//8EAAAABk4CAAAHR2VuZXJhbAGx/f//uv3//wGw/f//uf3//wIAAAAGUQIAAAExAa79//+6/f//Aa39//+5/f//AAAAAAZUAgAABDkuMjkBhAEAABIAAAAHh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r/f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lYCAAAIRm9udEJvbGQGVwIAAAVGYWxzZQGo/f//q/3//wZZAgAACkZvbnRJdGFsaWMJVwIAAAGl/f//q/3//wZcAgAADUZvbnRVbmRlcmxpbmUGXQIAAAUtNDE0MgGi/f//q/3//wZfAgAACEZvbnROYW1lBmACAAAHQ2FsaWJyaQGf/f//q/3//wZiAgAACUZvbnRDb2xvcgZjAgAAATABnP3//6v9//8GZQIAAAhGb250U2l6ZQZmAgAAAjExAZn9//+r/f//BmgCAAAJRm9udFN0eWxlBmkCAAAHUmVndWxhcgeGAQAAAAEAAAAEAAAABDdHbG9iZVNvZnR3YXJlLkF0bGFzNDAuQXRsYXNDb21tb24uVHlwZS5GaWVsZE91dHB1dEZpZWxkAgAAAAlMAQAADQMBhwEAAIIBAAAHi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X9//+6/f//AZT9//+5/f//CQAAAAkIAAAAAZL9//+6/f//AZH9//+5/f//CwAAAAZwAgAAATEBj/3//7r9//8Bjv3//7n9//8EAAAABnMCAAAHR2VuZXJhbAGM/f//uv3//wGL/f//uf3//wIAAAAGdgIAAAExAYn9//+6/f//AYj9//+5/f//AAAAAAZ5AgAABTE0LjI5AYkBAAASAAAAB4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3//6v9//8GewIAAAhGb250Qm9sZAlXAgAAAYP9//+r/f//Bn4CAAAKRm9udEl0YWxpYwlXAgAAAYD9//+r/f//BoECAAANRm9udFVuZGVybGluZQaCAgAABS00MTQyAX39//+r/f//BoQCAAAIRm9udE5hbWUGhQIAAAdDYWxpYnJpAXr9//+r/f//BocCAAAJRm9udENvbG9yBogCAAABMAF3/f//q/3//waKAgAACEZvbnRTaXplBosCAAACMTEBdP3//6v9//8GjQIAAAlGb250U3R5bGUGjgIAAAdSZWd1bGFyB4sBAAAAAQAAAAQAAAAEN0dsb2JlU29mdHdhcmUuQXRsYXM0MC5BdGxhc0NvbW1vbi5UeXBlLkZpZWxkT3V0cHV0RmllbGQCAAAACU8BAAANAwGMAQAAggEAAAeN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P3//7r9//8Bb/3//7n9//8QAAAABpICAAAETm9uZQFt/f//uv3//wFs/f//uf3//wkAAAAJCAAAAAFq/f//uv3//wFp/f//uf3//wsAAAAGmAIAAAEyAWf9//+6/f//AWb9//+5/f//BAAAAAabAgAAB0dlbmVyYWwBZP3//7r9//8BY/3//7n9//8CAAAABp4CAAABMQFh/f//uv3//wFg/f//uf3//wAAAAAGoQIAAAUxNy40Mwe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79//+r/f//BqMCAAAIRm9udEJvbGQJVwIAAAFb/f//q/3//wamAgAACkZvbnRJdGFsaWMJVwIAAAFY/f//q/3//wapAgAADUZvbnRVbmRlcmxpbmUGqgIAAAUtNDE0MgFV/f//q/3//wasAgAACEZvbnROYW1lBq0CAAAHQ2FsaWJyaQFS/f//q/3//wavAgAACUZvbnRDb2xvcgawAgAAATABT/3//6v9//8GsgIAAAhGb250U2l6ZQazAgAAAjExAUz9//+r/f//BrUCAAAJRm9udFN0eWxlBrYCAAAHUmVndWxhcgeQAQAAAAEAAAAEAAAABDdHbG9iZVNvZnR3YXJlLkF0bGFzNDAuQXRsYXNDb21tb24uVHlwZS5GaWVsZE91dHB1dEZpZWxkAgAAAAk+AgAADQMBkQEAAIIBAAAHk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j9//+6/f//AUf9//+5/f//CQAAAAkIAAAAAUX9//+6/f//AUT9//+5/f//CwAAAAa9AgAAATMBQv3//7r9//8BQf3//7n9//8EAAAABsACAAAHR2VuZXJhbAE//f//uv3//wE+/f//uf3//wIAAAAGwwIAAAExATz9//+6/f//ATv9//+5/f//AAAAAAbGAgAABTM1LjE0B5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3//6v9//8GyAIAAAhGb250Qm9sZAlXAgAAATb9//+r/f//BssCAAAKRm9udEl0YWxpYwlXAgAAATP9//+r/f//Bs4CAAANRm9udFVuZGVybGluZQbPAgAABS00MTQyATD9//+r/f//BtECAAAIRm9udE5hbWUG0gIAAAdDYWxpYnJpAS39//+r/f//BtQCAAAJRm9udENvbG9yBtUCAAABMAEq/f//q/3//wbXAgAACEZvbnRTaXplBtgCAAACMTEBJ/3//6v9//8G2gIAAAlGb250U3R5bGUG2wIAAAdSZWd1bGFyB5UBAAAAAQAAAAQAAAAEN0dsb2JlU29mdHdhcmUuQXRsYXM0MC5BdGxhc0NvbW1vbi5UeXBlLkZpZWxkT3V0cHV0RmllbGQCAAAACVIBAAANAwGWAQAAggEAAAeX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3//7r9//8BIv3//7n9//8JAAAACQgAAAABIP3//7r9//8BH/3//7n9//8LAAAABuICAAABNAEd/f//uv3//wEc/f//uf3//wQAAAAG5QIAAAhtL2QveXl5eQEa/f//uv3//wEZ/f//uf3//wIAAAAG6AIAAAExARf9//+6/f//ARb9//+5/f//AAAAAAbrAgAABTEwLjg2AZgBAAASAAAAB5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P3//6v9//8JyAIAAAlXAgAAARH9//+r/f//CcsCAAAJVwIAAAEO/f//q/3//wnOAgAABvQCAAAFLTQxNDIBC/3//6v9//8J0QIAAAb3AgAAB0NhbGlicmkBCP3//6v9//8J1AIAAAb6AgAAATABBf3//6v9//8J1wIAAAb9AgAAAjExAQL9//+r/f//CdoCAAAGAAMAAAdSZWd1bGFyB5oBAAAAAQAAAAQAAAAEN0dsb2JlU29mdHdhcmUuQXRsYXM0MC5BdGxhc0NvbW1vbi5UeXBlLkZpZWxkT3V0cHV0RmllbGQCAAAACVUBAAANAwe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vz//7r9//8B/fz//7n9//8QAAAACZICAAAB+/z//7r9//8B+vz//7n9//8JAAAACQgAAAAB+Pz//7r9//8B9/z//7n9//8LAAAABgoDAAABNQH1/P//uv3//wH0/P//uf3//wQAAAAGDQMAAAdHZW5lcmFsAfL8//+6/f//AfH8//+5/f//AgAAAAYQAwAAATEB7/z//7r9//8B7vz//7n9//8AAAAABhMDAAAFMTEuMjkHn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P//q/3//wmjAgAACVcCAAAB6fz//6v9//8JpgIAAAlXAgAAAeb8//+r/f//CakCAAAGHAMAAAUtNDE0MgHj/P//q/3//wmsAgAABh8DAAAHQ2FsaWJyaQHg/P//q/3//wmvAgAABiIDAAABMAHd/P//q/3//wmyAgAABiUDAAACMTEB2vz//6v9//8JtQIAAAYoAwAAB1JlZ3VsYXIHnwEAAAABAAAABAAAAAQ3R2xvYmVTb2Z0d2FyZS5BdGxhczQwLkF0bGFzQ29tbW9uLlR5cGUuRmllbGRPdXRwdXRGaWVsZAIAAAAJWAEAAA0DB6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W/P//uv3//wHV/P//uf3//wkAAAAJCAAAAAHT/P//uv3//wHS/P//uf3//wsAAAAGLwMAAAE2AdD8//+6/f//Ac/8//+5/f//BAAAAAYyAwAAB0dlbmVyYWwBzfz//7r9//8BzPz//7n9//8CAAAABjUDAAABMQHK/P//uv3//wHJ/P//uf3//wAAAAAGOAMAAAQ2LjQzAcf8//+6/f//Acb8//+5/f//JAAAAAkUAQAAB6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Pz//6v9//8JyAIAAAlXAgAAAcH8//+r/f//CcsCAAAJVwIAAAG+/P//q/3//wnOAgAABkQDAAAFLTQxNDIBu/z//6v9//8J0QIAAAZHAwAAB0NhbGlicmkBuPz//6v9//8J1AIAAAZKAwAAATABtfz//6v9//8J1wIAAAZNAwAAAjExAbL8//+r/f//CdoCAAAGUAMAAAdSZWd1bGFyB6QBAAAAAQAAAAAAAAAEN0dsb2JlU29mdHdhcmUuQXRsYXM0MC5BdGxhc0NvbW1vbi5UeXBlLkZpZWxkT3V0cHV0RmllbGQCAAAAB6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P//uv3//wGu/P//uf3//yQAAAAJIgEAAAGs/P//uv3//wGr/P//uf3//wsAAAAGVgMAAAE3Aan8//+6/f//Aaj8//+5/f//BAAAAAZZAwAAB0dlbmVyYWwBpvz//7r9//8Bpfz//7n9//8CAAAABlwDAAABMQGj/P//uv3//wGi/P//uf3//wAAAAAGXwMAAAUxNy44NgGg/P//uv3//wGf/P//uf3//wMAAAAGYgMAAFM9U1VNSUZTKEludmVudFRyYW5zIUY6RixJbnZlbnRUcmFucyFCOkIsW0BbTG90IElEXV0sSW52ZW50VHJhbnMhQzpDLFtAW1NoaXAgZGF0ZV1dKQe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38//+r/f//BmQDAAAIRm9udEJvbGQJVwIAAAGa/P//q/3//wZnAwAACkZvbnRJdGFsaWMJVwIAAAGX/P//q/3//wZqAwAADUZvbnRVbmRlcmxpbmUGawMAAAUtNDE0MgGU/P//q/3//wZtAwAACEZvbnROYW1lBm4DAAAHQ2FsaWJyaQGR/P//q/3//wZwAwAACUZvbnRDb2xvcgZxAwAAATABjvz//6v9//8GcwMAAAhGb250U2l6ZQZ0AwAAAjExAYv8//+r/f//BnYDAAAJRm9udFN0eWxlBncDAAAHUmVndWxhcgepAQAAAAEAAAAEAAAABDdHbG9iZVNvZnR3YXJlLkF0bGFzNDAuQXRsYXNDb21tb24uVHlwZS5GaWVsZE91dHB1dEZpZWxkAgAAAAlBAgAADQMBqgEAAIIBAAAHq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f8//+6/f//AYb8//+5/f//CQAAAAkIAAAAAYT8//+6/f//AYP8//+5/f//CwAAAAZ+AwAAATgBgfz//7r9//8BgPz//7n9//8kAAAACS8BAAABfvz//7r9//8Bffz//7n9//8EAAAABoQDAAAHR2VuZXJhbAF7/P//uv3//wF6/P//uf3//wIAAAAGhwMAAAExAXj8//+6/f//AXf8//+5/f//AAAAAAaKAwAABDcuNDMHr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1/P//q/3//wlWAgAACVcCAAABcvz//6v9//8JWQIAAAlXAgAAAW/8//+r/f//CVwCAAAGkwMAAAUtNDE0MgFs/P//q/3//wlfAgAABpYDAAAHQ2FsaWJyaQFp/P//q/3//wliAgAABpkDAAABMAFm/P//q/3//wllAgAABpwDAAACMTEBY/z//6v9//8JaAIAAAafAwAAB1JlZ3VsYXIHrgEAAAABAAAABAAAAAQ3R2xvYmVTb2Z0d2FyZS5BdGxhczQwLkF0bGFzQ29tbW9uLlR5cGUuRmllbGRPdXRwdXRGaWVsZAIAAAAJWwEAAA0DB7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f/P//uv3//wFe/P//uf3//wkAAAAJCAAAAAFc/P//uv3//wFb/P//uf3//wsAAAAGpgMAAAE5AVn8//+6/f//AVj8//+5/f//BAAAAAapAwAAB0dlbmVyYWwBVvz//7r9//8BVfz//7n9//8CAAAABqwDAAABMQFT/P//uv3//wFS/P//uf3//wAAAAAGrwMAAAQ5LjQzB7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z//6v9//8JVgIAAAlXAgAAAU38//+r/f//CVkCAAAJVwIAAAFK/P//q/3//wlcAgAABrgDAAAFLTQxNDIBR/z//6v9//8JXwIAAAa7AwAAB0NhbGlicmkBRPz//6v9//8JYgIAAAa+AwAAATABQfz//6v9//8JZQIAAAbBAwAAAjExAT78//+r/f//CWgCAAAGxAMAAAdSZWd1bGFyAbYBAAAOAAAA/////wbFAwAAFEN1c3RQYWNraW5nU2xpcFRyYW5zBsYDAAAdQ3VzdG9tZXIgLSBQYWNraW5nIHNsaXAgbGluZXMJCAAAAAkIAAAACQgAAAABOPz//+D///8AAAAACckDAAAJygMAAAE1/P//3f///xibWGlMoHpDrmm2LamVJ4oJCAAAAAkIAAAACc0DAAAJuQEAAAoKCgoKAQAAAAEx/P//2f///wAAAAABMPz//9j///8AAAAAAAnRAwAABL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gAAAAmEAQAAAwAAAAnTAwAAAcQBAAAOAAAA/////wbUAwAAFEN1c3RQYWNraW5nU2xpcFRyYW5zBtUDAAAdQ3VzdG9tZXIgLSBQYWNraW5nIHNsaXAgbGluZXMJCAAAAAkIAAAACQgAAAABKfz//+D///8AAAAACdgDAAAJ2QMAAAEm/P//3f///587x2T98OpJrLaH76c44JIJCAAAAAkIAAAACdwDAAAJxwEAAAoKCgoKAQAAAAEi/P//2f///wAAAAABIfz//9j///8AAAAAAAngAwAABM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AAAAAmJAQAAAwAAAAniAwAAAdIBAAAOAAAASAAAAAbjAwAAFEN1c3RQYWNraW5nU2xpcFRyYW5zBuQDAAAdQ3VzdG9tZXIgLSBQYWNraW5nIHNsaXAgbGluZXMJCAAAAAkIAAAACQgAAAABGvz//+D///8AAAAACecDAAAJ6AMAAAEX/P//3f///9mGVy3QSpNOiDs3qVZ3QuMJCAAAAAkIAAAACesDAAAJ1QEAAAoKCgoKAQAAAAET/P//2f///wAAAAABEvz//9j///8AAAAAAAnvAwAABN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lxAQAAAwAAAAnxAwAAAeABAAAOAAAA/////wbyAwAAFEN1c3RQYWNraW5nU2xpcFRyYW5zBvMDAAAdQ3VzdG9tZXIgLSBQYWNraW5nIHNsaXAgbGluZXMJCAAAAAkIAAAACQgAAAABC/z//+D///8AAAAACfYDAAAJ9wMAAAEI/P//3f///8mbNmhPe5FPk59kBP9XQpIJCAAAAAkIAAAACfoDAAAJ4wEAAAoKCgoKAQAAAAEE/P//2f///wAAAAABA/z//9j///8AAAAAAAn+AwAABO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YAQAAAwAAAAkABAAABP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lxAQAAAwAAAAkCBAAABAU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YAQAAAwAAAAkEBAAABBM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gAAAAmEAQAAAwAAAAkGBAAABBw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l7AQAAAwAAAAkIBAAABCU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l7AQAAAwAAAAkKBAAABC4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l7AQAAAwAAAAkMBAAABDc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l7AQAAAwAAAAkOBAAAATsCAABeAQAACTAAAAAGEAQAAAlDdXN0R3JvdXAJCAAAAAYSBAAAASr/////CTAAAAAKCRAEAAAGFQQAAAdTYWxlc0lkCgoJCAAAAAkXBAAACQgAAAABPgIAAEkBAAAB5/v//zz/////////AAYaBAAABlN0cmluZwYbBAAACUl0ZW0gbmFtZQk0AAAAAeP7//86////AgAAAAHi+///SP7//wEAAAAAAAkzAAAACekAAAAJCAAAAAr/////CTMAAAAKCekAAAAGJAQAAAZJdGVtSWQGJQQAABRDdXN0UGFja2luZ1NsaXBUcmFucwoJCAAAAAknBAAACQgAAAABQQIAAEkBAAAB1/v//zz/////////AAYqBAAABlN0cmluZwYrBAAABFVuaXQJNwAAAAHT+///Ov///wIAAAAB0vv//0j+//8BAAAAAAAJNgAAAAkuAQAACQgAAAAK/////wk2AAAACgkuAQAABjQEAAAGSXRlbUlkBjUEAAAUQ3VzdFBhY2tpbmdTbGlwVHJhbnMKCQgAAAAJNwQAAAkIAAAAAUQCAABeAQAACTYAAAAGOgQAAApNb2R1bGVUeXBlCQgAAAAGPAQAAAZJbnZlbnT/////CTYAAAAGPgQAABFJbnZlbnRUYWJsZU1vZHVsZQk6BAAABkAEAAAGSXRlbUlkCgoJCAAAAAlCBAAACQgAAAAByQMAACEAAAAHAAAACUQEAAAHAAAACUUEAAABygMAACIAAAAEAAAACYkBAAAHAAAACUcEAAABzQMAAAQAAAADAAAACUQEAAADAAAACUkEAAAB0QMAACkAAAAAAAAACUoEAAAAAAAAB9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fv//6v9//8GTAQAAAVMYWJlbAm1AQAAAbL7//+r/f//Bk8EAAAEVHlwZQm0AQAAAdgDAAAhAAAABQAAAAlRBAAABwAAAAlSBAAAAdkDAAAiAAAABAAAAAmYAQAABwAAAAlUBAAAAdwDAAAEAAAAAwAAAAlRBAAAAwAAAAlWBAAAAeADAAApAAAAAAAAAAlXBAAAAAAAAAfi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7//+r/f//BlkEAAAFTGFiZWwJwwEAAAGl+///q/3//wZcBAAABFR5cGUJwgEAAAHnAwAAIQAAAAUAAAAJXgQAAAcAAAAJXwQAAAHoAwAAIgAAAAYAAAAJXgQAAAcAAAAJYQQAAAHrAwAABAAAAAEAAAAJXgQAAAMAAAAJYwQAAAHvAwAAKQAAAAAAAAAJZAQAAAAAAAAH8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///q/3//wZmBAAACEhlbHBUZXh0BmcEAAAOSWRlbnRpZnkgaXRlbS4BmPv//6v9//8GaQQAAAVMYWJlbAnRAQAAAZX7//+r/f//BmwEAAAEVHlwZQnQAQAAAfYDAAAhAAAACAAAAAluBAAABwAAAAlvBAAAAfcDAAAiAAAABAAAAAmYAQAABwAAAAlxBAAAAfoDAAAEAAAAAwAAAAluBAAAAwAAAAlzBAAAAf4DAAApAAAAAAAAAAl0BAAAAAAAAAcA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7//+r/f//BnYEAAAFTGFiZWwJ3wEAAAGI+///q/3//wZ5BAAABFR5cGUJ3gEAAAcC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7//+r/f//CWYEAAAGfQQAACRUb3RhbCBxdWFudGl0eSBvZiB0aGlzIGl0ZW0gcmVsZWFzZWQBgvv//6v9//8JaQQAAAntAQAAAX/7//+r/f//CWwEAAAJ7AEAAAcE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z7//+r/f//CXYEAAAJ+wEAAAF5+///q/3//wl5BAAACfoBAAAHB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2+///q/3//wlMBAAACQkCAAABc/v//6v9//8JTwQAAAkIAgAABw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v//6v9//8GkQQAAARUeXBlCdABAAABbfv//6v9//8GlAQAAAVMYWJlbAnRAQAAAWr7//+r/f//BpcEAAAIUmVmZXJzVG8GmAQAAAs9SXRlbU51bWJlcgcK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f7//+r/f//CZEEAAAJ3gEAAAFk+///q/3//wmUBAAACd8BAAABYfv//6v9//8JlwQAAAahBAAACz1EYXRlUGVyaW9kBww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v//6v9//8JkQQAAAakBAAABlN0cmluZwFb+///q/3//wmUBAAABqcEAAAWRGV0YWlsIE1hcmtldGluZyBHcm91cAFY+///q/3//wmXBAAABqoEAAAEPURNRwcO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X7//+r/f//CZEEAAAJpAQAAAFS+///q/3//wmUBAAABrAEAAAVTWFqb3IgTWFya2V0aW5nIEdyb3VwAU/7//+r/f//CZcEAAAGswQAAAQ9TU1HBBc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l7AQAAAwAAAAm1BAAABCc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l2AQAAAwAAAAm3BAAABDc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AAAAAl7AQAAAwAAAAm5BAAABE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l7AQAAAwAAAAm7BAAAAUQEAAASAAAAB0UE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T7//+5/v//Br0EAAAiVGFibGUuQ3VzdFBhY2tpbmdTbGlwVHJhbnMuU2FsZXNJZAlMAQAAAUH7//+5/v//BsAEAAAhVGFibGUuQ3VzdFBhY2tpbmdTbGlwVHJhbnMuSXRlbUlkCU8BAAABPvv//7n+//8GwwQAACdUYWJsZS5DdXN0UGFja2luZ1NsaXBUcmFucy5EZWxpdmVyeURhdGUJUgEAAAE7+///uf7//wbGBAAAHlRhYmxlLkN1c3RQYWNraW5nU2xpcFRyYW5zLlF0eQlVAQAAATj7//+5/v//BskEAAAkVGFibGUuQ3VzdFBhY2tpbmdTbGlwVHJhbnMuU2FsZXNVbml0CVgBAAABNfv//7n+//8GzAQAACVUYWJsZS5DdXN0UGFja2luZ1NsaXBUcmFucy5EYXRhQXJlYUlkCUkBAAABMvv//7n+//8GzwQAAChUYWJsZS5DdXN0UGFja2luZ1NsaXBUcmFucy5JbnZlbnRUcmFuc0lkCVsBAAAHRwQ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S/7//+k/v//BtIEAAAhVGFibGUuQ3VzdFBhY2tpbmdTbGlwVHJhbnMuSXRlbUlkCdMEAAABLPv//6T+//8G1QQAACdUYWJsZS5DdXN0UGFja2luZ1NsaXBUcmFucy5EZWxpdmVyeURhdGUJ1gQAAAEp+///pP7//wbYBAAAJ1RhYmxlLkN1c3RQYWNraW5nU2xpcFRyYW5zLkRpbWVuc2lvbls4XQnZBAAAASb7//+k/v//BtsEAAAnVGFibGUuQ3VzdFBhY2tpbmdTbGlwVHJhbnMuRGltZW5zaW9uWzddCdwEAAAHSQQ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I/v//9T///8JMAAAAAkxAAAAASD7///U////CTMAAAAJNAAAAAEd+///1P///wbkBAAAOlRhYmxlLkN1c3RQYWNraW5nU2xpcFRyYW5zLkludmVudFRyYW5zSWR+VGFibGUuSW52ZW50VHJhbnMJ5QQAAAFKBAAAhQAAAAFRBAAAEgAAAAdSBA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a+///uf7//wbnBAAAIVRhYmxlLkN1c3RQYWNraW5nU2xpcFRyYW5zLkl0ZW1JZAlPAQAAARf7//+5/v//BuoEAAAnVGFibGUuQ3VzdFBhY2tpbmdTbGlwVHJhbnMuRGVsaXZlcnlEYXRlCVIBAAABFPv//7n+//8G7QQAAB5UYWJsZS5DdXN0UGFja2luZ1NsaXBUcmFucy5RdHkJVQEAAAER+///uf7//wbwBAAAJFRhYmxlLkN1c3RQYWNraW5nU2xpcFRyYW5zLlNhbGVzVW5pdAlYAQAAAQ77//+5/v//BvMEAAAiVGFibGUuQ3VzdFBhY2tpbmdTbGlwVHJhbnMuU2FsZXNJZAlMAQAAB1QEAAAAAQAAAAQ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L+///pP7//wb2BAAAIVRhYmxlLkN1c3RQYWNraW5nU2xpcFRyYW5zLkl0ZW1JZAnTBAAAAQj7//+k/v//BvkEAAAnVGFibGUuQ3VzdFBhY2tpbmdTbGlwVHJhbnMuRGVsaXZlcnlEYXRlCdYEAAABBfv//6T+//8G/AQAACdUYWJsZS5DdXN0UGFja2luZ1NsaXBUcmFucy5EaW1lbnNpb25bOF0J2QQAAAEC+///pP7//wb/BAAAJ1RhYmxlLkN1c3RQYWNraW5nU2xpcFRyYW5zLkRpbWVuc2lvbls3XQncBAAAB1YE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f/6///U////CTAAAAAJMQAAAAH8+v//1P///wkzAAAACTQAAAAB+fr//9T///8J5AQAAAnlBAAAAVcEAACFAAAAAV4EAAASAAAAB18E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fb6//+5/v//BgsFAAAoVGFibGUuQ3VzdFBhY2tpbmdTbGlwVHJhbnMuUGFja2luZ1NsaXBJZAkMBQAAAfP6//+5/v//Bg4FAAAhVGFibGUuQ3VzdFBhY2tpbmdTbGlwVHJhbnMuSXRlbUlkCU8BAAAB8Pr//7n+//8GEQUAAB5UYWJsZS5DdXN0UGFja2luZ1NsaXBUcmFucy5RdHkJVQEAAAHt+v//uf7//wYUBQAAIlRhYmxlLkN1c3RQYWNraW5nU2xpcFRyYW5zLk9yZGVyZWQJFQUAAAHq+v//uf7//wYXBQAAIVRhYmxlLkN1c3RQYWNraW5nU2xpcFRyYW5zLlJlbWFpbgkYBQAAB2EEAAAAAQAAAAY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n+v//pP7//wYaBQAAJVRhYmxlLkN1c3RQYWNraW5nU2xpcFRyYW5zLkRhdGFBcmVhSWQJGwUAAAHk+v//pP7//wYdBQAAIVRhYmxlLkN1c3RQYWNraW5nU2xpcFRyYW5zLkl0ZW1JZAkeBQAAAeH6//+k/v//BiAFAAAoVGFibGUuQ3VzdFBhY2tpbmdTbGlwVHJhbnMuUGFja2luZ1NsaXBJZAkhBQAAAd76//+k/v//BiMFAAAnVGFibGUuQ3VzdFBhY2tpbmdTbGlwVHJhbnMuRGVsaXZlcnlEYXRlCSQFAAAB2/r//6T+//8GJgUAACdUYWJsZS5DdXN0UGFja2luZ1NsaXBUcmFucy5EaW1lbnNpb25bOF0JJwUAAAHY+v//pP7//wYpBQAAJ1RhYmxlLkN1c3RQYWNraW5nU2xpcFRyYW5zLkRpbWVuc2lvbls3XQkqBQAAB2ME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dX6///U////CTAAAAAJMQAAAAFkBAAAhQAAAAFuBAAAEgAAAAdvBA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S+v//uf7//wYvBQAAIVRhYmxlLkN1c3RQYWNraW5nU2xpcFRyYW5zLkl0ZW1JZAlPAQAAAc/6//+5/v//BjIFAAAeVGFibGUuQ3VzdFBhY2tpbmdTbGlwVHJhbnMuUXR5CVUBAAABzPr//7n+//8GNQUAACdUYWJsZS5DdXN0UGFja2luZ1NsaXBUcmFucy5EZWxpdmVyeURhdGUJUgEAAAHJ+v//uf7//wY4BQAAJFRhYmxlLkN1c3RQYWNraW5nU2xpcFRyYW5zLlNhbGVzVW5pdAlYAQAAB3EEAAAAAQAAAAQ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G+v//pP7//wY7BQAAIVRhYmxlLkN1c3RQYWNraW5nU2xpcFRyYW5zLkl0ZW1JZAnTBAAAAcP6//+k/v//Bj4FAAAnVGFibGUuQ3VzdFBhY2tpbmdTbGlwVHJhbnMuRGVsaXZlcnlEYXRlCdYEAAABwPr//6T+//8GQQUAACdUYWJsZS5DdXN0UGFja2luZ1NsaXBUcmFucy5EaW1lbnNpb25bOF0J2QQAAAG9+v//pP7//wZEBQAAJ1RhYmxlLkN1c3RQYWNraW5nU2xpcFRyYW5zLkRpbWVuc2lvbls3XQncBAAAB3ME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br6///U////CTAAAAAJMQAAAAG3+v//1P///wkzAAAACTQAAAABtPr//9T///8J5AQAAAnlBAAAAXQEAACFAAAAB7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fr//6v9//8JkQQAAAZRBQAABlN0cmluZwGu+v//q/3//wmUBAAABlQFAAAOQ3VzdG9tZXIgZ3JvdXABq/r//6v9//8JlwQAAAZXBQAACj1DdXN0R3JvdXAHt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+v//q/3//wZZBQAABUxhYmVsCRsEAAABpfr//6v9//8GXAUAAARUeXBlCRoEAAAHu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+v//q/3//wmUBAAACSsEAAABn/r//6v9//8JkQQAAAkqBAAAB7s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r//6v9//8JkQQAAAZmBQAABEVudW0Bmfr//6v9//8JlAQAAAZpBQAAC01vZHVsZSB0eXBlAdMEAABeAQAABmoFAAAaVGFibGUuQ3VzdFBhY2tpbmdTbGlwVHJhbnMJFgIAAAkIAAAABm0FAAABKv////8JagUAAAoJFgIAAAoKCgkIAAAACXEFAAAJCAAAAAHWBAAAXgEAAAlqBQAACR8CAAAJCAAAAAZ2BQAAFTEuMS4yMDIxIC4uIDIuMjguMjAyMf////8JagUAAAoJHwIAAAoKCgkIAAAACXoFAAAJCAAAAAHZBAAAXgEAAAlqBQAACSgCAAAJCAAAAAZ/BQAAASr/////CWoFAAAKCSgCAAAKCgoJCAAAAAmDBQAACQgAAAAB3AQAAF4BAAAJagUAAAkxAgAACQgAAAAGiAUAAAEq/////wlqBQAACgkxAgAACgoKCQgAAAAJjAUAAAkIAAAAAeUEAAAOAAAA/////waOBQAAC0ludmVudFRyYW5zBo8FAAAWSW52ZW50b3J5IHRyYW5zYWN0aW9ucwkIAAAACQgAAAAJCAAAAAFv+v//4P///wAAAAAJkgUAAAmTBQAAAWz6///d////V18S3w8ZXE2V5uaAzc0lYwkIAAAACQgAAAAJlgUAAAnkBAAABpgFAAAUQ3VzdFBhY2tpbmdTbGlwVHJhbnMGmQUAABpUYWJsZS5DdXN0UGFja2luZ1NsaXBUcmFucwaaBQAAKFRhYmxlLkN1c3RQYWNraW5nU2xpcFRyYW5zLkludmVudFRyYW5zSWQGmwUAAA1JbnZlbnRUcmFuc0lkBpwFAAANSW52ZW50VHJhbnNJZAEAAAABY/r//9n///8BAAAAAWL6///Y////AQAAAAAJnwUAAAEMBQAASQEAAAFg+v//PP////////8ABqEFAAAGU3RyaW5nBqIFAAAMUGFja2luZyBzbGlwCdIBAAABXPr//zr///8CAAAAAVv6//9I/v//AQAAAAAACdUBAAAGpwUAAA1QYWNraW5nU2xpcElkCQgAAAAK/////wnVAQAACgmnBQAACgoKCQgAAAAJrAUAAAkIAAAAARUFAABJAQAAAVL6//88/////////wAGrwUAAARSZWFsBrAFAAAHT3JkZXJlZAnSAQAAAU76//86////AgAAAAFN+v//SP7//wEAAAAAAAnVAQAABrUFAAAHT3JkZXJlZAkIAAAACv////8J1QEAAAoJtQUAAAoKCgkIAAAACboFAAAJCAAAAAEYBQAASQEAAAFE+v//PP////////8ABr0FAAAEUmVhbAa+BQAAElJlbWFpbmluZyBxdWFudGl0eQnSAQAAAUD6//86////AgAAAAE/+v//SP7//wEAAAAAAAnVAQAABsMFAAAGUmVtYWluCQgAAAAK/////wnVAQAACgnDBQAACgoKCQgAAAAJyAUAAAkIAAAAARsFAABeAQAACdUBAAAGywUAAApEYXRhQXJlYUlkCQgAAAAJCAAAAP////8J1QEAAAoJywUAAAoKCgkIAAAACdAFAAAJCAAAAAEeBQAAXgEAAAnVAQAABtMFAAAGSXRlbUlkCQgAAAAJCAAAAP////8J1QEAAAoJ0wUAAAoKCgkIAAAACdgFAAAJCAAAAAEhBQAAXgEAAAnVAQAABtsFAAANUGFja2luZ1NsaXBJZAkIAAAACQgAAAD/////CdUBAAAKCdsFAAAKCgoJCAAAAAngBQAACQgAAAABJAUAAF4BAAAJ1QEAAAkfAgAACQgAAAAJCAAAAP////8J1QEAAAoJHwIAAAoKCgkIAAAACegFAAAJCAAAAAEnBQAAXgEAAAnVAQAABusFAAAMRGltZW5zaW9uWzhdCQgAAAAJCAAAAP////8J1QEAAAoJ6wUAAAoKCgkIAAAACfAFAAAJCAAAAAEqBQAAXgEAAAnVAQAABvMFAAAMRGltZW5zaW9uWzddCQgAAAAJCAAAAP////8J1QEAAAoJ8wUAAAoKCgkIAAAACfgFAAAJCAAAAARx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dgEAAAMAAAAJ+wUAAAR6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dgEAAAMAAAAJ/QUAAASD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dgEAAAMAAAAJ/wUAAASM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dgEAAAMAAAAJAQYAAAGSBQAAIQAAAAQAAAAJmAEAAAMAAAAJAwYAAAST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JY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YAQAAAAAAAAGfBQAAKQAAAAAAAAAJBgYAAAAAAAAEr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XEBAAADAAAACQgGAAAEug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XEBAAADAAAACQoGAAAEy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XEBAAADAAAACQwGAAAB0AUAABAAAAAAAAAACXEBAAAAAAAAAdgFAAAQAAAAAAAAAAlxAQAAAAAAAAHgBQAAEAAAAAAAAAAJcQEAAAAAAAAB6AUAABAAAAAAAAAACXEBAAAAAAAAAfAFAAAQAAAAAAAAAAlxAQAAAAAAAAH4BQAAEAAAAAAAAAAJcQEAAAAAAAAH+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+f//q/3//wlcBQAABhAGAAAGU3RyaW5nAe/5//+r/f//CVkFAAAGEwYAAARJdGVtAez5//+r/f//BhUGAAAIUmVmZXJzVG8JmAQAAAf9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n5//+r/f//CVwFAAAGGQYAAAREYXRlAeb5//+r/f//CVkFAAAGHAYAAAlTaGlwIGRhdGUB4/n//6v9//8JFQYAAAmhBAAAB/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Pn//6v9//8JXAUAAAYiBgAABlN0cmluZwHd+f//q/3//wlZBQAABiUGAAAWRGV0YWlsIE1hcmtldGluZyBHcm91cAHa+f//q/3//wkVBgAACaoEAAAHAQ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+f//q/3//wlcBQAACSIGAAAB1Pn//6v9//8JWQUAAAYuBgAAFU1ham9yIE1hcmtldGluZyBHcm91cAHR+f//q/3//wkVBgAACbMEAAAHAwYAAAABAAAAA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BgYAAIUAAAAHCA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O+f//q/3//wlmBAAABjQGAAAjSWRlbnRpZmljYXRpb24gb2YgdGhlIHBhY2tpbmcgc2xpcC4By/n//6v9//8JaQQAAAmiBQAAAcj5//+r/f//CWwEAAAJoQUAAAcK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X5//+r/f//CWYEAAAGPQYAABBRdWFudGl0eSBvcmRlcmVkAcL5//+r/f//CWkEAAAJsAUAAAG/+f//q/3//wlsBAAACa8FAAAHDA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8+f//q/3//wlmBAAABkYGAABJUmVtYWluaW5nIHF1YW50aXR5IGZvciB0aGUgc2FsZXMgb3JkZXIgbGluZSBub3QgeWV0IHBhY2tpbmcgc2xpcCB1cGRhdGVkLgG5+f//q/3//wlpBAAACb4FAAABtvn//6v9//8JbAQAAAm9BQAACw==
    <Output>
      <OutputObject name="AtlasReport_3"/>
    </Output>
  </Query>
</Atlas>
</file>

<file path=customXml/item5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N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cAAAAH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KRGF0YUFyZWFJZAYmAAAAEENvbXBhbnkgYWNjb3VudHMGJwAAAAZTdHJpbmcGKAAAAAAGKQAAACRlYTI0NGEyMy1jNWMxLTQ2ODYtOTgxZS02YTA3YTNjNjdmOTgF1v///y1HbG9iZVNvZnR3YXJlLkF0bGFzNDAuQXRsYXNDb21tb24uQWdncmVnYXRpb24BAAAAB3ZhbHVlX18ACA4AAAD/////AAAAAAXV////LEdsb2JlU29mdHdhcmUuQXRsYXM0MC5BdGxhc0NvbW1vbi5Db2x1bW5UeXBlAQAAAAd2YWx1ZV9fAAgOAAAAAAAAAAXU////K0dsb2JlU29mdHdhcmUuQXRsYXM0MC5BdGxhc0NvbW1vbi5Tb3J0T3JkZXIBAAAAB3ZhbHVlX18ACA4AAAACAAAAAAAAAAAF0////0BHbG9iZVNvZnR3YXJlLkF0bGFzNDAuQXRsYXNDb21tb24uVHlwZS5Db2x1bW4rQ3Jvc3NUYWJDb2x1bW5UeXBlAQAAAAd2YWx1ZV9fAAgOAAAAAAAAAAoBAAAAAAAAAAAAAAAAAAYuAAAAJDdlOGEyZDU1LTkzZDgtNDcyZC1hZmNiLTEwMTdiZTVjOWY1NgYvAAAAJVRhYmxlLkN1c3RQYWNraW5nU2xpcFRyYW5zLkRhdGFBcmVhSWQKCgoKARUAAAAUAAAACTAAAAAJMQAAAAkyAAAABjMAAAAHU2FsZXNJZAY0AAAAC1NhbGVzIG9yZGVyBjUAAAAGU3RyaW5nCSgAAAAGNwAAACRkZjljN2IyNC01OTBlLTRiNzEtODg3Yi0xNTJhYjkxZGYxODYByP///9b/////////AQAAAAHH////1f///wAAAAABxv///9T///8CAAAAAAAAAAABxf///9P///8AAAAACgEAAAAAAAAAAAEAAAAABjwAAAAkMWEyZjVhYTMtZTdiMi00NTk5LWFlY2MtZDcxNjVlZjg5ZjU1Bj0AAAAiVGFibGUuQ3VzdFBhY2tpbmdTbGlwVHJhbnMuU2FsZXNJZAoKCgoBFgAAABQAAAAJPgAAAAk/AAAACUAAAAAGQQAAAAZJdGVtSWQGQgAAAARJdGVtBkMAAAAGU3RyaW5nCSgAAAAGRQAAACQwNDU2NDIyMi1kMmE2LTRlN2ItOGU1My01N2JhMWE3YjJmMjMBuv///9b/////////AgAAAAG5////1f///wAAAAABuP///9T///8CAAAAAAAAAAABt////9P///8AAAAACgEAAAAAAAAAAAIAAAAABkoAAAAkNjQwMWE2NWMtYWNkMi00OWI0LWIzNGQtMDgzNDM0OTI4ODlhBksAAAAhVGFibGUuQ3VzdFBhY2tpbmdTbGlwVHJhbnMuSXRlbUlkCgoKCgEXAAAAFAAAAAlMAAAACU0AAAAJTgAAAAZPAAAACEl0ZW1OYW1lBlAAAAAJSXRlbSBuYW1lBlEAAAAGU3RyaW5nCSgAAAAGUwAAACRiODMyZTczMi01MDViLTQ1MDEtOGFhNS01NzdkMTBmNWNkYTIBrP///9b/////////AwAAAAGr////1f///wAAAAABqv///9T///8CAAAAAAAAAAABqf///9P///8AAAAACgEAAAAAAAAAAAMAAAAABlgAAAAkYzIzYjA3MWUtZjhlYS00MmEyLWIxODItY2Q1ZWQ1ZTU2NjZkBlkAAAA8VGFibGUuQ3VzdFBhY2tpbmdTbGlwVHJhbnMuSXRlbUlkflRhYmxlLkludmVudFRhYmxlLkl0ZW1OYW1lCgoKCgEYAAAAFAAAAAlaAAAACVsAAAAJXAAAAAZdAAAADERlbGl2ZXJ5RGF0ZQZeAAAACVNoaXAgZGF0ZQZfAAAABERhdGUJKAAAAAZhAAAAJGNiYzFiMTA5LWNhN2MtNDY4NC1iNGM4LWQ1ODVkYjA2MTIxMgGe////1v////////8EAAAAAZ3////V////AAAAAAGc////1P///wIAAAAAAAAAAAGb////0////wAAAAAKAQAAAAAAAAAABAAAAAAGZgAAACRkNmEzYmNlZC0yMTU2LTRmNzItYmU2NS02NjkzOTcwOWU2OWUGZwAAACdUYWJsZS5DdXN0UGFja2luZ1NsaXBUcmFucy5EZWxpdmVyeURhdGUKCgoKARkAAAAUAAAACWgAAAAJaQAAAAlqAAAABmsAAAADUXR5BmwAAAAJRGVsaXZlcmVkBm0AAAAEUmVhbAkoAAAABm8AAAAkYjUyYWM1Y2MtODA5ZS00YmM0LTgzZjUtYWI0MTE0MjI1OWM0AZD////W////AQAAAAUAAAABj////9X///8AAAAAAY7////U////AgAAAAAAAAAAAY3////T////AAAAAAoBAAAAAAAAAAAFAAAAAAZ0AAAAJDNhZmY1ZDljLTNjNzUtNGU2NS04MThjLWFiMDkxODZmOGQwZAZ1AAAAHlRhYmxlLkN1c3RQYWNraW5nU2xpcFRyYW5zLlF0eQoKCgoBGgAAABQAAAAJdgAAAAl3AAAACXgAAAAGeQAAAAlTYWxlc1VuaXQGegAAAApTYWxlcyB1bml0BnsAAAAGU3RyaW5nCSgAAAAGfQAAACRmMjRhYjE2Ni1iMWNjLTRlOTctODBlMi03ZjFlNzgxNDg5OWUBgv///9b/////////BgAAAAGB////1f///wAAAAABgP///9T///8CAAAAAAAAAAABf////9P///8AAAAACgEAAAAAAAAAAAYAAAAABoIAAAAkMWQxODA0ZWYtODUxYi00YjlhLWJjNjgtNjgzOGM2NDFiMDgwBoMAAAAkVGFibGUuQ3VzdFBhY2tpbmdTbGlwVHJhbnMuU2FsZXNVbml0CgoKCgEbAAAAFAAAAAmEAAAACYUAAAAJhgAAAAaHAAAAN0F0bGFzTWFuYWdlZENvbHVtbl82ZGY3YmNmZi1iNWFjLTRhZGEtODRjMi1lNjNjN2U0MjJiODcGiAAAABRJbnZlbnQgcXR5IGRlbGl2ZXJlZAkoAAAACSgAAAAGigAAACRhNzUwYzlhYy1iYzI2LTQ4YTItOGU3Ni03YzdiODEwMTZhNjkBdf///9b/////////BwAAAAF0////1f///wIAAAABc////9T///8CAAAAAAAAAAABcv///9P///8AAAAACgEAAAAAAAAAAAcAAAAABo8AAAAkZmFiYjViMjItYmQ1ZC00ZjI1LWI5Y2UtZjEwZWExYTZkOWE0CSgAAAAKCgoKARwAAAAUAAAACZEAAAAJkgAAAAmTAAAABpQAAAAGVW5pdElkBpUAAAALSW52ZW50IHVuaXQGlgAAAAZTdHJpbmcJKAAAAAaYAAAAJDZiMmIwMDZlLTYzYTctNDFjNy04ZjFhLTM1MTFiMTJiOWQ4MgFn////1v////////8IAAAAAWb////V////AAAAAAFl////1P///wIAAAAAAAAAAAFk////0////wAAAAAKAQAAAAAAAAAACAAAAAAGnQAAACRlNTY0MmJiMi05OGNkLTQwYmUtOTM2OC02NjQ1OTBkM2Y0ODIGngAAAEBUYWJsZS5DdXN0UGFja2luZ1NsaXBUcmFucy5JdGVtSWR+VGFibGUuSW52ZW50VGFibGVNb2R1bGUuVW5pdElkCgoKCgEdAAAAFAAAAAmfAAAACaAAAAAJoQAAAAaiAAAADUludmVudFRyYW5zSWQGowAAAAZMb3QgSUQGpAAAAAZTdHJpbmcJKAAAAAamAAAAJGE4NGM2MDAxLWRkZGItNDlkYy1iZmQ4LTdkZGQzMjY2YTVhMQFZ////1v////////8JAAAAAVj////V////AAAAAAFX////1P///wIAAAAAAAAAAAFW////0////wAAAAAKAQAAAAAAAAAACQAAAAAGqwAAACQzZjY1NzdjZi00ZTg3LTQyYTQtOGVhMy0wZGE1MTNkZDRmZTUGrAAAAChUYWJsZS5DdXN0UGFja2luZ1NsaXBUcmFucy5JbnZlbnRUcmFuc0lkCgoKCgUgAAAAOEdsb2JlU29mdHdhcmUuQXRsYXM0MC5BdGxhc0NvbW1vbkNsaWVudC5SZXBvcnQuUmVmZXJlbmNlAQAAAApfcmVmZXJlbmNlBwgeAAAACa0AAAAHIQAAAAABAAAACAAAAAQ8R2xvYmVTb2Z0d2FyZS5BdGxhczQwLkF0bGFzQ29tbW9uQ2xpZW50LkRhdGFTb3VyY2VGaWVsZFZhbHVlHgAAAAmuAAAACa8AAAAJsAAAAAmxAAAACbIAAAAJswAAAAm0AAAACgQi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1AAAAAQAAAAEAAAAEI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BAAAACbYAAAAHAAAACbcAAAAEJ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bgAAAAHAAAACbkAAAABMAAAACIAAAAJugAAAAEAAAABAAAAATEAAAAjAAAAiAAAAAm7AAAABwAAAAm8AAAAATIAAAAkAAAAhQAAAAm9AAAABwAAAAm+AAAAAT4AAAAiAAAACb8AAAABAAAAAQAAAAE/AAAAIwAAAMEAAAAJwAAAAAcAAAAJwQAAAAFAAAAAJAAAALYAAAAJwgAAAAcAAAAJwwAAAAFMAAAAIgAAAAnEAAAAAQAAAAEAAAABTQAAACMAAACnAAAACcUAAAAHAAAACcYAAAABTgAAACQAAAChAAAACccAAAAHAAAACcgAAAABWgAAACIAAAAJyQAAAAEAAAABAAAAAVsAAAAjAAAAlgAAAAnKAAAABwAAAAnLAAAAAVwAAAAkAAAAkwAAAAnMAAAABwAAAAnNAAAAAWgAAAAiAAAACc4AAAABAAAAAQAAAAFpAAAAIwAAAMEAAAAJwAAAAAcAAAAJ0AAAAAFqAAAAJAAAALYAAAAJwgAAAAcAAAAJ0gAAAAF2AAAAIgAAAAnTAAAAAQAAAAEAAAABdwAAACMAAACbAAAACcoAAAAHAAAACdUAAAABeAAAACQAAACTAAAACcwAAAAHAAAACdcAAAABhAAAACIAAAAJ2AAAAAAAAAAAAAAAAYUAAAAjAAAAmQAAAAnKAAAABwAAAAnaAAAAAYYAAAAkAAAAjAAAAAnMAAAABwAAAAncAAAAAZEAAAAiAAAACd0AAAABAAAAAQAAAAGSAAAAIwAAAIAAAAAJ3gAAAAcAAAAJ3wAAAAGTAAAAJAAAAHcAAAAJ4AAAAAcAAAAJ4QAAAAGfAAAAIgAAAAniAAAAAQAAAAEAAAABoAAAACMAAACBAAAACbYAAAAHAAAACeQAAAABoQAAACQAAAB+AAAACbgAAAAHAAAACeYAAAAPrQAAAAEAAAAIAQAAAAWuAAAAPEdsb2JlU29mdHdhcmUuQXRsYXM0MC5BdGxhc0NvbW1vbkNsaWVudC5EYXRhU291cmNlRmllbGRWYWx1ZQQAAAASX2lzRHJpbGxEb3duRmlsdGVyBl9kc0tleQpfZmllbGRuYW1lC19maWVsZFZhbHVlAAEBAQEeAAAAAAbnAAAAGlRhYmxlLkN1c3RQYWNraW5nU2xpcFRyYW5zBugAAAAKRGF0YUFyZWFJZAkGAAAAAa8AAACuAAAAAAnnAAAABusAAAAGSXRlbUlkBuwAAAABKgGwAAAArgAAAAAJ5wAAAAbuAAAADERlbGl2ZXJ5RGF0ZQbvAAAAFjEuMS4yMDE5IC4uIDEyLjMxLjIwMTkBsQAAAK4AAAAACecAAAAG8QAAAAxEaW1lbnNpb25bOF0G8gAAAAEqAbIAAACuAAAAAAnnAAAABvQAAAAMRGltZW5zaW9uWzddBvUAAAAHQVNQSEFMVAGzAAAArgAAAAAG9gAAADNUYWJsZS5DdXN0UGFja2luZ1NsaXBUcmFucy5TYWxlc0lkflRhYmxlLlNhbGVzVGFibGUG9wAAAAlDdXN0R3JvdXAG+AAAAAEqAbQAAACuAAAAAAb5AAAAOVRhYmxlLkN1c3RQYWNraW5nU2xpcFRyYW5zLkl0ZW1JZH5UYWJsZS5JbnZlbnRUYWJsZU1vZHVsZQb6AAAACk1vZHVsZVR5cGUG+wAAAAZJbnZlbnQHtQAAAAABAAAABAAAAAQ3R2xvYmVTb2Z0d2FyZS5BdGxhczQwLkF0bGFzQ29tbW9uLlR5cGUuRmllbGRPdXRwdXRGaWVsZA4AAAAJ/AAAAA0DBLY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7c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D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QL///8yR2xvYmVTb2Z0d2FyZS5BdGxhczQwLkF0bGFzQ29tbW9uLkNvbHVtbkF0dHJpYnV0ZXMBAAAAB3ZhbHVlX18ACA4AAAAJAAAACSgAAAABAP///wP///8B//7//wL///8LAAAABgIBAAABMAH9/v//A////wH8/v//Av///wQAAAAGBQEAAAdHZW5lcmFsAfr+//8D////Afn+//8C////AgAAAAYIAQAAATEB9/7//wP///8B9v7//wL///8AAAAABgsBAAAEOS4yOQG4AAAADAAAAAe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PT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DQEAAAhGb250Qm9sZAYOAQAABUZhbHNlAfH+///0/v//BhABAAAKRm9udEl0YWxpYwkOAQAAAe7+///0/v//BhMBAAANRm9udFVuZGVybGluZQYUAQAABS00MTQyAev+///0/v//BhYBAAAIRm9udE5hbWUGFwEAAAdDYWxpYnJpAej+///0/v//BhkBAAAJRm9udENvbG9yBhoBAAABMAHl/v//9P7//wYcAQAACEZvbnRTaXplBh0BAAACMTEB4v7///T+//8GHwEAAAlGb250U3R5bGUGIAEAAAdSZWd1bGFyB7oAAAAAAQAAAAQAAAAEN0dsb2JlU29mdHdhcmUuQXRsYXM0MC5BdGxhc0NvbW1vbi5UeXBlLkZpZWxkT3V0cHV0RmllbGQOAAAACSEBAAANAwG7AAAAtgAAAAe8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v7//wP///8B3f7//wL///8JAAAACSgAAAAB2/7//wP///8B2v7//wL///8LAAAABicBAAABMQHY/v//A////wHX/v//Av///wQAAAAGKgEAAAdHZW5lcmFsAdX+//8D////AdT+//8C////AgAAAAYtAQAAATEB0v7//wP///8B0f7//wL///8AAAAABjABAAAFMTQuMjkBvQAAAAwAAAAHv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/v//9P7//wYyAQAACEZvbnRCb2xkCQ4BAAABzP7///T+//8GNQEAAApGb250SXRhbGljCQ4BAAAByf7///T+//8GOAEAAA1Gb250VW5kZXJsaW5lBjkBAAAFLTQxNDIBxv7///T+//8GOwEAAAhGb250TmFtZQY8AQAAB0NhbGlicmkBw/7///T+//8GPgEAAAlGb250Q29sb3IGPwEAAAEwAcD+///0/v//BkEBAAAIRm9udFNpemUGQgEAAAIxMQG9/v//9P7//wZEAQAACUZvbnRTdHlsZQZFAQAAB1JlZ3VsYXIHvwAAAAABAAAABAAAAAQ3R2xvYmVTb2Z0d2FyZS5BdGxhczQwLkF0bGFzQ29tbW9uLlR5cGUuRmllbGRPdXRwdXRGaWVsZA4AAAAJRgEAAA0DAcAAAAC2AAAAB8E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5/v//A////wG4/v//Av///xAAAAAGSQEAAAROb25lAbb+//8D////AbX+//8C////CQAAAAkoAAAAAbP+//8D////AbL+//8C////CwAAAAZPAQAAATIBsP7//wP///8Br/7//wL///8EAAAABlIBAAAHR2VuZXJhbAGt/v//A////wGs/v//Av///wIAAAAGVQEAAAExAar+//8D////Aan+//8C////AAAAAAZYAQAABTE3LjQzAcIAAAAMAAAAB8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/7///T+//8GWgEAAAhGb250Qm9sZAkOAQAAAaT+///0/v//Bl0BAAAKRm9udEl0YWxpYwkOAQAAAaH+///0/v//BmABAAANRm9udFVuZGVybGluZQZhAQAABS00MTQyAZ7+///0/v//BmMBAAAIRm9udE5hbWUGZAEAAAdDYWxpYnJpAZv+///0/v//BmYBAAAJRm9udENvbG9yBmcBAAABMAGY/v//9P7//wZpAQAACEZvbnRTaXplBmoBAAACMTEBlf7///T+//8GbAEAAAlGb250U3R5bGUGbQEAAAdSZWd1bGFyB8QAAAAAAQAAAAQAAAAEN0dsb2JlU29mdHdhcmUuQXRsYXM0MC5BdGxhc0NvbW1vbi5UeXBlLkZpZWxkT3V0cHV0RmllbGQOAAAACW4BAAANAwHFAAAAtgAAAAfG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f7//wP///8BkP7//wL///8JAAAACSgAAAABjv7//wP///8Bjf7//wL///8LAAAABnQBAAABMwGL/v//A////wGK/v//Av///wQAAAAGdwEAAAdHZW5lcmFsAYj+//8D////AYf+//8C////AgAAAAZ6AQAAATEBhf7//wP///8BhP7//wL///8AAAAABn0BAAAFMzUuMTQBxwAAAAwAAAAHy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/v//9P7//wZ/AQAACEZvbnRCb2xkCQ4BAAABf/7///T+//8GggEAAApGb250SXRhbGljCQ4BAAABfP7///T+//8GhQEAAA1Gb250VW5kZXJsaW5lBoYBAAAFLTQxNDIBef7///T+//8GiAEAAAhGb250TmFtZQaJAQAAB0NhbGlicmkBdv7///T+//8GiwEAAAlGb250Q29sb3IGjAEAAAEwAXP+///0/v//Bo4BAAAIRm9udFNpemUGjwEAAAIxMQFw/v//9P7//waRAQAACUZvbnRTdHlsZQaSAQAAB1JlZ3VsYXIHyQAAAAABAAAABAAAAAQ3R2xvYmVTb2Z0d2FyZS5BdGxhczQwLkF0bGFzQ29tbW9uLlR5cGUuRmllbGRPdXRwdXRGaWVsZA4AAAAJkwEAAA0DAcoAAAC2AAAAB8s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s/v//A////wFr/v//Av///wkAAAAJKAAAAAFp/v//A////wFo/v//Av///wsAAAAGmQEAAAE0AWb+//8D////AWX+//8C////BAAAAAacAQAACG0vZC95eXl5AWP+//8D////AWL+//8C////AgAAAAafAQAAATEBYP7//wP///8BX/7//wL///8AAAAABqIBAAAFMTAuODYBzAAAAAwAAAAHz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v//9P7//wl/AQAACQ4BAAABWv7///T+//8JggEAAAkOAQAAAVf+///0/v//CYUBAAAGqwEAAAUtNDE0MgFU/v//9P7//wmIAQAABq4BAAAHQ2FsaWJyaQFR/v//9P7//wmLAQAABrEBAAABMAFO/v//9P7//wmOAQAABrQBAAACMTEBS/7///T+//8JkQEAAAa3AQAAB1JlZ3VsYXIHzgAAAAABAAAABAAAAAQ3R2xvYmVTb2Z0d2FyZS5BdGxhczQwLkF0bGFzQ29tbW9uLlR5cGUuRmllbGRPdXRwdXRGaWVsZA4AAAAJuAEAAA0DB9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v//A////wFG/v//Av///xAAAAAJSQEAAAFE/v//A////wFD/v//Av///wkAAAAJKAAAAAFB/v//A////wFA/v//Av///wsAAAAGwQEAAAE1AT7+//8D////AT3+//8C////BAAAAAbEAQAAB0dlbmVyYWwBO/7//wP///8BOv7//wL///8CAAAABscBAAABMQE4/v//A////wE3/v//Av///wAAAAAGygEAAAUxMS4yOQfS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X+///0/v//CVoBAAAJDgEAAAEy/v//9P7//wldAQAACQ4BAAABL/7///T+//8JYAEAAAbTAQAABS00MTQyASz+///0/v//CWMBAAAG1gEAAAdDYWxpYnJpASn+///0/v//CWYBAAAG2QEAAAEwASb+///0/v//CWkBAAAG3AEAAAIxMQEj/v//9P7//wlsAQAABt8BAAAHUmVndWxhcgfTAAAAAAEAAAAEAAAABDdHbG9iZVNvZnR3YXJlLkF0bGFzNDAuQXRsYXNDb21tb24uVHlwZS5GaWVsZE91dHB1dEZpZWxkDgAAAAngAQAADQMH1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/+//8D////AR7+//8C////CQAAAAkoAAAAARz+//8D////ARv+//8C////CwAAAAbmAQAAATYBGf7//wP///8BGP7//wL///8EAAAABukBAAAHR2VuZXJhbAEW/v//A////wEV/v//Av///wIAAAAG7AEAAAExARP+//8D////ARL+//8C////AAAAAAbvAQAABDYuNDMBEP7//wP///8BD/7//wL///8kAAAACXoAAAAH1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v//9P7//wl/AQAACQ4BAAABCv7///T+//8JggEAAAkOAQAAAQf+///0/v//CYUBAAAG+wEAAAUtNDE0MgEE/v//9P7//wmIAQAABv4BAAAHQ2FsaWJyaQEB/v//9P7//wmLAQAABgECAAABMAH+/f//9P7//wmOAQAABgQCAAACMTEB+/3///T+//8JkQEAAAYHAgAAB1JlZ3VsYXIH2AAAAAABAAAAAAAAAAQ3R2xvYmVTb2Z0d2FyZS5BdGxhczQwLkF0bGFzQ29tbW9uLlR5cGUuRmllbGRPdXRwdXRGaWVsZA4AAAAH2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j9//8D////Aff9//8C////JAAAAAmIAAAAAfX9//8D////AfT9//8C////CwAAAAYNAgAAATcB8v3//wP///8B8f3//wL///8EAAAABhACAAAHR2VuZXJhbAHv/f//A////wHu/f//Av///wIAAAAGEwIAAAExAez9//8D////Aev9//8C////AAAAAAYWAgAABTE3Ljg2Aen9//8D////Aej9//8C////AwAAAAYZAgAAUz1TVU1JRlMoSW52ZW50VHJhbnMhRjpGLEludmVudFRyYW5zIUI6QixbQFtMb3QgSURdXSxJbnZlbnRUcmFucyFDOkMsW0BbU2hpcCBkYXRlXV0pB9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v3///T+//8GGwIAAAhGb250Qm9sZAkOAQAAAeP9///0/v//Bh4CAAAKRm9udEl0YWxpYwkOAQAAAeD9///0/v//BiECAAANRm9udFVuZGVybGluZQYiAgAABS00MTQyAd39///0/v//BiQCAAAIRm9udE5hbWUGJQIAAAdDYWxpYnJpAdr9///0/v//BicCAAAJRm9udENvbG9yBigCAAABMAHX/f//9P7//wYqAgAACEZvbnRTaXplBisCAAACMTEB1P3///T+//8GLQIAAAlGb250U3R5bGUGLgIAAAdSZWd1bGFyB90AAAAAAQAAAAQAAAAEN0dsb2JlU29mdHdhcmUuQXRsYXM0MC5BdGxhc0NvbW1vbi5UeXBlLkZpZWxkT3V0cHV0RmllbGQOAAAACS8CAAANAwHeAAAAtgAAAAff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P3//wP///8Bz/3//wL///8JAAAACSgAAAABzf3//wP///8BzP3//wL///8LAAAABjUCAAABOAHK/f//A////wHJ/f//Av///yQAAAAJlQAAAAHH/f//A////wHG/f//Av///wQAAAAGOwIAAAdHZW5lcmFsAcT9//8D////AcP9//8C////AgAAAAY+AgAAATEBwf3//wP///8BwP3//wL///8AAAAABkECAAAENy40MwHgAAAADAAAAAf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79///0/v//CQ0BAAAJDgEAAAG7/f//9P7//wkQAQAACQ4BAAABuP3///T+//8JEwEAAAZKAgAABS00MTQyAbX9///0/v//CRYBAAAGTQIAAAdDYWxpYnJpAbL9///0/v//CRkBAAAGUAIAAAEwAa/9///0/v//CRwBAAAGUwIAAAIxMQGs/f//9P7//wkfAQAABlYCAAAHUmVndWxhcgfiAAAAAAEAAAAEAAAABDdHbG9iZVNvZnR3YXJlLkF0bGFzNDAuQXRsYXNDb21tb24uVHlwZS5GaWVsZE91dHB1dEZpZWxkDgAAAAlXAgAADQMH5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j9//8D////Aaf9//8C////CQAAAAkoAAAAAaX9//8D////AaT9//8C////CwAAAAZdAgAAATkBov3//wP///8Bof3//wL///8EAAAABmACAAAHR2VuZXJhbAGf/f//A////wGe/f//Av///wIAAAAGYwIAAAExAZz9//8D////AZv9//8C////AAAAAAZmAgAABDkuNDMH5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f//9P7//wkNAQAACQ4BAAABlv3///T+//8JEAEAAAkOAQAAAZP9///0/v//CRMBAAAGbwIAAAUtNDE0MgGQ/f//9P7//wkWAQAABnICAAAHQ2FsaWJyaQGN/f//9P7//wkZAQAABnUCAAABMAGK/f//9P7//wkcAQAABngCAAACMTEBh/3///T+//8JHwEAAAZ7AgAAB1JlZ3VsYXIF/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hP3//9b/////////AAZ9AgAABlN0cmluZwZ+AgAAEENvbXBhbnkgYWNjb3VudHMJfwIAAAGA/f//1P///wIAAAAFf/3//zlHbG9iZVNvZnR3YXJlLkF0bGFzNDAuQXRsYXNDb21tb24uTnVtYmVyU2VxdWVuY2VDb25kaXRpb24BAAAAB3ZhbHVlX18ACA4AAAABAAAAAAAGggIAABpUYWJsZS5DdXN0UGFja2luZ1NsaXBUcmFucwklAAAACSgAAAAK/////wmCAgAACgklAAAACgoKCSgAAAAJiAIAAAkoAAAAASEBAAD8AAAAAXb9///W/////////wAGiwIAAAZTdHJpbmcGjAIAAAtTYWxlcyBvcmRlcgmNAgAAAXL9///U////AgAAAAFx/f//f/3//wEAAAAAAAaQAgAAGlRhYmxlLkN1c3RQYWNraW5nU2xpcFRyYW5zCTMAAAAJKAAAAAr/////CZACAAAKCTMAAAAKCgoJKAAAAAmWAgAACSgAAAABRgEAAPwAAAABaP3//9b/////////AAaZAgAABlN0cmluZwaaAgAABEl0ZW0JmwIAAAFk/f//1P///wIAAAABY/3//3/9//8BAAAAAAAGngIAABpUYWJsZS5DdXN0UGFja2luZ1NsaXBUcmFucwlBAAAACSgAAAAK/////wmeAgAACglBAAAACgoKCSgAAAAJpAIAAAkoAAAAAW4BAAD8AAAAAVr9///W/////////wAGpwIAAAZTdHJpbmcGqAIAAAlJdGVtIG5hbWUJqQIAAAFW/f//1P///wIAAAABVf3//3/9//8BAAAAAAAGrAIAADNUYWJsZS5DdXN0UGFja2luZ1NsaXBUcmFucy5JdGVtSWR+VGFibGUuSW52ZW50VGFibGUJTwAAAAkoAAAACv////8JrAIAAAoJTwAAAAaxAgAABkl0ZW1JZAayAgAAFEN1c3RQYWNraW5nU2xpcFRyYW5zCgkoAAAACbQCAAAJKAAAAAGTAQAA/AAAAAFK/f//1v////////8ABrcCAAAERGF0ZQa4AgAACVNoaXAgZGF0ZQm5AgAAAUb9///U////AgAAAAFF/f//f/3//wEAAAAAAAa8AgAAGlRhYmxlLkN1c3RQYWNraW5nU2xpcFRyYW5zCV0AAAAJKAAAAAr/////CbwCAAAKCV0AAAAKCgoJKAAAAAnCAgAACSgAAAABuAEAAPwAAAABPP3//9b/////////AAbFAgAABFJlYWwGxgIAAAlEZWxpdmVyZWQJmwIAAAE4/f//1P///wIAAAABN/3//3/9//8BAAAAAAAJngIAAAlrAAAACSgAAAAK/////wmeAgAACglrAAAACgoKCSgAAAAJ0AIAAAkoAAAAAeABAAD8AAAAAS79///W/////////wAG0wIAAAZTdHJpbmcG1AIAAARVbml0CbkCAAABKv3//9T///8CAAAAASn9//9//f//AQAAAAAACbwCAAAJeQAAAAkoAAAACv////8JvAIAAAoJeQAAAAoKCgkoAAAACd4CAAAJKAAAAAEvAgAA/AAAAAEg/f//1v////////8ABuECAAAGU3RyaW5nBuICAAAEVW5pdAnjAgAAARz9///U////AgAAAAEb/f//f/3//wEAAAAAAAn5AAAACZQAAAAJKAAAAAr/////CfkAAAAKCZQAAAAG6wIAAAZJdGVtSWQG7AIAABRDdXN0UGFja2luZ1NsaXBUcmFucwoJKAAAAAnuAgAACSgAAAABVwIAAPwAAAABEP3//9b/////////AAbxAgAABlN0cmluZwbyAgAABkxvdCBJRAl/AgAAAQz9///U////AgAAAAEL/f//f/3//wEAAAAAAAmCAgAACaIAAAAJKAAAAAr/////CYICAAAKCaIAAAAKCgoJKAAAAAn8AgAACSgAAAAFfw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/////wb+AgAAFEN1c3RQYWNraW5nU2xpcFRyYW5zBv8CAAAdQ3VzdG9tZXIgLSBQYWNraW5nIHNsaXAgbGluZXMJKAAAAAkoAAAACSgAAAAF//z//zBHbG9iZVNvZnR3YXJlLkF0bGFzNDAuQXRsYXNDb21tb24uRGF0YVNvdXJjZVR5cGUBAAAAB3ZhbHVlX18ACA4AAAAAAAAACQIDAAAJAwMAAAT8/P//C1N5c3RlbS5HdWlkCwAAAAJfYQJfYgJfYwJfZAJfZQJfZgJfZwJfaAJfaQJfagJfawAAAAAAAAAAAAAACAcHAgICAgICAgIYm1hpTKB6Q65pti2plSeKCSgAAAAJKAAAAAkGAwAACYICAAAKCgoKCgEAAAAF+Pz//zRHbG9iZVNvZnR3YXJlLkF0bGFzNDAuQXRsYXNDb21tb24uRGF0YVNvdXJjZUpvaW5Nb2RlAQAAAAd2YWx1ZV9fAAgOAAAAAAAAAAX3/P//NUdsb2JlU29mdHdhcmUuQXRsYXM0MC5BdGxhc0NvbW1vbi5EYXRhU291cmNlRmV0Y2hNb2RlAQAAAAd2YWx1ZV9fAAgOAAAAAAAAAAAJCgMAAAGIAgAAJAAAAEIAAAAJuAAAAAMAAAAJDAMAAAGNAgAAfwIAAP////8GDQMAABRDdXN0UGFja2luZ1NsaXBUcmFucwYOAwAAHUN1c3RvbWVyIC0gUGFja2luZyBzbGlwIGxpbmVzCSgAAAAJKAAAAAkoAAAAAfD8/////P//AAAAAAkRAwAACRIDAAAB7fz///z8//+fO8dk/fDqSay2h++nOOCSCSgAAAAJKAAAAAkVAwAACZACAAAKCgoKCgEAAAAB6fz///j8//8AAAAAAej8///3/P//AAAAAAAJGQMAAAGWAgAAJAAAAEgAAAAJvQAAAAMAAAAJGwMAAAGbAgAAfwIAAEgAAAAGHAMAABRDdXN0UGFja2luZ1NsaXBUcmFucwYdAwAAHUN1c3RvbWVyIC0gUGFja2luZyBzbGlwIGxpbmVzCSgAAAAJKAAAAAkoAAAAAeH8/////P//AAAAAAkgAwAACSEDAAAB3vz///z8///Zhlct0EqTTog7N6lWd0LjCSgAAAAJKAAAAAkkAwAACZ4CAAAKCgoKCgEAAAAB2vz///j8//8AAAAAAdn8///3/P//AAAAAAAJKAMAAAGkAgAAJAAAAHkAAAAJwgAAAAMAAAAJKgMAAAGpAgAAfwIAAP////8GKwMAAAtJbnZlbnRUYWJsZQYsAwAABUl0ZW1zCSgAAAAJKAAAAAkoAAAAAdL8/////P//AAAAAAkvAwAACTADAAABz/z///z8//8ycFoMTNKFTo/ooXh10hqmCSgAAAAJKAAAAAkzAwAACawCAAAGNQMAABRDdXN0UGFja2luZ1NsaXBUcmFucwY2AwAAGlRhYmxlLkN1c3RQYWNraW5nU2xpcFRyYW5zBjcDAAAhVGFibGUuQ3VzdFBhY2tpbmdTbGlwVHJhbnMuSXRlbUlkBjgDAAAGSXRlbUlkBjkDAAAGSXRlbUlkAQAAAAHG/P//+Pz//wAAAAABxfz///f8//8AAAAAAAk8AwAAAbQCAAAkAAAAYgAAAAnHAAAAAwAAAAk+AwAAAbkCAAB/AgAA/////wY/AwAAFEN1c3RQYWNraW5nU2xpcFRyYW5zBkADAAAdQ3VzdG9tZXIgLSBQYWNraW5nIHNsaXAgbGluZXMJKAAAAAkoAAAACSgAAAABvvz////8//8AAAAACUMDAAAJRAMAAAG7/P///Pz//8mbNmhPe5FPk59kBP9XQpIJKAAAAAkoAAAACUcDAAAJvAIAAAoKCgoKAQAAAAG3/P//+Pz//wAAAAABtvz///f8//8AAAAAAAlLAwAAAcICAAAkAAAAVAAAAAnMAAAAAwAAAAlNAwAAAdACAAAkAAAAeQAAAAnCAAAAAwAAAAlPAwAAAd4CAAAkAAAAVAAAAAnMAAAAAwAAAAlRAwAAAeMCAAB/AgAA/////wZSAwAAEUludmVudFRhYmxlTW9kdWxlBlMDAAAbSW52ZW50b3J5IG1vZHVsZSBwYXJhbWV0ZXJzCSgAAAAJKAAAAAkoAAAAAav8/////P//AAAAAAlWAwAACVcDAAABqPz///z8///L4s6lblR+S5Lcn5lvyFFrCSgAAAAJKAAAAAlaAwAACfkAAAAGXAMAABRDdXN0UGFja2luZ1NsaXBUcmFucwZdAwAAGlRhYmxlLkN1c3RQYWNraW5nU2xpcFRyYW5zBl4DAAAhVGFibGUuQ3VzdFBhY2tpbmdTbGlwVHJhbnMuSXRlbUlkBl8DAAAGSXRlbUlkBmADAAAGSXRlbUlkAQAAAAGf/P//+Pz//wAAAAABnvz///f8//8AAAAAAAljAwAAAe4CAAAkAAAAPAAAAAngAAAAAwAAAAllAwAAAfwCAAAkAAAAQgAAAAm4AAAAAwAAAAlnAwAABAID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WgDAAAHAAAACWkDAAAEAw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AAAAAm9AAAABwAAAAlrAwAABAY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WgDAAADAAAACW0DAAAECgM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bgMAAAAAAAAHD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P//9P7//wZwAwAABUxhYmVsCX4CAAABjvz///T+//8GcwMAAARUeXBlCX0CAAABEQMAAAIDAAAFAAAACXUDAAAHAAAACXYDAAABEgMAAAMDAAAEAAAACcwAAAAHAAAACXgDAAABFQMAAAYDAAADAAAACXUDAAADAAAACXoDAAABGQMAAAoDAAAAAAAACXsDAAAAAAAABxs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Pz///T+//8GfQMAAAVMYWJlbAmMAgAAAYH8///0/v//BoADAAAEVHlwZQmLAgAAASADAAACAwAABQAAAAmCAwAABwAAAAmDAwAAASEDAAADAwAABgAAAAmCAwAABwAAAAmFAwAAASQDAAAGAwAAAQAAAAmCAwAAAwAAAAmHAwAAASgDAAAKAwAAAAAAAAmIAwAAAAAAAAcq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8///0/v//BooDAAAISGVscFRleHQGiwMAAA5JZGVudGlmeSBpdGVtLgF0/P//9P7//waNAwAABUxhYmVsCZoCAAABcfz///T+//8GkAMAAARUeXBlCZkCAAABLwMAAAIDAAABAAAACccAAAADAAAACZMDAAAEMA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UAwAAAAAAAAQz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wAAAAAAAAABPAMAAAoDAAAAAAAACZYDAAAAAAAABz4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z///T+//8GmAMAAAVMYWJlbAmoAgAAAWb8///0/v//BpsDAAAEVHlwZQmnAgAAAUMDAAACAwAACAAAAAmdAwAABwAAAAmeAwAAAUQDAAADAwAABAAAAAnMAAAABwAAAAmgAwAAAUcDAAAGAwAAAwAAAAmdAwAAAwAAAAmiAwAAAUsDAAAKAwAAAAAAAAmjAwAAAAAAAAdN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z8///0/v//BqUDAAAFTGFiZWwJuAIAAAFZ/P//9P7//waoAwAABFR5cGUJtwIAAAd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b8///0/v//CYoDAAAGrAMAACRUb3RhbCBxdWFudGl0eSBvZiB0aGlzIGl0ZW0gcmVsZWFzZWQBU/z///T+//8JjQMAAAnGAgAAAVD8///0/v//CZADAAAJxQIAAAdR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38///0/v//CaUDAAAJ1AIAAAFK/P//9P7//wmoAwAACdMCAAABVgMAAAIDAAABAAAACeAAAAADAAAACboDAAABVwMAAAMDAAABAAAACZQDAAADAAAACbwDAAAEWg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AAAAAAAAAAAWMDAAAKAwAAAAAAAAm+AwAAAAAAAAdl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8///0/v//BsADAAAFTGFiZWwJ4gIAAAE+/P//9P7//wbDAwAABFR5cGUJ4QIAAAdn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v8///0/v//CXADAAAJ8gIAAAE4/P//9P7//wlzAwAACfECAAABaAMAAAwAAAAHaQM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Nfz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zAMAACJUYWJsZS5DdXN0UGFja2luZ1NsaXBUcmFucy5TYWxlc0lkCSEBAAABMvz//zX8//8GzwMAACFUYWJsZS5DdXN0UGFja2luZ1NsaXBUcmFucy5JdGVtSWQJRgEAAAEv/P//Nfz//wbSAwAAJ1RhYmxlLkN1c3RQYWNraW5nU2xpcFRyYW5zLkRlbGl2ZXJ5RGF0ZQmTAQAAASz8//81/P//BtUDAAAeVGFibGUuQ3VzdFBhY2tpbmdTbGlwVHJhbnMuUXR5CbgBAAABKfz//zX8//8G2AMAACRUYWJsZS5DdXN0UGFja2luZ1NsaXBUcmFucy5TYWxlc1VuaXQJ4AEAAAEm/P//Nfz//wbbAwAAJVRhYmxlLkN1c3RQYWNraW5nU2xpcFRyYW5zLkRhdGFBcmVhSWQJ/AAAAAEj/P//Nfz//wbeAwAAKFRhYmxlLkN1c3RQYWNraW5nU2xpcFRyYW5zLkludmVudFRyYW5zSWQJVwIAAAdrAw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IPz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bhAwAAIVRhYmxlLkN1c3RQYWNraW5nU2xpcFRyYW5zLkl0ZW1JZAniAwAAAR38//8g/P//BuQDAAAnVGFibGUuQ3VzdFBhY2tpbmdTbGlwVHJhbnMuRGVsaXZlcnlEYXRlCeUDAAABGvz//yD8//8G5wMAACdUYWJsZS5DdXN0UGFja2luZ1NsaXBUcmFucy5EaW1lbnNpb25bOF0J6AMAAAEX/P//IPz//wbqAwAAJ1RhYmxlLkN1c3RQYWNraW5nU2xpcFRyYW5zLkRpbWVuc2lvbls3XQnrAwAAB20D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BT8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fYAAAAJ7gMAAAER/P//FPz//wmsAgAACakCAAABDvz//xT8//8G8wMAADpUYWJsZS5DdXN0UGFja2luZ1NsaXBUcmFucy5JbnZlbnRUcmFuc0lkflRhYmxlLkludmVudFRyYW5zCfQDAAAEbg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UDAAAMAAAAB3YD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Qv8//81/P//BvYDAAAhVGFibGUuQ3VzdFBhY2tpbmdTbGlwVHJhbnMuSXRlbUlkCUYBAAABCPz//zX8//8G+QMAACdUYWJsZS5DdXN0UGFja2luZ1NsaXBUcmFucy5EZWxpdmVyeURhdGUJkwEAAAEF/P//Nfz//wb8AwAAHlRhYmxlLkN1c3RQYWNraW5nU2xpcFRyYW5zLlF0eQm4AQAAAQL8//81/P//Bv8DAAAkVGFibGUuQ3VzdFBhY2tpbmdTbGlwVHJhbnMuU2FsZXNVbml0CeABAAAB//v//zX8//8GAgQAACJUYWJsZS5DdXN0UGFja2luZ1NsaXBUcmFucy5TYWxlc0lkCSEBAAAHeAM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fz7//8g/P//BgUEAAAhVGFibGUuQ3VzdFBhY2tpbmdTbGlwVHJhbnMuSXRlbUlkCeIDAAAB+fv//yD8//8GCAQAACdUYWJsZS5DdXN0UGFja2luZ1NsaXBUcmFucy5EZWxpdmVyeURhdGUJ5QMAAAH2+///IPz//wYLBAAAJ1RhYmxlLkN1c3RQYWNraW5nU2xpcFRyYW5zLkRpbWVuc2lvbls4XQnoAwAAAfP7//8g/P//Bg4EAAAnVGFibGUuQ3VzdFBhY2tpbmdTbGlwVHJhbnMuRGltZW5zaW9uWzddCesDAAAHegM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8Pv//xT8//8J9gAAAAnuAwAAAe37//8U/P//CawCAAAJqQIAAAHq+///FPz//wnzAwAACfQDAAABewMAAG4DAAABggMAAAwAAAAHgwM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5/v//zX8//8GGgQAAChUYWJsZS5DdXN0UGFja2luZ1NsaXBUcmFucy5QYWNraW5nU2xpcElkCRsEAAAB5Pv//zX8//8GHQQAACFUYWJsZS5DdXN0UGFja2luZ1NsaXBUcmFucy5JdGVtSWQJRgEAAAHh+///Nfz//wYgBAAAHlRhYmxlLkN1c3RQYWNraW5nU2xpcFRyYW5zLlF0eQm4AQAAAd77//81/P//BiMEAAAiVGFibGUuQ3VzdFBhY2tpbmdTbGlwVHJhbnMuT3JkZXJlZAkkBAAAAdv7//81/P//BiYEAAAhVGFibGUuQ3VzdFBhY2tpbmdTbGlwVHJhbnMuUmVtYWluCScEAAAHhQM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dj7//8g/P//BikEAAAlVGFibGUuQ3VzdFBhY2tpbmdTbGlwVHJhbnMuRGF0YUFyZWFJZAkqBAAAAdX7//8g/P//BiwEAAAhVGFibGUuQ3VzdFBhY2tpbmdTbGlwVHJhbnMuSXRlbUlkCS0EAAAB0vv//yD8//8GLwQAAChUYWJsZS5DdXN0UGFja2luZ1NsaXBUcmFucy5QYWNraW5nU2xpcElkCTAEAAABz/v//yD8//8GMgQAACdUYWJsZS5DdXN0UGFja2luZ1NsaXBUcmFucy5EZWxpdmVyeURhdGUJMwQAAAHM+///IPz//wY1BAAAJ1RhYmxlLkN1c3RQYWNraW5nU2xpcFRyYW5zLkRpbWVuc2lvbls4XQk2BAAAAcn7//8g/P//BjgEAAAnVGFibGUuQ3VzdFBhY2tpbmdTbGlwVHJhbnMuRGltZW5zaW9uWzddCTkEAAAHhwM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xvv//xT8//8J9gAAAAnuAwAAAYgDAABuAwAAB5MD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P7//81/P//Bj4EAAA8VGFibGUuQ3VzdFBhY2tpbmdTbGlwVHJhbnMuSXRlbUlkflRhYmxlLkludmVudFRhYmxlLkl0ZW1OYW1lCW4BAAABlAMAAAwAAAABlgMAAG4DAAABnQMAAAwAAAAHngM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wPv//zX8//8GQQQAACFUYWJsZS5DdXN0UGFja2luZ1NsaXBUcmFucy5JdGVtSWQJRgEAAAG9+///Nfz//wZEBAAAHlRhYmxlLkN1c3RQYWNraW5nU2xpcFRyYW5zLlF0eQm4AQAAAbr7//81/P//BkcEAAAnVGFibGUuQ3VzdFBhY2tpbmdTbGlwVHJhbnMuRGVsaXZlcnlEYXRlCZMBAAABt/v//zX8//8GSgQAACRUYWJsZS5DdXN0UGFja2luZ1NsaXBUcmFucy5TYWxlc1VuaXQJ4AEAAAegAw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tPv//yD8//8GTQQAACFUYWJsZS5DdXN0UGFja2luZ1NsaXBUcmFucy5JdGVtSWQJ4gMAAAGx+///IPz//wZQBAAAJ1RhYmxlLkN1c3RQYWNraW5nU2xpcFRyYW5zLkRlbGl2ZXJ5RGF0ZQnlAwAAAa77//8g/P//BlMEAAAnVGFibGUuQ3VzdFBhY2tpbmdTbGlwVHJhbnMuRGltZW5zaW9uWzhdCegDAAABq/v//yD8//8GVgQAACdUYWJsZS5DdXN0UGFja2luZ1NsaXBUcmFucy5EaW1lbnNpb25bN10J6wMAAAeiAw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o+///FPz//wn2AAAACe4DAAABpfv//xT8//8JrAIAAAmpAgAAAaL7//8U/P//CfMDAAAJ9AMAAAGjAwAAbgMAAAe6Aw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f+///Nfz//wZiBAAAQFRhYmxlLkN1c3RQYWNraW5nU2xpcFRyYW5zLkl0ZW1JZH5UYWJsZS5JbnZlbnRUYWJsZU1vZHVsZS5Vbml0SWQJLwIAAAe8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nPv//yD8//8GZQQAAERUYWJsZS5DdXN0UGFja2luZ1NsaXBUcmFucy5JdGVtSWR+VGFibGUuSW52ZW50VGFibGVNb2R1bGUuTW9kdWxlVHlwZQlmBAAAAb4DAABuAwAABeID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ZnBAAAGlRhYmxlLkN1c3RQYWNraW5nU2xpcFRyYW5zCesAAAAJKAAAAAZqBAAAASr/////CWcEAAAKCesAAAAKCgoJKAAAAAluBAAACSgAAAAB5QMAAOIDAAAJZwQAAAnuAAAACSgAAAAGcwQAABUxLjEuMjAyMSAuLiAyLjI4LjIwMjH/////CWcEAAAKCe4AAAAKCgoJKAAAAAl3BAAACSgAAAAB6AMAAOIDAAAJZwQAAAnxAAAACSgAAAAGfAQAAAEq/////wlnBAAACgnxAAAACgoKCSgAAAAJgAQAAAkoAAAAAesDAADiAwAACWcEAAAJ9AAAAAkoAAAABoUEAAABKv////8JZwQAAAoJ9AAAAAoKCgkoAAAACYkEAAAJKAAAAAHuAwAAfwIAAP////8GiwQAAApTYWxlc1RhYmxlBowEAAAMU2FsZXMgb3JkZXJzCSgAAAAJKAAAAAkoAAAAAXL7/////P//AAAAAAmPBAAACZAEAAABb/v///z8//8+0NhsXSX7QZaDcNHWQmCdCSgAAAAJKAAAAAmTBAAACfYAAAAGlQQAABRDdXN0UGFja2luZ1NsaXBUcmFucwaWBAAAGlRhYmxlLkN1c3RQYWNraW5nU2xpcFRyYW5zBpcEAAAiVGFibGUuQ3VzdFBhY2tpbmdTbGlwVHJhbnMuU2FsZXNJZAaYBAAAB1NhbGVzSWQGmQQAAAdTYWxlc0lkAQAAAAFm+///+Pz//wAAAAABZfv///f8//8AAAAAAAmcBAAAAfQDAAB/AgAA/////wadBAAAC0ludmVudFRyYW5zBp4EAAAWSW52ZW50b3J5IHRyYW5zYWN0aW9ucwkoAAAACSgAAAAJKAAAAAFg+/////z//wAAAAAJoQQAAAmiBAAAAV37///8/P//V18S3w8ZXE2V5uaAzc0lYwkoAAAACSgAAAAJpQQAAAnzAwAABqcEAAAUQ3VzdFBhY2tpbmdTbGlwVHJhbnMGqAQAABpUYWJsZS5DdXN0UGFja2luZ1NsaXBUcmFucwapBAAAKFRhYmxlLkN1c3RQYWNraW5nU2xpcFRyYW5zLkludmVudFRyYW5zSWQGqgQAAA1JbnZlbnRUcmFuc0lkBqsEAAANSW52ZW50VHJhbnNJZAEAAAABVPv///j8//8BAAAAAVP7///3/P//AQAAAAAJrgQAAAEbBAAA/AAAAAFR+///1v////////8ABrAEAAAGU3RyaW5nBrEEAAAMUGFja2luZyBzbGlwCZsCAAABTfv//9T///8CAAAAAUz7//9//f//AQAAAAAACZ4CAAAGtgQAAA1QYWNraW5nU2xpcElkCSgAAAAK/////wmeAgAACgm2BAAACgoKCSgAAAAJuwQAAAkoAAAAASQEAAD8AAAAAUP7///W/////////wAGvgQAAARSZWFsBr8EAAAHT3JkZXJlZAmbAgAAAT/7///U////AgAAAAE++///f/3//wEAAAAAAAmeAgAABsQEAAAHT3JkZXJlZAkoAAAACv////8JngIAAAoJxAQAAAoKCgkoAAAACckEAAAJKAAAAAEnBAAA/AAAAAE1+///1v////////8ABswEAAAEUmVhbAbNBAAAElJlbWFpbmluZyBxdWFudGl0eQmbAgAAATH7///U////AgAAAAEw+///f/3//wEAAAAAAAmeAgAABtIEAAAGUmVtYWluCSgAAAAK/////wmeAgAACgnSBAAACgoKCSgAAAAJ1wQAAAkoAAAAASoEAADiAwAACZ4CAAAG2gQAAApEYXRhQXJlYUlkCSgAAAAJKAAAAP////8JngIAAAoJ2gQAAAoKCgkoAAAACd8EAAAJKAAAAAEtBAAA4gMAAAmeAgAABuIEAAAGSXRlbUlkCSgAAAAJKAAAAP////8JngIAAAoJ4gQAAAoKCgkoAAAACecEAAAJKAAAAAEwBAAA4gMAAAmeAgAABuoEAAANUGFja2luZ1NsaXBJZAkoAAAACSgAAAD/////CZ4CAAAKCeoEAAAKCgoJKAAAAAnvBAAACSgAAAABMwQAAOIDAAAJngIAAAnuAAAACSgAAAAJKAAAAP////8JngIAAAoJ7gAAAAoKCgkoAAAACfcEAAAJKAAAAAE2BAAA4gMAAAmeAgAABvoEAAAMRGltZW5zaW9uWzhdCSgAAAAJKAAAAP////8JngIAAAoJ+gQAAAoKCgkoAAAACf8EAAAJKAAAAAE5BAAA4gMAAAmeAgAABgIFAAAMRGltZW5zaW9uWzddCSgAAAAJKAAAAP////8JngIAAAoJAgUAAAoKCgkoAAAACQcFAAAJKAAAAAFmBAAA4gMAAAn5AAAACfoAAAAJKAAAAAn7AAAA/////wn5AAAABg4FAAARSW52ZW50VGFibGVNb2R1bGUJ+gAAAAYQBQAABkl0ZW1JZAoKCSgAAAAJEgUAAAkoAAAAAW4EAAAkAAAASwAAAAnHAAAAAwAAAAkVBQAAAXcEAAAkAAAASwAAAAnHAAAAAwAAAAkXBQAAAYAEAAAkAAAASwAAAAnHAAAAAwAAAAkZBQAAAYkEAAAkAAAASwAAAAnHAAAAAwAAAAkbBQAABI8E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CAAAAAAAAAAGQBAAAAwMAAAEAAAAJlAMAAAMAAAAJHgUAAAST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wgAAAAAAAAABnAQAAAoDAAAAAAAACSAFAAAAAAAAAaEEAAACAwAABAAAAAnMAAAAAwAAAAkiBQAABKI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lAMAAAAAAAAEpQ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wAAAAAAAAAAa4EAAAKAwAAAAAAAAklBQAAAAAAAAG7BAAAJAAAABEAAAAJwgAAAAMAAAAJJwUAAAHJBAAAJAAAACUAAAAJwgAAAAMAAAAJKQUAAAHXBAAAJAAAACUAAAAJwgAAAAMAAAAJKwUAAATf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CAAAAAAAAAATn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CAAAAAAAAAATv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CAAAAAAAAAAT3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CAAAAAAAAAAT/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CAAAAAAAAAAQH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CAAAAAAAAAAESBQAAJAAAADIAAAAJ4AAAAAMAAAAJLgUAAAcV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H6///0/v//CZsDAAAGMQUAAAZTdHJpbmcBzvr///T+//8JmAMAAAY0BQAABEl0ZW0By/r///T+//8GNgUAAAhSZWZlcnNUbwY3BQAACz1JdGVtTnVtYmVyBx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r///T+//8JmwMAAAY6BQAABERhdGUBxfr///T+//8JmAMAAAY9BQAACVNoaXAgZGF0ZQHC+v//9P7//wk2BQAABkAFAAALPURhdGVQZXJpb2QHG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/+v//9P7//wmbAwAABkMFAAAGU3RyaW5nAbz6///0/v//CZgDAAAGRgUAABZEZXRhaWwgTWFya2V0aW5nIEdyb3VwAbn6///0/v//CTYFAAAGSQUAAAQ9RE1HBxs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r///T+//8JmwMAAAlDBQAAAbP6///0/v//CZgDAAAGTwUAABVNYWpvciBNYXJrZXRpbmcgR3JvdXABsPr///T+//8JNgUAAAZSBQAABD1NTUcHHg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a36//8g/P//BlQFAAA9VGFibGUuQ3VzdFBhY2tpbmdTbGlwVHJhbnMuU2FsZXNJZH5UYWJsZS5TYWxlc1RhYmxlLkN1c3RHcm91cAlVBQAAASAFAABuAwAAByIFAAAAAQAAAAA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UFAABuAwAABy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r///T+//8JigMAAAZYBQAAI0lkZW50aWZpY2F0aW9uIG9mIHRoZSBwYWNraW5nIHNsaXAuAaf6///0/v//CY0DAAAJsQQAAAGk+v//9P7//wmQAwAACbAEAAAHK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+v//9P7//wmKAwAABmEFAAAQUXVhbnRpdHkgb3JkZXJlZAGe+v//9P7//wmNAwAACb8EAAABm/r///T+//8JkAMAAAm+BAAABys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Pr///T+//8JigMAAAZqBQAASVJlbWFpbmluZyBxdWFudGl0eSBmb3IgdGhlIHNhbGVzIG9yZGVyIGxpbmUgbm90IHlldCBwYWNraW5nIHNsaXAgdXBkYXRlZC4Blfr///T+//8JjQMAAAnNBAAAAZL6///0/v//CZADAAAJzAQAAAcu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/6///0/v//CcMDAAAGcwUAAARFbnVtAYz6///0/v//CcADAAAGdgUAAAtNb2R1bGUgdHlwZQFVBQAA4gMAAAn2AAAACfcAAAAJKAAAAAn4AAAA/////wn2AAAACgn3AAAABn0FAAAHU2FsZXNJZAoKCSgAAAAJfwUAAAkoAAAAAX8FAAAkAAAAOAAAAAngAAAAAwAAAAmCBQAAB4I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r///T+//8JwwMAAAaFBQAABlN0cmluZwF6+v//9P7//wnAAwAABogFAAAOQ3VzdG9tZXIgZ3JvdXABd/r///T+//8GigUAAAhSZWZlcnNUbwaLBQAACj1DdXN0R3JvdXAL</Report>
</Atlas>
</file>

<file path=customXml/item6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QAAAAE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kiAAAACSMAAAAMJA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kAAAACAIAAAAGJQAAABVBdGxhc1JlcG9ydF81X1RhYmxlXzEJJg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JAAAAAgICScAAAAHAAAABw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oAAAACSkAAAAJKgAAAAYrAAAAB1NhbGVzSWQGLAAAAAtTYWxlcyBvcmRlcgYtAAAABlN0cmluZwYuAAAAAAYvAAAAJDE3YjVmNDZjLWM2YjAtNGVmOC1hYjYzLTg2MTBmZGI3ZGUwNgXQ////LUdsb2JlU29mdHdhcmUuQXRsYXM0MC5BdGxhc0NvbW1vbi5BZ2dyZWdhdGlvbgEAAAAHdmFsdWVfXwAIDgAAAP////8AAAAABc////8sR2xvYmVTb2Z0d2FyZS5BdGxhczQwLkF0bGFzQ29tbW9uLkNvbHVtblR5cGUBAAAAB3ZhbHVlX18ACA4AAAAAAAAABc7///8rR2xvYmVTb2Z0d2FyZS5BdGxhczQwLkF0bGFzQ29tbW9uLlNvcnRPcmRlcgEAAAAHdmFsdWVfXwAIDgAAAAIAAAAAAAAAAAXN////QEdsb2JlU29mdHdhcmUuQXRsYXM0MC5BdGxhc0NvbW1vbi5UeXBlLkNvbHVtbitDcm9zc1RhYkNvbHVtblR5cGUBAAAAB3ZhbHVlX18ACA4AAAAAAAAACgEAAAAAAAAAAAAAAAAABjQAAAAkMjM5NzA5ZTAtNDY2Mi00NDViLTg3NzQtOGIxZTdhZDNkNzQzBjUAAAAXVGFibGUuU2FsZXNMaW5lLlNhbGVzSWQKCgoKARUAAAAUAAAACTYAAAAJNwAAAAk4AAAABjkAAAAJQ3VzdEdyb3VwBjoAAAAFR3JvdXAGOwAAAAZTdHJpbmcJLgAAAAY9AAAAJGExMzg0YWRjLWZjMjctNDk2NS05MDk1LWE2NzU3N2Q5YmI3MgHC////0P////////8BAAAAAcH////P////AAAAAAHA////zv///wIAAAAAAAAAAAG/////zf///wAAAAAKAQAAAAAAAAAAAQAAAAAGQgAAACQ4OTNhMGNjYS04ZWI0LTRkMDgtOTY0Ny01ODU4NmNmMTM2OTYGQwAAABlUYWJsZS5TYWxlc0xpbmUuQ3VzdEdyb3VwCgoKCgEWAAAAFAAAAAlEAAAACUUAAAAJRgAAAAZHAAAAC0N1c3RBY2NvdW50BkgAAAAIQ3VzdG9tZXIGSQAAAAZTdHJpbmcJLgAAAAZLAAAAJDRiZjQ1YjZjLTQ0ZmUtNDQyZi1iYmQ3LWViYmE3NGJmNWU3MgG0////0P////////8CAAAAAbP////P////AAAAAAGy////zv///wIAAAAAAAAAAAGx////zf///wAAAAAKAQAAAAAAAAAAAgAAAAAGUAAAACQwMDc4ZjEzZi03NWQzLTQ0MTQtOWZmYS1jMzZhYjFkN2IzM2QGUQAAABtUYWJsZS5TYWxlc0xpbmUuQ3VzdEFjY291bnQKCgoKARcAAAAUAAAACVIAAAAJUwAAAAlUAAAABlUAAAAXRGVsaXZlcnlDb3VudHJ5UmVnaW9uSWQGVgAAABtDb3VudHJ5L3JlZ2lvbihkaXN0aW5hdGlvbikGVwAAAAZTdHJpbmcJLgAAAAZZAAAAJDljMzRiMTA5LTJiODktNGVjMC05YjViLTgxNDI3NGIzNzcyNQGm////0P////////8DAAAAAaX////P////AAAAAAGk////zv///wIAAAAAAAAAAAGj////zf///wAAAAAKAQAAAAAAAAAAAwAAAAAGXgAAACQ0OTRkZmY0ZS02MWZjLTRhYTctYWNmNC0yMWI3ZWNhMTYwMjgGXwAAACdUYWJsZS5TYWxlc0xpbmUuRGVsaXZlcnlDb3VudHJ5UmVnaW9uSWQKCgoKARgAAAAUAAAACWAAAAAJYQAAAAliAAAABmMAAAAGSXRlbUlkBmQAAAALSXRlbSBudW1iZXIGZQAAAAZTdHJpbmcJLgAAAAZnAAAAJDE3Yjc1Nzg0LTcyYTctNDlkYy1hYWE4LTcxOTI0YTJhMGI5ZAGY////0P////////8EAAAAAZf////P////AAAAAAGW////zv///wIAAAAAAAAAAAGV////zf///wAAAAAKAQAAAAAAAAAABAAAAAAGbAAAACQwMjkwMmIwZi0yYjA4LTQ4OWMtYmM0OC05MzE1ODA0M2IyZjgGbQAAABZUYWJsZS5TYWxlc0xpbmUuSXRlbUlkCgoKCgEZAAAAFAAAAAluAAAACW8AAAAJcAAAAAZxAAAAD0NyZWF0ZWREYXRlVGltZQZyAAAADENyZWF0ZWQgZGF0ZQZzAAAACERhdGVUaW1lCS4AAAAGdQAAACRkN2UwMWY4OC1mYjU4LTQ5MzYtODlhNy04NjlkYTJlOGRiODABiv///9D/////////BQAAAAGJ////z////wAAAAABiP///87///8CAAAAAAAAAAABh////83///8AAAAACgEAAAAAAAAAAAUAAAAABnoAAAAkNzAxNGMwYjctMmViZC00MWVkLTg0NjEtMWY5MWY5MjJkZjBmBnsAAAAfVGFibGUuU2FsZXNMaW5lLkNyZWF0ZWREYXRlVGltZQoKCgoBGgAAABQAAAAJfAAAAAl9AAAACX4AAAAGfwAAADdBdGxhc01hbmFnZWRDb2x1bW5fNGViZDAyY2YtN2ZlNS00NjU3LThkMTItZTk1NzM3MWFlMDM1BoAAAAANQ3JlYXRlZCBNb250aAkuAAAACS4AAAAGggAAACQ3NzU4MDFlMS04MTU2LTRkNmUtYjQxYy1jZGJjZTdjNGY4MzEBff///9D/////////BgAAAAF8////z////wIAAAABe////87///8CAAAAAAAAAAABev///83///8AAAAACgEAAAAAAAAAAAYAAAAABocAAAAkOTZlNTI4NmEtMmM1OC00NmRiLWI2MzctZDg3NjIxODg0M2I0CS4AAAAKCgoKARsAAAAUAAAACYkAAAAJigAAAAmLAAAABowAAAANSW52ZW50VHJhbnNJZAaNAAAABkxvdCBJRAaOAAAABlN0cmluZwkuAAAABpAAAAAkZGJhMmE1YjEtY2NiYS00NTBjLTkwNGYtZjFmODg1YTE1M2MyAW/////Q/////////wcAAAABbv///8////8AAAAAAW3////O////AgAAAAAAAAAAAWz////N////AAAAAAoBAAAAAAAAAAAHAAAAAAaVAAAAJDAyNDAyNDBjLWU2NTItNDQwNi04Nzc3LWRmNzE4MjU4OWQ4MwaWAAAAHVRhYmxlLlNhbGVzTGluZS5JbnZlbnRUcmFuc0lkCgoKCgEcAAAAFAAAAAmXAAAACZgAAAAJmQAAAAaaAAAACFNhbGVzUXR5BpsAAAAJT3JkZXIgcXR5BpwAAAAEUmVhbAkuAAAABp4AAAAkMjc4OGM0NzMtYjZmMy00MTUwLThiMTAtMWM2OWUxMmUxOGNkAWH////Q////AQAAAAgAAAABYP///8////8AAAAAAV/////O////AgAAAAAAAAAAAV7////N////AAAAAAoBAAAAAAAAAAAIAAAAAAajAAAAJDAyNDg4YzA0LWU0ZGItNGE3Zi05ODY5LWFlMjlhMzIyMDUxMAakAAAAGFRhYmxlLlNhbGVzTGluZS5TYWxlc1F0eQoKCgoBHQAAABQAAAAJpQAAAAmmAAAACacAAAAGqAAAAAlTYWxlc1VuaXQGqQAAAARVbml0BqoAAAAGU3RyaW5nCS4AAAAGrAAAACQwZTM4M2Q4Yi1mODZhLTQ1YmUtOGViMy0zZTRjZDI3MzkyMWEBU////9D/////////CQAAAAFS////z////wAAAAABUf///87///8CAAAAAAAAAAABUP///83///8AAAAACgEAAAAAAAAAAAkAAAAABrEAAAAkY2M0YTgxYzItNDE3Mi00MDNlLTg0NzktYTQyYzdlZDNlNzYyBrIAAAAZVGFibGUuU2FsZXNMaW5lLlNhbGVzVW5pdAoKCgoBHgAAABQAAAAJswAAAAm0AAAACbUAAAAGtgAAAApTYWxlc1ByaWNlBrcAAAAKVW5pdCBwcmljZQa4AAAABFJlYWwJLgAAAAa6AAAAJDk3Y2U1MzczLWYxNDItNGMzYy05MmNlLWViODYwN2JhNjlmOAFF////0P///wEAAAAKAAAAAUT////P////AAAAAAFD////zv///wIAAAAAAAAAAAFC////zf///wAAAAAKAQAAAAAAAAAACgAAAAAGvwAAACRhYTNiNzQ0Mi1mNGJiLTQyOWItOGNlOC0wNTljNzEzMjczZGQGwAAAABpUYWJsZS5TYWxlc0xpbmUuU2FsZXNQcmljZQoKCgoBHwAAABQAAAAJwQAAAAnCAAAACcMAAAAGxAAAAApMaW5lQW1vdW50BsUAAAAKTmV0IGFtb3VudAbGAAAABFJlYWwJLgAAAAbIAAAAJDQ3MzNhYzhiLTgyN2MtNGI4OC04NTAyLTE5OWVlM2M4Mzc4MAE3////0P///wEAAAALAAAAATb////P////AAAAAAE1////zv///wIAAAAAAAAAAAE0////zf///wAAAAAKAQAAAAAAAAAACwAAAAAGzQAAACQ1YzIwNDhmOS1mNWY4LTQ5ZWUtYTBiMy0yNjEwNmNjM2NjNGIGzgAAABpUYWJsZS5TYWxlc0xpbmUuTGluZUFtb3VudAoKCgoBIAAAABQAAAAJzwAAAAnQAAAACdEAAAAG0gAAAAxDdXJyZW5jeUNvZGUG0wAAAAhDdXJyZW5jeQbUAAAABlN0cmluZwkuAAAABtYAAAAkYWVkYzYzZTItNmJhMi00ZDQyLWFkYTItZWVkNGI0NDBkODcyASn////Q/////////wwAAAABKP///8////8AAAAAASf////O////AgAAAAAAAAAAASb////N////AAAAAAoBAAAAAAAAAAAMAAAAAAbbAAAAJGUwYWU3YjkxLWM4NzktNGYyOS1iZThiLWE0MmY3ZDgwZDk5YQbcAAAAHFRhYmxlLlNhbGVzTGluZS5DdXJyZW5jeUNvZGUKCgoKASEAAAAUAAAACd0AAAAJ3gAAAAnfAAAABuAAAAALU2FsZXNTdGF0dXMG4QAAAAtMaW5lIHN0YXR1cwbiAAAABEVudW0JLgAAAAbkAAAAJDhkMWZkNmU4LTgzYjAtNGYwOC04YzA2LWYyZDBhZGI1MmY1ZAEb////0P////////8NAAAAARr////P////AAAAAAEZ////zv///wIAAAAAAAAAAAEY////zf///wAAAAAKAQAAAAAAAAAADQAAAAAG6QAAACQ0YWJlYjA2Yi0yZjU1LTQ5Y2EtOGU1Yi01N2NkZTBhNWRlMTYG6gAAABtUYWJsZS5TYWxlc0xpbmUuU2FsZXNTdGF0dXMKCgoKASIAAAAUAAAACesAAAAJ7AAAAAntAAAABu4AAAA3QXRsYXNNYW5hZ2VkQ29sdW1uXzFlMzllNzJiLTUzZDItNDYzOC1iMGRkLWY1NzZkMTEyMTcyOQbvAAAADkRlbGl2ZXJlZCBEYXRlCS4AAAAJLgAAAAbxAAAAJGI3MWM1OWFiLTU4NmYtNDZlOC1hMTE2LTRlN2Q2YWEzMTAzMAEO////0P////////8OAAAAAQ3////P////AgAAAAEM////zv///wIAAAAAAAAAAAEL////zf///wAAAAAKAQAAAAAAAAAADgAAAAAG9gAAACQ3MmQ4Nzg5OS04OTIxLTQwMGEtYjhiYy1mZDBjMDRiYTc5NjUJLgAAAAoKCgoBIwAAABQAAAAJ+AAAAAn5AAAACfoAAAAG+wAAADdBdGxhc01hbmFnZWRDb2x1bW5fMjZhYTgxYjktNjQ3ZC00NWY1LTg4YzktYzYyMWRhZTk0NzgyBvwAAAAPRGVsaXZlcmVkIE1vbnRoCS4AAAAJLgAAAAb+AAAAJGYxZGMwNDYyLWJiY2YtNDFmYi04ODc0LTkzMzM3OWRhYzM1YQEB////0P////////8PAAAAAQD////P////AgAAAAH//v//zv///wIAAAAAAAAAAAH+/v//zf///wAAAAAKAQAAAAAAAAAADwAAAAAGAwEAACQzYjViNzg1My0wMmY4LTRhOTAtYjk0OC02Yjc5MGVjMWEwZTgJLgAAAAoKCgoFJgAAADhHbG9iZVNvZnR3YXJlLkF0bGFzNDAuQXRsYXNDb21tb25DbGllbnQuUmVwb3J0LlJlZmVyZW5jZQEAAAAKX3JlZmVyZW5jZQcIJAAAAAkFAQAABycAAAAAAQAAAAgAAAAEPEdsb2JlU29mdHdhcmUuQXRsYXM0MC5BdGxhc0NvbW1vbkNsaWVudC5EYXRhU291cmNlRmllbGRWYWx1ZSQAAAAJBgEAAAkHAQAACQgBAAAJCQEAAAkKAQAACQsBAAAJDAEAAAoEK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DQEAAAEAAAABAAAABCk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SwAAAAkOAQAABwAAAAkPAQAABC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kQAQAABwAAAAkRAQAAATYAAAAoAAAACRIBAAABAAAAAQAAAAE3AAAAKQAAADQAAAAJEwEAAAcAAAAJFAEAAAE4AAAAKgAAADEAAAAJFQEAAAcAAAAJFgEAAAFEAAAAKAAAAAkXAQAAAQAAAAEAAAABRQAAACkAAAAtAAAACRMBAAAHAAAACRkBAAABRgAAACoAAAAqAAAACRUBAAAHAAAACRsBAAABUgAAACgAAAAJHAEAAAEAAAABAAAAAVMAAAApAAAAKwAAAAkdAQAABwAAAAkeAQAAAVQAAAAqAAAAIwAAAAkfAQAABwAAAAkgAQAAAWAAAAAoAAAACSEBAAABAAAAAQAAAAFhAAAAKQAAAEoAAAAJDgEAAAcAAAAJIwEAAAFiAAAAKgAAAEYAAAAJEAEAAAcAAAAJJQEAAAFuAAAAKAAAAAkmAQAAAQAAAAEAAAABbwAAACkAAAAYAAAACScBAAAHAAAACSgBAAABcAAAACoAAAAVAAAACSkBAAAHAAAACSoBAAABfAAAACgAAAAJKwEAAAAAAAAAAAAAAX0AAAApAAAABQAAAAksAQAAAwAAAAktAQAABH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QwAAAAAAAAAAYkAAAAoAAAACS8BAAABAAAAAQAAAAGKAAAAKQAAABEAAAAJMAEAAAcAAAAJMQEAAAGLAAAAKgAAAA4AAAAJMgEAAAcAAAAJMwEAAAGXAAAAKAAAAAk0AQAAAQAAAAEAAAABmAAAACkAAABKAAAACQ4BAAAHAAAACTYBAAABmQAAACoAAABGAAAACRABAAAHAAAACTgBAAABpQAAACgAAAAJOQEAAAEAAAABAAAAAaYAAAApAAAACgAAAAk6AQAABwAAAAk7AQAAAacAAAAqAAAABwAAAAk8AQAABwAAAAk9AQAAAbMAAAAoAAAACT4BAAABAAAAAQAAAAG0AAAAKQAAAEoAAAAJDgEAAAcAAAAJQAEAAAG1AAAAKgAAAEYAAAAJEAEAAAcAAAAJQgEAAAHBAAAAKAAAAAlDAQAAAQAAAAEAAAABwgAAACkAAABKAAAACQ4BAAAHAAAACUUBAAABwwAAACoAAABGAAAACRABAAAHAAAACUcBAAABzwAAACgAAAAJSAEAAAEAAAABAAAAAdAAAAApAAAASgAAAAkOAQAABwAAAAlKAQAAAdEAAAAqAAAARgAAAAkQAQAABwAAAAlMAQAAAd0AAAAoAAAACU0BAAABAAAAAQAAAAHeAAAAKQAAAEoAAAAJDgEAAAcAAAAJTwEAAAHfAAAAKgAAAEYAAAAJEAEAAAcAAAAJUQEAAAHrAAAAKAAAAAkrAQAAAAAAAAAAAAAB7AAAACkAAAAFAAAACSwBAAADAAAACVQBAAAE7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DAAAAAAAAAAB+AAAACgAAAAJKwEAAAAAAAAAAAAAAfkAAAApAAAABQAAAAksAQAAAwAAAAlYAQAABP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QwAAAAAAAAADwUBAAABAAAACAEAAAAFBgEAADxHbG9iZVNvZnR3YXJlLkF0bGFzNDAuQXRsYXNDb21tb25DbGllbnQuRGF0YVNvdXJjZUZpZWxkVmFsdWUEAAAAEl9pc0RyaWxsRG93bkZpbHRlcgZfZHNLZXkKX2ZpZWxkbmFtZQtfZmllbGRWYWx1ZQABAQEBJAAAAAAGWgEAAA9UYWJsZS5TYWxlc0xpbmUGWwEAAApEYXRhQXJlYUlkCQYAAAABBwEAAAYBAAAACVoBAAAGXgEAAAZJdGVtSWQGXwEAAAEqAQgBAAAGAQAAAAlaAQAABmEBAAAPQ3JlYXRlZERhdGVUaW1lBmIBAAAWMS4xLjIwMTkgLi4gMTIuMzEuMjAxOQEJAQAABgEAAAAJWgEAAAZkAQAACUN1c3RHcm91cAZlAQAAASoBCgEAAAYBAAAACVoBAAAGZwEAAAxEaW1lbnNpb25bOF0GaAEAAAEqAQsBAAAGAQAAAAlaAQAABmoBAAAMRGltZW5zaW9uWzddBmsBAAAHQVNQSEFMVAEMAQAABgEAAAAJWgEAAAZtAQAAC1NhbGVzU3RhdHVzBm4BAAAJIUNhbmNlbGVkBw0BAAAAAQAAAAQAAAAEN0dsb2JlU29mdHdhcmUuQXRsYXM0MC5BdGxhc0NvbW1vbi5UeXBlLkZpZWxkT3V0cHV0RmllbGQOAAAACW8BAAANAwQO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P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k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P/v//Mkdsb2JlU29mdHdhcmUuQXRsYXM0MC5BdGxhc0NvbW1vbi5Db2x1bW5BdHRyaWJ1dGVzAQAAAAd2YWx1ZV9fAAgOAAAABgAAAAZyAQAABVRvdGFsAY3+//+Q/v//AYz+//+P/v//EAAAAAZ1AQAABE5vbmUBiv7//5D+//8Bif7//4/+//8JAAAACS4AAAABh/7//5D+//8Bhv7//4/+//8LAAAABnsBAAABMAGE/v//kP7//wGD/v//j/7//wQAAAAGfgEAAAdHZW5lcmFsAYH+//+Q/v//AYD+//+P/v//AgAAAAaBAQAAATEBfv7//5D+//8Bff7//4/+//8AAAAABoQBAAAFMTguODYBEAEAAAwAAAAHE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7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YBAAAIRm9udEJvbGQGhwEAAAVGYWxzZQF4/v//e/7//waJAQAACkZvbnRJdGFsaWMJhwEAAAF1/v//e/7//waMAQAADUZvbnRVbmRlcmxpbmUGjQEAAAUtNDE0MgFy/v//e/7//waPAQAACEZvbnROYW1lBpABAAAHQ2FsaWJyaQFv/v//e/7//waSAQAACUZvbnRDb2xvcgaTAQAAATABbP7//3v+//8GlQEAAAhGb250U2l6ZQaWAQAAAjExAWn+//97/v//BpgBAAAJRm9udFN0eWxlBpkBAAAHUmVndWxhcgcSAQAAAAEAAAAEAAAABDdHbG9iZVNvZnR3YXJlLkF0bGFzNDAuQXRsYXNDb21tb24uVHlwZS5GaWVsZE91dHB1dEZpZWxkDgAAAAmaAQAADQMBEwEAAA4BAAAHF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X+//+Q/v//AWT+//+P/v//CQAAAAkuAAAAAWL+//+Q/v//AWH+//+P/v//CwAAAAagAQAAATEBX/7//5D+//8BXv7//4/+//8EAAAABqMBAAAHR2VuZXJhbAFc/v//kP7//wFb/v//j/7//wIAAAAGpgEAAAExAVn+//+Q/v//AVj+//+P/v//AAAAAAapAQAABDguNTcBFQEAAAwAAAA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W/v//e/7//warAQAACEZvbnRCb2xkCYcBAAABU/7//3v+//8GrgEAAApGb250SXRhbGljCYcBAAABUP7//3v+//8GsQEAAA1Gb250VW5kZXJsaW5lBrIBAAAFLTQxNDIBTf7//3v+//8GtAEAAAhGb250TmFtZQa1AQAAB0NhbGlicmkBSv7//3v+//8GtwEAAAlGb250Q29sb3IGuAEAAAEwAUf+//97/v//BroBAAAIRm9udFNpemUGuwEAAAIxMQFE/v//e/7//wa9AQAACUZvbnRTdHlsZQa+AQAAB1JlZ3VsYXIHFwEAAAABAAAABAAAAAQ3R2xvYmVTb2Z0d2FyZS5BdGxhczQwLkF0bGFzQ29tbW9uLlR5cGUuRmllbGRPdXRwdXRGaWVsZA4AAAAJvwEAAA0DBxk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A/v//kP7//wE//v//j/7//wkAAAAJLgAAAAE9/v//kP7//wE8/v//j/7//wsAAAAGxQEAAAEyATr+//+Q/v//ATn+//+P/v//BAAAAAbIAQAAB0dlbmVyYWwBN/7//5D+//8BNv7//4/+//8CAAAABssBAAABMQE0/v//kP7//wEz/v//j/7//wAAAAAGzgEAAAUxMS4xNAc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H+//97/v//BtABAAAIRm9udEJvbGQJhwEAAAEu/v//e/7//wbTAQAACkZvbnRJdGFsaWMJhwEAAAEr/v//e/7//wbWAQAADUZvbnRVbmRlcmxpbmUG1wEAAAUtNDE0MgEo/v//e/7//wbZAQAACEZvbnROYW1lBtoBAAAHQ2FsaWJyaQEl/v//e/7//wbcAQAACUZvbnRDb2xvcgbdAQAAATABIv7//3v+//8G3wEAAAhGb250U2l6ZQbgAQAAAjExAR/+//97/v//BuIBAAAJRm9udFN0eWxlBuMBAAAHUmVndWxhcgccAQAAAAEAAAAEAAAABDdHbG9iZVNvZnR3YXJlLkF0bGFzNDAuQXRsYXNDb21tb24uVHlwZS5GaWVsZE91dHB1dEZpZWxkDgAAAAnkAQAADQMBHQEAAA4BAAAHH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v+//+Q/v//ARr+//+P/v//CQAAAAkuAAAAARj+//+Q/v//ARf+//+P/v//CwAAAAbqAQAAATMBFf7//5D+//8BFP7//4/+//8kAAAACVYAAAABEv7//5D+//8BEf7//4/+//8EAAAABvABAAAHR2VuZXJhbAEP/v//kP7//wEO/v//j/7//wIAAAAG8wEAAAExAQz+//+Q/v//AQv+//+P/v//AAAAAAb2AQAABTE2LjI5AR8BAAAMAAAABy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f7//3v+//8G+AEAAAhGb250Qm9sZAmHAQAAAQb+//97/v//BvsBAAAKRm9udEl0YWxpYwmHAQAAAQP+//97/v//Bv4BAAANRm9udFVuZGVybGluZQb/AQAABS00MTQyAQD+//97/v//BgECAAAIRm9udE5hbWUGAgIAAAdDYWxpYnJpAf39//97/v//BgQCAAAJRm9udENvbG9yBgUCAAABMAH6/f//e/7//wYHAgAACEZvbnRTaXplBggCAAACMTEB9/3//3v+//8GCgIAAAlGb250U3R5bGUGCwIAAAdSZWd1bGFyByEBAAAAAQAAAAQAAAAEN0dsb2JlU29mdHdhcmUuQXRsYXM0MC5BdGxhc0NvbW1vbi5UeXBlLkZpZWxkT3V0cHV0RmllbGQOAAAACQwCAAANAwc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8/3//5D+//8B8v3//4/+//8QAAAACXUBAAAB8P3//5D+//8B7/3//4/+//8JAAAACS4AAAAB7f3//5D+//8B7P3//4/+//8LAAAABhUCAAABNAHq/f//kP7//wHp/f//j/7//wQAAAAGGAIAAAdHZW5lcmFsAef9//+Q/v//Aeb9//+P/v//AgAAAAYbAgAAATEB5P3//5D+//8B4/3//4/+//8AAAAABh4CAAAFMTUuNDMHJ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h/f//e/7//wmGAQAACYcBAAAB3v3//3v+//8JiQEAAAmHAQAAAdv9//97/v//CYwBAAAGJwIAAAUtNDE0MgHY/f//e/7//wmPAQAABioCAAAHQ2FsaWJyaQHV/f//e/7//wmSAQAABi0CAAABMAHS/f//e/7//wmVAQAABjACAAACMTEBz/3//3v+//8JmAEAAAYzAgAAB1JlZ3VsYXIHJgEAAAABAAAABAAAAAQ3R2xvYmVTb2Z0d2FyZS5BdGxhczQwLkF0bGFzQ29tbW9uLlR5cGUuRmllbGRPdXRwdXRGaWVsZA4AAAAJNAIAAA0DAScBAAAOAQAAByg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L/f//kP7//wHK/f//j/7//wkAAAAJLgAAAAHI/f//kP7//wHH/f//j/7//wsAAAAGOgIAAAE1AcX9//+Q/v//AcT9//+P/v//BAAAAAY9AgAADW0vZC95eXl5IGg6bW0Bwv3//5D+//8Bwf3//4/+//8CAAAABkACAAABMQG//f//kP7//wG+/f//j/7//wAAAAAGQwIAAAUxNS4xNAEpAQAADAAAAAc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z9//97/v//BkUCAAAIRm9udEJvbGQJhwEAAAG5/f//e/7//wZIAgAACkZvbnRJdGFsaWMJhwEAAAG2/f//e/7//wZLAgAADUZvbnRVbmRlcmxpbmUGTAIAAAUtNDE0MgGz/f//e/7//wZOAgAACEZvbnROYW1lBk8CAAAHQ2FsaWJyaQGw/f//e/7//wZRAgAACUZvbnRDb2xvcgZSAgAAATABrf3//3v+//8GVAIAAAhGb250U2l6ZQZVAgAAAjExAar9//97/v//BlcCAAAJRm9udFN0eWxlBlgCAAAHUmVndWxhcgcrAQAAAAEAAAAAAAAABDdHbG9iZVNvZnR3YXJlLkF0bGFzNDAuQXRsYXNDb21tb24uVHlwZS5GaWVsZE91dHB1dEZpZWxkDgAAAAEsAQAADgEAAActAQ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3//5D+//8Bpv3//4/+//8kAAAACYAAAAABpP3//5D+//8Bo/3//4/+//8LAAAABl4CAAABNgcvAQAAAAEAAAAEAAAABDdHbG9iZVNvZnR3YXJlLkF0bGFzNDAuQXRsYXNDb21tb24uVHlwZS5GaWVsZE91dHB1dEZpZWxkDgAAAAlfAgAADQMBMAEAAA4BAAAHM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D9//+Q/v//AZ/9//+P/v//CQAAAAkuAAAAAZ39//+Q/v//AZz9//+P/v//CwAAAAZlAgAAATcBmv3//5D+//8Bmf3//4/+//8EAAAABmgCAAAHR2VuZXJhbAGX/f//kP7//wGW/f//j/7//wIAAAAGawIAAAExAZT9//+Q/v//AZP9//+P/v//AAAAAAZuAgAABDkuNDMBMgEAAAwAAAAHM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f//e/7//wZwAgAACEZvbnRCb2xkCYcBAAABjv3//3v+//8GcwIAAApGb250SXRhbGljCYcBAAABi/3//3v+//8GdgIAAA1Gb250VW5kZXJsaW5lBncCAAAFLTQxNDIBiP3//3v+//8GeQIAAAhGb250TmFtZQZ6AgAAB0NhbGlicmkBhf3//3v+//8GfAIAAAlGb250Q29sb3IGfQIAAAEwAYL9//97/v//Bn8CAAAIRm9udFNpemUGgAIAAAIxMQF//f//e/7//waCAgAACUZvbnRTdHlsZQaDAgAAB1JlZ3VsYXIHNAEAAAABAAAABAAAAAQ3R2xvYmVTb2Z0d2FyZS5BdGxhczQwLkF0bGFzQ29tbW9uLlR5cGUuRmllbGRPdXRwdXRGaWVsZA4AAAAJhAIAAA0DBz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7/f//kP7//wF6/f//j/7//xAAAAAJdQEAAAF4/f//kP7//wF3/f//j/7//wkAAAAJLgAAAAF1/f//kP7//wF0/f//j/7//wsAAAAGjQIAAAE4AXL9//+Q/v//AXH9//+P/v//BAAAAAaQAgAAB0dlbmVyYWwBb/3//5D+//8Bbv3//4/+//8CAAAABpMCAAABMQFs/f//kP7//wFr/f//j/7//wAAAAAGlgIAAAIxMQc4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9//97/v//CYYBAAAJhwEAAAFm/f//e/7//wmJAQAACYcBAAABY/3//3v+//8JjAEAAAafAgAABS00MTQyAWD9//97/v//CY8BAAAGogIAAAdDYWxpYnJpAV39//97/v//CZIBAAAGpQIAAAEwAVr9//97/v//CZUBAAAGqAIAAAIxMQFX/f//e/7//wmYAQAABqsCAAAHUmVndWxhcgc5AQAAAAEAAAAEAAAABDdHbG9iZVNvZnR3YXJlLkF0bGFzNDAuQXRsYXNDb21tb24uVHlwZS5GaWVsZE91dHB1dEZpZWxkDgAAAAmsAgAADQMBOgEAAA4BAAAHO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9//+Q/v//AVL9//+P/v//CQAAAAkuAAAAAVD9//+Q/v//AU/9//+P/v//CwAAAAayAgAAATkBTf3//5D+//8BTP3//4/+//8EAAAABrUCAAAHR2VuZXJhbAFK/f//kP7//wFJ/f//j/7//wIAAAAGuAIAAAExAUf9//+Q/v//AUb9//+P/v//AAAAAAa7AgAABDYuNDMBPAEAAAwAAAAHP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E/f//e/7//wa9AgAACEZvbnRCb2xkCYcBAAABQf3//3v+//8GwAIAAApGb250SXRhbGljCYcBAAABPv3//3v+//8GwwIAAA1Gb250VW5kZXJsaW5lBsQCAAAFLTQxNDIBO/3//3v+//8GxgIAAAhGb250TmFtZQbHAgAAB0NhbGlicmkBOP3//3v+//8GyQIAAAlGb250Q29sb3IGygIAAAEwATX9//97/v//BswCAAAIRm9udFNpemUGzQIAAAIxMQEy/f//e/7//wbPAgAACUZvbnRTdHlsZQbQAgAAB1JlZ3VsYXIHPgEAAAABAAAABAAAAAQ3R2xvYmVTb2Z0d2FyZS5BdGxhczQwLkF0bGFzQ29tbW9uLlR5cGUuRmllbGRPdXRwdXRGaWVsZA4AAAAJ0QIAAA0DB0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u/f//kP7//wEt/f//j/7//xAAAAAJdQEAAAEr/f//kP7//wEq/f//j/7//wkAAAAJLgAAAAEo/f//kP7//wEn/f//j/7//wsAAAAG2gIAAAIxMAEl/f//kP7//wEk/f//j/7//wQAAAAG3QIAAAdHZW5lcmFsASL9//+Q/v//ASH9//+P/v//AgAAAAbgAgAAATEBH/3//5D+//8BHv3//4/+//8AAAAABuMCAAAFMTEuMjkHQ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f//e/7//wmGAQAACYcBAAABGf3//3v+//8JiQEAAAmHAQAAARb9//97/v//CYwBAAAG7AIAAAUtNDE0MgET/f//e/7//wmPAQAABu8CAAAHQ2FsaWJyaQEQ/f//e/7//wmSAQAABvICAAABMAEN/f//e/7//wmVAQAABvUCAAACMTEBCv3//3v+//8JmAEAAAb4AgAAB1JlZ3VsYXIHQwEAAAABAAAABAAAAAQ3R2xvYmVTb2Z0d2FyZS5BdGxhczQwLkF0bGFzQ29tbW9uLlR5cGUuRmllbGRPdXRwdXRGaWVsZA4AAAAJ+QIAAA0DB0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G/f//kP7//wEF/f//j/7//xAAAAAJdQEAAAED/f//kP7//wEC/f//j/7//wkAAAAJLgAAAAEA/f//kP7//wH//P//j/7//wsAAAAGAgMAAAIxMQH9/P//kP7//wH8/P//j/7//wQAAAAGBQMAAAdHZW5lcmFsAfr8//+Q/v//Afn8//+P/v//AgAAAAYIAwAAATEB9/z//5D+//8B9vz//4/+//8AAAAABgsDAAAFMTMuMTQHR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/P//e/7//wmGAQAACYcBAAAB8fz//3v+//8JiQEAAAmHAQAAAe78//97/v//CYwBAAAGFAMAAAUtNDE0MgHr/P//e/7//wmPAQAABhcDAAAHQ2FsaWJyaQHo/P//e/7//wmSAQAABhoDAAABMAHl/P//e/7//wmVAQAABh0DAAACMTEB4vz//3v+//8JmAEAAAYgAwAAB1JlZ3VsYXIHSAEAAAABAAAABAAAAAQ3R2xvYmVTb2Z0d2FyZS5BdGxhczQwLkF0bGFzQ29tbW9uLlR5cGUuRmllbGRPdXRwdXRGaWVsZA4AAAAJIQMAAA0DB0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e/P//kP7//wHd/P//j/7//xAAAAAJdQEAAAHb/P//kP7//wHa/P//j/7//wkAAAAJLgAAAAHY/P//kP7//wHX/P//j/7//wsAAAAGKgMAAAIxMgHV/P//kP7//wHU/P//j/7//wQAAAAGLQMAAAdHZW5lcmFsAdL8//+Q/v//AdH8//+P/v//AgAAAAYwAwAAATEBz/z//5D+//8Bzvz//4/+//8AAAAABjMDAAAFMTAuNDMHT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/P//e/7//wmGAQAACYcBAAAByfz//3v+//8JiQEAAAmHAQAAAcb8//97/v//CYwBAAAGPAMAAAUtNDE0MgHD/P//e/7//wmPAQAABj8DAAAHQ2FsaWJyaQHA/P//e/7//wmSAQAABkIDAAABMAG9/P//e/7//wmVAQAABkUDAAACMTEBuvz//3v+//8JmAEAAAZIAwAAB1JlZ3VsYXIHTQEAAAABAAAABAAAAAQ3R2xvYmVTb2Z0d2FyZS5BdGxhczQwLkF0bGFzQ29tbW9uLlR5cGUuRmllbGRPdXRwdXRGaWVsZA4AAAAJSQMAAA0DB08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2/P//kP7//wG1/P//j/7//xAAAAAJdQEAAAGz/P//kP7//wGy/P//j/7//wkAAAAJLgAAAAGw/P//kP7//wGv/P//j/7//wsAAAAGUgMAAAIxMwGt/P//kP7//wGs/P//j/7//wQAAAAGVQMAAAdHZW5lcmFsAar8//+Q/v//Aan8//+P/v//AgAAAAZYAwAAATEBp/z//5D+//8Bpvz//4/+//8AAAAABlsDAAACMTIHU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k/P//e/7//wmGAQAACYcBAAABofz//3v+//8JiQEAAAmHAQAAAZ78//97/v//CYwBAAAGZAMAAAUtNDE0MgGb/P//e/7//wmPAQAABmcDAAAHQ2FsaWJyaQGY/P//e/7//wmSAQAABmoDAAABMAGV/P//e/7//wmVAQAABm0DAAACMTEBkvz//3v+//8JmAEAAAZwAwAAB1JlZ3VsYXIHVAE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/8//+Q/v//AY78//+P/v//JAAAAAnvAAAAAYz8//+Q/v//AYv8//+P/v//CwAAAAZ2AwAAAjE0B1gB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/P//kP7//wGI/P//j/7//yQAAAAJ/AAAAAGG/P//kP7//wGF/P//j/7//wsAAAAGfAMAAAIxNQV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D/P//0P////////8ABn4DAAAGU3RyaW5nBn8DAAALU2FsZXMgb3JkZXIJgAMAAAF//P//zv///wIAAAAFfvz//zlHbG9iZVNvZnR3YXJlLkF0bGFzNDAuQXRsYXNDb21tb24uTnVtYmVyU2VxdWVuY2VDb25kaXRpb24BAAAAB3ZhbHVlX18ACA4AAAABAAAAAAAGgwMAAA9UYWJsZS5TYWxlc0xpbmUJKwAAAAkuAAAACv////8JgwMAAAoJKwAAAAoKCgkuAAAACYkDAAAJLgAAAAGaAQAAbwEAAAF1/P//0P////////8ABowDAAAGU3RyaW5nBo0DAAAFR3JvdXAJjgMAAAFx/P//zv///wIAAAABcPz//378//8BAAAAAAAGkQMAAA9UYWJsZS5TYWxlc0xpbmUJOQAAAAkuAAAACv////8JkQMAAAoJOQAAAAoKCgkuAAAACZcDAAAJLgAAAAG/AQAAbwEAAAFn/P//0P////////8ABpoDAAAGU3RyaW5nBpsDAAAIQ3VzdG9tZXIJnAMAAAFj/P//zv///wIAAAABYvz//378//8BAAAAAAAGnwMAAA9UYWJsZS5TYWxlc0xpbmUJRwAAAAkuAAAACv////8JnwMAAAoJRwAAAAoKCgkuAAAACaUDAAAJLgAAAAHkAQAAbwEAAAFZ/P//0P////////8ABqgDAAAGU3RyaW5nBqkDAAAOQ291bnRyeS9yZWdpb24JqgMAAAFV/P//zv///wIAAAABVPz//378//8BAAAAAAAGrQMAAA9UYWJsZS5TYWxlc0xpbmUJVQAAAAkuAAAACv////8JrQMAAAoJVQAAAAoKCgkuAAAACbMDAAAJLgAAAAEMAgAAbwEAAAFL/P//0P////////8ABrYDAAAGU3RyaW5nBrcDAAALSXRlbSBudW1iZXIJgAMAAAFH/P//zv///wIAAAABRvz//378//8BAAAAAAAJgwMAAAljAAAACS4AAAAK/////wmDAwAACgljAAAACgoKCS4AAAAJwQMAAAkuAAAAATQCAABvAQAAAT38///Q/////////wAGxAMAAAhEYXRlVGltZQbFAwAADENyZWF0ZWQgZGF0ZQnGAwAAATn8///O////AgAAAAE4/P//fvz//wEAAAAAAAbJAwAAD1RhYmxlLlNhbGVzTGluZQlxAAAACS4AAAAK/////wnJAwAACglxAAAACgoKCS4AAAAJzwMAAAkuAAAAAV8CAABvAQAAAS/8///Q/////////wAG0gMAAAZTdHJpbmcG0wMAAAZMb3QgSUQJ1AMAAAEr/P//zv///wIAAAABKvz//378//8BAAAAAAAG1wMAAA9UYWJsZS5TYWxlc0xpbmUJjAAAAAkuAAAACv////8J1wMAAAoJjAAAAAoKCgkuAAAACd0DAAAJLgAAAAGEAgAAbwEAAAEh/P//0P////////8ABuADAAAEUmVhbAbhAwAACU9yZGVyIHF0eQmAAwAAAR38///O////AgAAAAEc/P//fvz//wEAAAAAAAmDAwAACZoAAAAJLgAAAAr/////CYMDAAAKCZoAAAAKCgoJLgAAAAnrAwAACS4AAAABrAIAAG8BAAABE/z//9D/////////AAbuAwAABlN0cmluZwbvAwAABFVuaXQJ8AMAAAEP/P//zv///wIAAAABDvz//378//8BAAAAAAAG8wMAAA9UYWJsZS5TYWxlc0xpbmUJqAAAAAkuAAAACv////8J8wMAAAoJqAAAAAoKCgkuAAAACfkDAAAJLgAAAAHRAgAAbwEAAAEF/P//0P////////8ABvwDAAAEUmVhbAb9AwAAClVuaXQgcHJpY2UJgAMAAAEB/P//zv///wIAAAABAPz//378//8BAAAAAAAJgwMAAAm2AAAACS4AAAAK/////wmDAwAACgm2AAAACgoKCS4AAAAJBwQAAAkuAAAAAfkCAABvAQAAAff7///Q/////////wAGCgQAAARSZWFsBgsEAAAKTmV0IGFtb3VudAmAAwAAAfP7///O////AgAAAAHy+///fvz//wEAAAAAAAmDAwAACcQAAAAJLgAAAAr/////CYMDAAAKCcQAAAAKCgoJLgAAAAkVBAAACS4AAAABIQMAAG8BAAAB6fv//9D/////////AAYYBAAABlN0cmluZwYZBAAACEN1cnJlbmN5CYADAAAB5fv//87///8CAAAAAeT7//9+/P//AQAAAAAACYMDAAAJ0gAAAAkuAAAACv////8JgwMAAAoJ0gAAAAoKCgkuAAAACSMEAAAJLgAAAAFJAwAAbwEAAAHb+///0P////////8ABiYEAAAERW51bQYnBAAAC0xpbmUgc3RhdHVzCYADAAAB1/v//87///8CAAAAAdb7//9+/P//AQAAAAAACYMDAAAJ4AAAAAkuAAAACv////8JgwMAAAoJ4AAAAAoKCgkuAAAACTEEAAAJLgAAAAWAAw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BnAQAABjMEAAAJU2FsZXNMaW5lBjQEAAALT3JkZXIgbGluZXMJLgAAAAkuAAAACS4AAAAFyvv//zBHbG9iZVNvZnR3YXJlLkF0bGFzNDAuQXRsYXNDb21tb24uRGF0YVNvdXJjZVR5cGUBAAAAB3ZhbHVlX18ACA4AAAAAAAAACTcEAAAJOAQAAATH+///C1N5c3RlbS5HdWlkCwAAAAJfYQJfYgJfYwJfZAJfZQJfZgJfZwJfaAJfaQJfagJfawAAAAAAAAAAAAAACAcHAgICAgICAgLN4Fxy1bjiRpIg+U/wFg3dCS4AAAAJLgAAAAk7BAAACYMDAAAKCgoKCgEAAAAFw/v//zRHbG9iZVNvZnR3YXJlLkF0bGFzNDAuQXRsYXNDb21tb24uRGF0YVNvdXJjZUpvaW5Nb2RlAQAAAAd2YWx1ZV9fAAgOAAAAAAAAAAXC+///NUdsb2JlU29mdHdhcmUuQXRsYXM0MC5BdGxhc0NvbW1vbi5EYXRhU291cmNlRmV0Y2hNb2RlAQAAAAd2YWx1ZV9fAAgOAAAAAAAAAAAJPwQAAAGJAwAAKgAAAEEAAAAJEAEAAAMAAAAJQQQAAAGOAwAAgAMAAP////8GQgQAAAlTYWxlc0xpbmUGQwQAAAtPcmRlciBsaW5lcwkuAAAACS4AAAAJLgAAAAG7+///yvv//wAAAAAJRgQAAAlHBAAAAbj7///H+///qlphP4ENHUyNeOP4oO6BqQkuAAAACS4AAAAJSgQAAAmRAwAACgoKCgoBAAAAAbT7///D+///AAAAAAGz+///wvv//wAAAAAACU4EAAABlwMAACoAAAAsAAAACRUBAAADAAAACVAEAAABnAMAAIADAAD/////BlEEAAAJU2FsZXNMaW5lBlIEAAALT3JkZXIgbGluZXMJLgAAAAkuAAAACS4AAAABrPv//8r7//8AAAAACVUEAAAJVgQAAAGp+///x/v//3FMtyrKehlPlbYdbnWBUVsJLgAAAAkuAAAACVkEAAAJnwMAAAoKCgoKAQAAAAGl+///w/v//wAAAAABpPv//8L7//8AAAAAAAldBAAAAaUDAAAqAAAAJgAAAAkVAQAAAwAAAAlfBAAAAaoDAACAAwAA/////wZgBAAACVNhbGVzTGluZQZhBAAAC09yZGVyIGxpbmVzCS4AAAAJLgAAAAkuAAAAAZ37///K+///AAAAAAlkBAAACWUEAAABmvv//8f7//+QswyN6VkyT7L4p/BbO22UCS4AAAAJLgAAAAloBAAACa0DAAAKCgoKCgEAAAABlvv//8P7//8AAAAAAZX7///C+///AAAAAAAJbAQAAAGzAwAAKgAAACAAAAAJHwEAAAMAAAAJbgQAAAHBAwAAKgAAAEEAAAAJEAEAAAMAAAAJcAQAAAHGAwAAgAMAAP////8GcQQAAAlTYWxlc0xpbmUGcgQAAAtPcmRlciBsaW5lcwkuAAAACS4AAAAJLgAAAAGM+///yvv//wAAAAAJdQQAAAl2BAAAAYn7///H+///afFU6f+4TEikbFtUFqFP1QkuAAAACS4AAAAJeQQAAAnJAwAACgoKCgoBAAAAAYX7///D+///AAAAAAGE+///wvv//wAAAAAACX0EAAABzwMAACoAAAAUAAAACSkBAAADAAAACX8EAAAB1AMAAIADAAD/////BoAEAAAJU2FsZXNMaW5lBoEEAAALT3JkZXIgbGluZXMJLgAAAAkuAAAACS4AAAABffv//8r7//8AAAAACYQEAAAJhQQAAAF6+///x/v//5cbpsCybrlNu+fvQge8DLIJLgAAAAkuAAAACYgEAAAJ1wMAAAoKCgoKAQAAAAF2+///w/v//wAAAAABdfv//8L7//8AAAAAAAmMBAAAAd0DAAAqAAAADgAAAAkyAQAAAwAAAAmOBAAAAesDAAAqAAAAQQAAAAkQAQAAAwAAAAmQBAAAAfADAACAAwAA/////waRBAAACVNhbGVzTGluZQaSBAAAC09yZGVyIGxpbmVzCS4AAAAJLgAAAAkuAAAAAWz7///K+///AAAAAAmVBAAACZYEAAABafv//8f7//+AdH3slongSY16dGFeMH8qCS4AAAAJLgAAAAmZBAAACfMDAAAKCgoKCgEAAAABZfv//8P7//8AAAAAAWT7///C+///AAAAAAAJnQQAAAH5AwAAKgAAAAgAAAAJPAEAAAMAAAAJnwQAAAEHBAAAKgAAAEEAAAAJEAEAAAMAAAAJoQQAAAEVBAAAKgAAAEEAAAAJEAEAAAMAAAAJowQAAAEjBAAAKgAAAEEAAAAJEAEAAAMAAAAJpQQAAAExBAAAKgAAAEEAAAAJEAEAAAMAAAAJpwQAAAQ3B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moBAAABwAAAAmpBAAABDg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qAQAAAAAAAAEOw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gEAAAAAAAABD8E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asEAAAAAAAAB0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v//3v+//8GrQQAAAhIZWxwVGV4dAauBAAANlNwZWNpZnkgdGhlIG9yZGVyIG51bWJlciB0aGF0IHRoZSBsaW5lIGlzIGF0dGFjaGVkIHRvLgFR+///e/7//wawBAAABUxhYmVsCX8DAAABTvv//3v+//8GswQAAARUeXBlCX4DAAABRgQAADcEAAAIAAAACbUEAAARAAAACbYEAAAERw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gAAAAm3BAAABwAAAAm4BAAAAUoEAAA7BAAAAAAAAAm1BAAAAAAAAAFOBAAAPwQAAAAAAAAJugQAAAAAAAAHU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+///e/7//wa8BAAABUxhYmVsCY0DAAABQvv//3v+//8GvwQAAARUeXBlCYwDAAABVQQAADcEAAAJAAAACcEEAAARAAAACcIEAAAEVg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gAAAAkVAQAABwAAAAnEBAAAAVkEAAA7BAAAAAAAAAnBBAAAAAAAAAFdBAAAPwQAAAAAAAAJxgQAAAAAAAAHX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+///e/7//wm8BAAACZsDAAABNvv//3v+//8JvwQAAAmaAwAAAWQEAAA3BAAACwAAAAnNBAAAEQAAAAnOBAAABGU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YAAAAJFQEAAAcAAAAJ0AQAAAFoBAAAOwQAAAAAAAAJzQQAAAAAAAABbAQAAD8EAAAAAAAACdIEAAAAAAAAB24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v//3v+//8G1AQAAAVMYWJlbAmpAwAAASr7//97/v//BtcEAAAEVHlwZQmoAwAAB3A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v//3v+//8JrQQAAAbbBAAAGUl0ZW0gbnVtYmVyIGluIG9yZGVyIGxpbmUBJPv//3v+//8JsAQAAAm3AwAAASH7//97/v//CbMEAAAJtgMAAAF1BAAANwQAAAsAAAAJ4gQAABEAAAAJ4wQAAAR2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GAAAACeQEAAAHAAAACeUEAAABeQQAADsEAAAAAAAACeIEAAAAAAAAAX0EAAA/BAAAAAAAAAnnBAAAAAAAAAd/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j7//97/v//BukEAAAFTGFiZWwJxQMAAAEV+///e/7//wbsBAAABFR5cGUJxAMAAAGEBAAANwQAAAwAAAAJ7gQAABEAAAAJ7wQAAASF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GAAAACSkBAAAHAAAACfEEAAABiAQAADsEAAAAAAAACe4EAAAAAAAAAYwEAAA/BAAAAAAAAAnzBAAAAAAAAAeO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7//97/v//BvUEAAAFTGFiZWwJ0wMAAAEJ+///e/7//wb4BAAABFR5cGUJ0gMAAAeQ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7//97/v//Ca0EAAAG/AQAACJRdWFudGl0eSBvcmRlcmVkIGluIHRoZSBzYWxlcyB1bml0AQP7//97/v//CbAEAAAJ4QMAAAEA+///e/7//wmzBAAACeADAAABlQQAADcEAAANAAAACQMFAAARAAAACQQFAAAElg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gAAAAkyAQAABwAAAAkGBQAAAZkEAAA7BAAAAAAAAAkDBQAAAAAAAAGdBAAAPwQAAAAAAAAJCAUAAAAAAAAHn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+v//e/7//wYKBQAABUxhYmVsCe8DAAAB9Pr//3v+//8GDQUAAARUeXBlCe4DAAAHo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+v//e/7//wmtBAAABhEFAAAiU2FsZXMgcHJpY2Ugb2YgbGluZSBwZXIgcHJpY2UgdW5pdAHu+v//e/7//wmwBAAACf0DAAAB6/r//3v+//8JswQAAAn8AwAAB6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Pr//3v+//8JrQQAAAYaBQAAKlNhbGVzIGFtb3VudCBvZiB0aGUgbGluZSAoaW5jbC4gZGlzY291bnQpLgHl+v//e/7//wmwBAAACQsEAAAB4vr//3v+//8JswQAAAkKBAAAB6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r//3v+//8JrQQAAAYjBQAAIEN1cnJlbmN5IHRoZSBsaW5lIGlzIGludm9pY2VkIGluAdz6//97/v//CbAEAAAJGQQAAAHZ+v//e/7//wmzBAAACRgEAAAHp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+v//e/7//wmtBAAABiwFAAAxTGluZSBzdGF0dXMgd2l0aCByZWdhcmQgdG8gZGVsaXZlcnkgYW5kIGludm9pY2luZwHT+v//e/7//wmwBAAACScEAAAB0Pr//3v+//8JswQAAAkmBAAAAagEAAAMAAAAB6kE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M36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jQFAAAXVGFibGUuU2FsZXNMaW5lLlNhbGVzSWQJbwEAAAHK+v//zfr//wY3BQAAFlRhYmxlLlNhbGVzTGluZS5JdGVtSWQJDAIAAAHH+v//zfr//wY6BQAAGFRhYmxlLlNhbGVzTGluZS5TYWxlc1F0eQmEAgAAAcT6///N+v//Bj0FAAAaVGFibGUuU2FsZXNMaW5lLlNhbGVzUHJpY2UJ0QIAAAHB+v//zfr//wZABQAAGlRhYmxlLlNhbGVzTGluZS5MaW5lQW1vdW50CfkCAAABvvr//836//8GQwUAABxUYWJsZS5TYWxlc0xpbmUuQ3VycmVuY3lDb2RlCSEDAAABu/r//836//8GRgUAABtUYWJsZS5TYWxlc0xpbmUuU2FsZXNTdGF0dXMJSQMAAASrB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tQQAAAwAAAAHtgQ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Pr//836//8GSQUAABdUYWJsZS5TYWxlc0xpbmUuU2FsZXNJZAlvAQAAAbX6///N+v//BkwFAAAWVGFibGUuU2FsZXNMaW5lLkl0ZW1JZAkMAgAAAbL6///N+v//Bk8FAAAYVGFibGUuU2FsZXNMaW5lLlNhbGVzUXR5CYQCAAABr/r//836//8GUgUAABpUYWJsZS5TYWxlc0xpbmUuU2FsZXNQcmljZQnRAgAAAaz6///N+v//BlUFAAAaVGFibGUuU2FsZXNMaW5lLkxpbmVBbW91bnQJ+QIAAAGp+v//zfr//wZYBQAAHFRhYmxlLlNhbGVzTGluZS5DdXJyZW5jeUNvZGUJIQMAAAGm+v//zfr//wZbBQAAG1RhYmxlLlNhbGVzTGluZS5TYWxlc1N0YXR1cwlJAwAAAaP6///N+v//Bl4FAAAZVGFibGUuU2FsZXNMaW5lLkN1c3RHcm91cAmaAQAAAbcEAAAMAAAAB7gEAAAAAQAAAAY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Sg+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mEFAAAWVGFibGUuU2FsZXNMaW5lLkl0ZW1JZAliBQAAAZ36//+g+v//BmQFAAAfVGFibGUuU2FsZXNMaW5lLkNyZWF0ZWREYXRlVGltZQllBQAAAZr6//+g+v//BmcFAAAZVGFibGUuU2FsZXNMaW5lLkN1c3RHcm91cAloBQAAAZf6//+g+v//BmoFAAAcVGFibGUuU2FsZXNMaW5lLkRpbWVuc2lvbls4XQlrBQAAAZT6//+g+v//Bm0FAAAcVGFibGUuU2FsZXNMaW5lLkRpbWVuc2lvbls3XQluBQAAAZH6//+g+v//BnAFAAAbVGFibGUuU2FsZXNMaW5lLlNhbGVzU3RhdHVzCXEFAAABugQAAKsEAAABwQQAAAwAAAAHwgQ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jvr//836//8GcwUAABdUYWJsZS5TYWxlc0xpbmUuU2FsZXNJZAlvAQAAAYv6///N+v//BnYFAAAZVGFibGUuU2FsZXNMaW5lLkN1c3RHcm91cAmaAQAAAYj6///N+v//BnkFAAAWVGFibGUuU2FsZXNMaW5lLkl0ZW1JZAkMAgAAAYX6///N+v//BnwFAAAYVGFibGUuU2FsZXNMaW5lLlNhbGVzUXR5CYQCAAABgvr//836//8GfwUAABpUYWJsZS5TYWxlc0xpbmUuU2FsZXNQcmljZQnRAgAAAX/6///N+v//BoIFAAAaVGFibGUuU2FsZXNMaW5lLkxpbmVBbW91bnQJ+QIAAAF8+v//zfr//waFBQAAHFRhYmxlLlNhbGVzTGluZS5DdXJyZW5jeUNvZGUJIQMAAAF5+v//zfr//waIBQAAG1RhYmxlLlNhbGVzTGluZS5TYWxlc1N0YXR1cwlJAwAAAXb6///N+v//BosFAAAbVGFibGUuU2FsZXNMaW5lLkN1c3RBY2NvdW50Cb8BAAAHxAQ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XP6//+g+v//Bo4FAAAWVGFibGUuU2FsZXNMaW5lLkl0ZW1JZAliBQAAAXD6//+g+v//BpEFAAAfVGFibGUuU2FsZXNMaW5lLkNyZWF0ZWREYXRlVGltZQllBQAAAW36//+g+v//BpQFAAAZVGFibGUuU2FsZXNMaW5lLkN1c3RHcm91cAloBQAAAWr6//+g+v//BpcFAAAcVGFibGUuU2FsZXNMaW5lLkRpbWVuc2lvbls4XQlrBQAAAWf6//+g+v//BpoFAAAcVGFibGUuU2FsZXNMaW5lLkRpbWVuc2lvbls3XQluBQAAAWT6//+g+v//Bp0FAAAbVGFibGUuU2FsZXNMaW5lLlNhbGVzU3RhdHVzCXEFAAABxgQAAKsEAAABzQQAAAwAAAAHzgQ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Yfr//836//8GoAUAABdUYWJsZS5TYWxlc0xpbmUuU2FsZXNJZAlvAQAAAV76///N+v//BqMFAAAZVGFibGUuU2FsZXNMaW5lLkN1c3RHcm91cAmaAQAAAVv6///N+v//BqYFAAAbVGFibGUuU2FsZXNMaW5lLkN1c3RBY2NvdW50Cb8BAAABWPr//836//8GqQUAABZUYWJsZS5TYWxlc0xpbmUuSXRlbUlkCQwCAAABVfr//836//8GrAUAABhUYWJsZS5TYWxlc0xpbmUuU2FsZXNRdHkJhAIAAAFS+v//zfr//wavBQAAGlRhYmxlLlNhbGVzTGluZS5TYWxlc1ByaWNlCdECAAABT/r//836//8GsgUAABpUYWJsZS5TYWxlc0xpbmUuTGluZUFtb3VudAn5AgAAAUz6///N+v//BrUFAAAcVGFibGUuU2FsZXNMaW5lLkN1cnJlbmN5Q29kZQkhAwAAAUn6///N+v//BrgFAAAbVGFibGUuU2FsZXNMaW5lLlNhbGVzU3RhdHVzCUkDAAABRvr//836//8GuwUAACdUYWJsZS5TYWxlc0xpbmUuRGVsaXZlcnlDb3VudHJ5UmVnaW9uSWQJ5AEAAAFD+v//zfr//wa+BQAAJ1RhYmxlLlNhbGVzTGluZS5PcmlnQ291bnRyeVJlZ2lvbklkX3NzdAm/BQAAB9AEAAAAAQAAAAY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A+v//oPr//wbBBQAAFlRhYmxlLlNhbGVzTGluZS5JdGVtSWQJYgUAAAE9+v//oPr//wbEBQAAH1RhYmxlLlNhbGVzTGluZS5DcmVhdGVkRGF0ZVRpbWUJZQUAAAE6+v//oPr//wbHBQAAGVRhYmxlLlNhbGVzTGluZS5DdXN0R3JvdXAJaAUAAAE3+v//oPr//wbKBQAAHFRhYmxlLlNhbGVzTGluZS5EaW1lbnNpb25bOF0JawUAAAE0+v//oPr//wbNBQAAHFRhYmxlLlNhbGVzTGluZS5EaW1lbnNpb25bN10JbgUAAAEx+v//oPr//wbQBQAAG1RhYmxlLlNhbGVzTGluZS5TYWxlc1N0YXR1cwlxBQAAAdIEAACrBAAAAeIEAAAMAAAAB+MEAAAAAQAAAAs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76///N+v//BtMFAAAXVGFibGUuU2FsZXNMaW5lLlNhbGVzSWQJbwEAAAEr+v//zfr//wbWBQAAGVRhYmxlLlNhbGVzTGluZS5DdXN0R3JvdXAJmgEAAAEo+v//zfr//wbZBQAAG1RhYmxlLlNhbGVzTGluZS5DdXN0QWNjb3VudAm/AQAAASX6///N+v//BtwFAAAnVGFibGUuU2FsZXNMaW5lLkRlbGl2ZXJ5Q291bnRyeVJlZ2lvbklkCeQBAAABIvr//836//8G3wUAABZUYWJsZS5TYWxlc0xpbmUuSXRlbUlkCQwCAAABH/r//836//8G4gUAABhUYWJsZS5TYWxlc0xpbmUuU2FsZXNRdHkJhAIAAAEc+v//zfr//wblBQAAGlRhYmxlLlNhbGVzTGluZS5TYWxlc1ByaWNlCdECAAABGfr//836//8G6AUAABpUYWJsZS5TYWxlc0xpbmUuTGluZUFtb3VudAn5AgAAARb6///N+v//BusFAAAcVGFibGUuU2FsZXNMaW5lLkN1cnJlbmN5Q29kZQkhAwAAARP6///N+v//Bu4FAAAbVGFibGUuU2FsZXNMaW5lLlNhbGVzU3RhdHVzCUkDAAABEPr//836//8G8QUAAB9UYWJsZS5TYWxlc0xpbmUuQ3JlYXRlZERhdGVUaW1lCTQCAAAB5AQAAAwAAAAH5QQ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Q36//+g+v//BvQFAAAWVGFibGUuU2FsZXNMaW5lLkl0ZW1JZAliBQAAAQr6//+g+v//BvcFAAAfVGFibGUuU2FsZXNMaW5lLkNyZWF0ZWREYXRlVGltZQllBQAAAQf6//+g+v//BvoFAAAZVGFibGUuU2FsZXNMaW5lLkN1c3RHcm91cAloBQAAAQT6//+g+v//Bv0FAAAcVGFibGUuU2FsZXNMaW5lLkRpbWVuc2lvbls4XQlrBQAAAQH6//+g+v//BgAGAAAcVGFibGUuU2FsZXNMaW5lLkRpbWVuc2lvbls3XQluBQAAAf75//+g+v//BgMGAAAbVGFibGUuU2FsZXNMaW5lLlNhbGVzU3RhdHVzCXEFAAAB5wQAAKsEAAAB7gQAAAwAAAAH7wQAAAABAAAAD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+/n//836//8GBgYAABdUYWJsZS5TYWxlc0xpbmUuU2FsZXNJZAlvAQAAAfj5///N+v//BgkGAAAZVGFibGUuU2FsZXNMaW5lLkN1c3RHcm91cAmaAQAAAfX5///N+v//BgwGAAAbVGFibGUuU2FsZXNMaW5lLkN1c3RBY2NvdW50Cb8BAAAB8vn//836//8GDwYAACdUYWJsZS5TYWxlc0xpbmUuRGVsaXZlcnlDb3VudHJ5UmVnaW9uSWQJ5AEAAAHv+f//zfr//wYSBgAAFlRhYmxlLlNhbGVzTGluZS5JdGVtSWQJDAIAAAHs+f//zfr//wYVBgAAH1RhYmxlLlNhbGVzTGluZS5DcmVhdGVkRGF0ZVRpbWUJNAIAAAHp+f//zfr//wYYBgAAGFRhYmxlLlNhbGVzTGluZS5TYWxlc1F0eQmEAgAAAeb5///N+v//BhsGAAAaVGFibGUuU2FsZXNMaW5lLlNhbGVzUHJpY2UJ0QIAAAHj+f//zfr//wYeBgAAGlRhYmxlLlNhbGVzTGluZS5MaW5lQW1vdW50CfkCAAAB4Pn//836//8GIQYAABxUYWJsZS5TYWxlc0xpbmUuQ3VycmVuY3lDb2RlCSEDAAAB3fn//836//8GJAYAABtUYWJsZS5TYWxlc0xpbmUuU2FsZXNTdGF0dXMJSQMAAAHa+f//zfr//wYnBgAAHVRhYmxlLlNhbGVzTGluZS5JbnZlbnRUcmFuc0lkCV8CAAAH8QQ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df5//+g+v//BioGAAAWVGFibGUuU2FsZXNMaW5lLkl0ZW1JZAliBQAAAdT5//+g+v//Bi0GAAAfVGFibGUuU2FsZXNMaW5lLkNyZWF0ZWREYXRlVGltZQllBQAAAdH5//+g+v//BjAGAAAZVGFibGUuU2FsZXNMaW5lLkN1c3RHcm91cAloBQAAAc75//+g+v//BjMGAAAcVGFibGUuU2FsZXNMaW5lLkRpbWVuc2lvbls4XQlrBQAAAcv5//+g+v//BjYGAAAcVGFibGUuU2FsZXNMaW5lLkRpbWVuc2lvbls3XQluBQAAAcj5//+g+v//BjkGAAAbVGFibGUuU2FsZXNMaW5lLlNhbGVzU3RhdHVzCXEFAAAB8wQAAKsEAAABAwUAAAwAAAAHBAUAAAABAAAAD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xfn//836//8GPAYAABdUYWJsZS5TYWxlc0xpbmUuU2FsZXNJZAlvAQAAAcL5///N+v//Bj8GAAAZVGFibGUuU2FsZXNMaW5lLkN1c3RHcm91cAmaAQAAAb/5///N+v//BkIGAAAbVGFibGUuU2FsZXNMaW5lLkN1c3RBY2NvdW50Cb8BAAABvPn//836//8GRQYAACdUYWJsZS5TYWxlc0xpbmUuRGVsaXZlcnlDb3VudHJ5UmVnaW9uSWQJ5AEAAAG5+f//zfr//wZIBgAAFlRhYmxlLlNhbGVzTGluZS5JdGVtSWQJDAIAAAG2+f//zfr//wZLBgAAH1RhYmxlLlNhbGVzTGluZS5DcmVhdGVkRGF0ZVRpbWUJNAIAAAGz+f//zfr//wZOBgAAHVRhYmxlLlNhbGVzTGluZS5JbnZlbnRUcmFuc0lkCV8CAAABsPn//836//8GUQYAABhUYWJsZS5TYWxlc0xpbmUuU2FsZXNRdHkJhAIAAAGt+f//zfr//wZUBgAAGlRhYmxlLlNhbGVzTGluZS5TYWxlc1ByaWNlCdECAAABqvn//836//8GVwYAABpUYWJsZS5TYWxlc0xpbmUuTGluZUFtb3VudAn5AgAAAaf5///N+v//BloGAAAcVGFibGUuU2FsZXNMaW5lLkN1cnJlbmN5Q29kZQkhAwAAAaT5///N+v//Bl0GAAAbVGFibGUuU2FsZXNMaW5lLlNhbGVzU3RhdHVzCUkDAAABofn//836//8GYAYAABlUYWJsZS5TYWxlc0xpbmUuU2FsZXNVbml0CawCAAAHBgU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Z75//+g+v//BmMGAAAWVGFibGUuU2FsZXNMaW5lLkl0ZW1JZAliBQAAAZv5//+g+v//BmYGAAAfVGFibGUuU2FsZXNMaW5lLkNyZWF0ZWREYXRlVGltZQllBQAAAZj5//+g+v//BmkGAAAZVGFibGUuU2FsZXNMaW5lLkN1c3RHcm91cAloBQAAAZX5//+g+v//BmwGAAAcVGFibGUuU2FsZXNMaW5lLkRpbWVuc2lvbls4XQlrBQAAAZL5//+g+v//Bm8GAAAcVGFibGUuU2FsZXNMaW5lLkRpbWVuc2lvbls3XQluBQAAAY/5//+g+v//BnIGAAAbVGFibGUuU2FsZXNMaW5lLlNhbGVzU3RhdHVzCXEFAAABCAUAAKsEAAAFYgU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BnQGAAAPVGFibGUuU2FsZXNMaW5lCV4BAAAJLgAAAAlfAQAA/////wl0BgAACgleAQAACgoKCS4AAAAJewYAAAkuAAAAAWUFAABiBQAACXQGAAAJYQEAAAkuAAAACWIBAAD/////CXQGAAAKCWEBAAAKCgoJLgAAAAmEBgAACS4AAAABaAUAAGIFAAAJdAYAAAlkAQAACS4AAAAJZQEAAP////8JdAYAAAoJZAEAAAoKCgkuAAAACY0GAAAJLgAAAAFrBQAAYgUAAAl0BgAACWcBAAAJLgAAAAloAQAA/////wl0BgAACglnAQAACgoKCS4AAAAJlgYAAAkuAAAAAW4FAABiBQAACXQGAAAJagEAAAkuAAAACWsBAAD/////CXQGAAAKCWoBAAAKCgoJLgAAAAmfBgAACS4AAAABcQUAAGIFAAAJdAYAAAltAQAACS4AAAAJbgEAAP////8JdAYAAAamBgAACVNhbGVzTGluZQltAQAACgoKCS4AAAAJqQYAAAkuAAAAAb8FAABvAQAAAVX5///Q/////////wAGrAYAAAZTdHJpbmcGrQYAAA5Db3VudHJ5L3JlZ2lvbgmqAwAAAVH5///O////AgAAAAFQ+f//fvz//wEAAAAAAAmtAwAABrIGAAAXT3JpZ0NvdW50cnlSZWdpb25JZF9zc3QJLgAAAAr/////Ca0DAAAKCbIGAAAKCgoJLgAAAAm3BgAACS4AAAABewYAACoAAAA+AAAACbcEAAADAAAACboGAAABhAYAACoAAAA+AAAACbcEAAADAAAACbwGAAABjQYAACoAAAA+AAAACbcEAAADAAAACb4GAAABlgYAACoAAAA+AAAACbcEAAADAAAACcAGAAABnwYAACoAAAA+AAAACbcEAAADAAAACcIGAAABqQYAACoAAAA0AAAACbcEAAADAAAACcQGAAABtwYAACoAAAAGAAAACR8BAAADAAAACcYGAAAHu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+f//e/7//wbIBgAABFR5cGUJtgMAAAE2+f//e/7//wbLBgAABUxhYmVsCbcDAAABM/n//3v+//8GzgYAAAhSZWZlcnNUbwbPBgAACz1JdGVtTnVtYmVyB7w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Pn//3v+//8JyAYAAAnEAwAAAS35//97/v//CcsGAAAJxQMAAAEq+f//e/7//wnOBgAABtgGAAALPURhdGVQZXJpb2QHv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+f//e/7//wnIBgAACYwDAAABJPn//3v+//8JywYAAAmNAwAAASH5//97/v//Cc4GAAAG4QYAAAo9Q3VzdEdyb3VwB8A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n//3v+//8JyAYAAAbkBgAABlN0cmluZwEb+f//e/7//wnLBgAABucGAAAWRGV0YWlsIE1hcmtldGluZyBHcm91cAEY+f//e/7//wnOBgAABuoGAAAEPURNRwfC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5//97/v//CcgGAAAJ5AYAAAES+f//e/7//wnLBgAABvAGAAAVTWFqb3IgTWFya2V0aW5nIEdyb3VwAQ/5//97/v//Cc4GAAAG8wYAAAQ9TU1HB8Q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Pn//3v+//8JyAYAAAkmBAAAAQn5//97/v//CcsGAAAJJwQAAAfG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5//97/v//CdQEAAAJrQYAAAED+f//e/7//wnXBAAACawGAAAL</Report>
</Atlas>
</file>

<file path=customXml/item7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80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GAAAABg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Bkl0ZW1JZAYiAAAAC0l0ZW0gbnVtYmVyBiMAAAAGU3RyaW5nBiQAAAAABiUAAAAkNTNmYjlkY2EtMDM5Ni00ZGU2LTkzN2QtNDk5M2RkODljY2U1Bdr///8tR2xvYmVTb2Z0d2FyZS5BdGxhczQwLkF0bGFzQ29tbW9uLkFnZ3JlZ2F0aW9uAQAAAAd2YWx1ZV9fAAgOAAAA/////wAAAAAF2f///yxHbG9iZVNvZnR3YXJlLkF0bGFzNDAuQXRsYXNDb21tb24uQ29sdW1uVHlwZQEAAAAHdmFsdWVfXwAIDgAAAAAAAAAF2P///ytHbG9iZVNvZnR3YXJlLkF0bGFzNDAuQXRsYXNDb21tb24uU29ydE9yZGVyAQAAAAd2YWx1ZV9fAAgOAAAAAgAAAAAAAAAABdf///9AR2xvYmVTb2Z0d2FyZS5BdGxhczQwLkF0bGFzQ29tbW9uLlR5cGUuQ29sdW1uK0Nyb3NzVGFiQ29sdW1uVHlwZQEAAAAHdmFsdWVfXwAIDgAAAAAAAAAKAQAAAAAAAAAAAAAAAAAGKgAAACQxYmIwMDU3YS1lOThmLTRlZDAtODE5Mi0zNTQwYzliMzQ5YzgGKwAAABhUYWJsZS5JbnZlbnRUcmFucy5JdGVtSWQKCgoKARUAAAAUAAAACSwAAAAJLQAAAAkuAAAABi8AAAANSW52ZW50VHJhbnNJZAYwAAAABkxvdCBJRAYxAAAABlN0cmluZwkkAAAABjMAAAAkMmU5YTY5MjItYTJiMi00MGIzLTkxMDktZTQ0YmZmMTFhOWM3Acz////a/////////wEAAAABy////9n///8AAAAAAcr////Y////AgAAAAAAAAAAAcn////X////AAAAAAoBAAAAAAAAAAABAAAAAAY4AAAAJGQ5MmIwNzJkLTM3MTQtNDczMi1iY2MwLWY4YzllNDI2NDRjYwY5AAAAH1RhYmxlLkludmVudFRyYW5zLkludmVudFRyYW5zSWQKCgoKARYAAAAUAAAACToAAAAJOwAAAAk8AAAABj0AAAAMRGF0ZVBoeXNpY2FsBj4AAAANUGh5c2ljYWwgZGF0ZQY/AAAABERhdGUJJAAAAAZBAAAAJGI5OTc2NzdiLTZlNjYtNDY0NC1iNDQwLTIwMjBhNjEzOGY3YQG+////2v////////8CAAAAAb3////Z////AAAAAAG8////2P///wIAAAAAAAAAAAG7////1////wAAAAAKAQAAAAAAAAAAAgAAAAAGRgAAACRmOWQxNjQyNC03ZGM5LTRkNDktYWU4OC0zN2Y4NTRmYWM2YjQGRwAAAB5UYWJsZS5JbnZlbnRUcmFucy5EYXRlUGh5c2ljYWwKCgoKARcAAAAUAAAACUgAAAAJSQAAAAlKAAAABksAAAAJVHJhbnNUeXBlBkwAAAAJUmVmZXJlbmNlBk0AAAAERW51bQkkAAAABk8AAAAkMTcwZmE5ZjgtYTM4Ni00N2ZjLWJkNWItNGQ5NjQwNzRmOTJmAbD////a/////////wMAAAABr////9n///8AAAAAAa7////Y////AgAAAAAAAAAAAa3////X////AAAAAAoBAAAAAAAAAAADAAAAAAZUAAAAJDJmYzc0MDAwLTc5NDQtNGQwMy1iNWZkLTQ1OWIzMTY5ZjgxNAZVAAAAG1RhYmxlLkludmVudFRyYW5zLlRyYW5zVHlwZQoKCgoBGAAAABQAAAAJVgAAAAlXAAAACVgAAAAGWQAAAApUcmFuc1JlZklkBloAAAAGTnVtYmVyBlsAAAAGU3RyaW5nCSQAAAAGXQAAACQyOGU2Njg2MS1hNjdhLTQ4YjUtOGU4NC1jNzUwMzU5YjlkYjcBov///9r/////////BAAAAAGh////2f///wAAAAABoP///9j///8CAAAAAAAAAAABn////9f///8AAAAACgEAAAAAAAAAAAQAAAAABmIAAAAkMDMzOTAzZTAtMmM4MS00MzBkLTlmYWMtMGY3YjhhMTRjYzE5BmMAAAAcVGFibGUuSW52ZW50VHJhbnMuVHJhbnNSZWZJZAoKCgoBGQAAABQAAAAJZAAAAAllAAAACWYAAAAGZwAAAANRdHkGaAAAAAhRdWFudGl0eQZpAAAABFJlYWwJJAAAAAZrAAAAJDAyZGY0ODU3LTJiZTQtNGJkMC1hNjNjLTgwOTZhNzhkNTVmNgGU////2v///wEAAAAFAAAAAZP////Z////AAAAAAGS////2P///wIAAAAAAAAAAAGR////1////wAAAAAKAQAAAAAAAAAABQAAAAAGcAAAACQxOWFjYTgzMi1kMTJjLTQ5MDYtODQ4YS1lMDI4YjE0NzYxOGMGcQAAABVUYWJsZS5JbnZlbnRUcmFucy5RdHkKCgoKBRwAAAA4R2xvYmVTb2Z0d2FyZS5BdGxhczQwLkF0bGFzQ29tbW9uQ2xpZW50LlJlcG9ydC5SZWZlcmVuY2UBAAAACl9yZWZlcmVuY2UHCBoAAAAJcgAAAAcdAAAAAAEAAAAIAAAABDxHbG9iZVNvZnR3YXJlLkF0bGFzNDAuQXRsYXNDb21tb25DbGllbnQuRGF0YVNvdXJjZUZpZWxkVmFsdWUaAAAACXMAAAAJdAAAAAl1AAAACXYAAAAJdwAAAAl4AAAADQIEH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eQAAAAEAAAABAAAABB8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aAAAAAl6AAAAEQAAAAl7AAAABC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l8AAAABwAAAAl9AAAAASwAAAAeAAAACX4AAAABAAAAAQAAAAEtAAAAHwAAAGYAAAAJegAAAAcAAAAJgAAAAAEuAAAAIAAAAGIAAAAJfAAAAAcAAAAJggAAAAE6AAAAHgAAAAmDAAAAAQAAAAEAAAABOwAAAB8AAABXAAAACYQAAAAHAAAACYUAAAABPAAAACAAAABUAAAACYYAAAAHAAAACYcAAAABSAAAAB4AAAAJiAAAAAEAAAABAAAAAUkAAAAfAAAAZgAAAAl6AAAABwAAAAmKAAAAAUoAAAAgAAAAYgAAAAl8AAAABwAAAAmMAAAAAVYAAAAeAAAACY0AAAABAAAAAQAAAAFXAAAAHwAAAGYAAAAJegAAAAcAAAAJjwAAAAFYAAAAIAAAAGIAAAAJfAAAAAcAAAAJkQAAAAFkAAAAHgAAAAmSAAAAAQAAAAEAAAABZQAAAB8AAABqAAAACXoAAAARAAAACZQAAAABZgAAACAAAABiAAAACXwAAAAHAAAACZYAAAAPcgAAAAEAAAAIAQAAAAVzAAAAPEdsb2JlU29mdHdhcmUuQXRsYXM0MC5BdGxhc0NvbW1vbkNsaWVudC5EYXRhU291cmNlRmllbGRWYWx1ZQQAAAASX2lzRHJpbGxEb3duRmlsdGVyBl9kc0tleQpfZmllbGRuYW1lC19maWVsZFZhbHVlAAEBAQEaAAAAAAaXAAAAEVRhYmxlLkludmVudFRyYW5zBpgAAAAKRGF0YUFyZWFJZAkGAAAAAXQAAABzAAAAAAmXAAAABpsAAAAGSXRlbUlkBpwAAAABKgF1AAAAcwAAAAAJlwAAAAaeAAAACVRyYW5zVHlwZQafAAAABVNhbGVzAXYAAABzAAAAAAagAAAAKlRhYmxlLkludmVudFRyYW5zLkl0ZW1JZH5UYWJsZS5JbnZlbnRUYWJsZQahAAAADERpbWVuc2lvbls4XQaiAAAAASoBdwAAAHMAAAAACaAAAAAGpAAAAAxEaW1lbnNpb25bN10GpQAAAAdBU1BIQUxUAXgAAABzAAAAAAamAAAALVRhYmxlLkludmVudFRyYW5zLlRyYW5zUmVmSWR+VGFibGUuU2FsZXNUYWJsZQanAAAACUN1c3RHcm91cAaoAAAAASoHeQAAAAABAAAABAAAAAQ3R2xvYmVTb2Z0d2FyZS5BdGxhczQwLkF0bGFzQ29tbW9uLlR5cGUuRmllbGRPdXRwdXRGaWVsZA4AAAAJqQAAAA0DBHo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3sAAAAAAQAAAAg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W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VX///8yR2xvYmVTb2Z0d2FyZS5BdGxhczQwLkF0bGFzQ29tbW9uLkNvbHVtbkF0dHJpYnV0ZXMBAAAAB3ZhbHVlX18ACA4AAAAGAAAABqwAAAAFVG90YWwBU////1b///8BUv///1X///8QAAAABq8AAAAETm9uZQFQ////Vv///wFP////Vf///wkAAAAJJAAAAAFN////Vv///wFM////Vf///wsAAAAGtQAAAAEwAUr///9W////AUn///9V////BAAAAAa4AAAAB0dlbmVyYWwBR////1b///8BRv///1X///8CAAAABrsAAAABMQFE////Vv///wFD////Vf///wAAAAAGvgAAAAUxMS41NwFB////Vv///wFA////Vf///yQAAAAJIgAAAAF8AAAADAAAAAd9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D7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wAAAAhGb250Qm9sZAbEAAAABUZhbHNlATv///8+////BsYAAAAKRm9udEl0YWxpYwnEAAAAATj///8+////BskAAAANRm9udFVuZGVybGluZQbKAAAABS00MTQyATX///8+////BswAAAAIRm9udE5hbWUGzQAAAAdDYWxpYnJpATL///8+////Bs8AAAAJRm9udENvbG9yBtAAAAABMAEv////Pv///wbSAAAACEZvbnRTaXplBtMAAAACMTEBLP///z7///8G1QAAAAlGb250U3R5bGUG1gAAAAdSZWd1bGFyB34AAAAAAQAAAAQAAAAEN0dsb2JlU29mdHdhcmUuQXRsYXM0MC5BdGxhc0NvbW1vbi5UeXBlLkZpZWxkT3V0cHV0RmllbGQOAAAACdcAAAANAwe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P///1b///8BJ////1X///8QAAAACa8AAAABJf///1b///8BJP///1X///8JAAAACSQAAAABIv///1b///8BIf///1X///8LAAAABuAAAAABMQEf////Vv///wEe////Vf///wQAAAAG4wAAAAdHZW5lcmFsARz///9W////ARv///9V////AgAAAAbmAAAAATEBGf///1b///8BGP///1X///8AAAAABukAAAAFMTAuODYHg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///Pv///wnDAAAACcQAAAABE////z7///8JxgAAAAnEAAAAARD///8+////CckAAAAG8gAAAAUtNDE0MgEN////Pv///wnMAAAABvUAAAAHQ2FsaWJyaQEK////Pv///wnPAAAABvgAAAABMAEH////Pv///wnSAAAABvsAAAACMTEBBP///z7///8J1QAAAAb+AAAAB1JlZ3VsYXIHgwAAAAABAAAABAAAAAQ3R2xvYmVTb2Z0d2FyZS5BdGxhczQwLkF0bGFzQ29tbW9uLlR5cGUuRmllbGRPdXRwdXRGaWVsZA4AAAAJ/wAAAA0DAYQAAAB6AAAAB4U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A////Vv///wH//v//Vf///wkAAAAJJAAAAAH9/v//Vv///wH8/v//Vf///wsAAAAGBQEAAAEyAfr+//9W////Afn+//9V////BAAAAAYIAQAACG0vZC95eXl5Aff+//9W////Afb+//9V////AgAAAAYLAQAAATEB9P7//1b///8B8/7//1X///8AAAAABg4BAAAFMTguMjkBhgAAAAwAAAAHh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Pv///wYQAQAACEZvbnRCb2xkCcQAAAAB7v7//z7///8GEwEAAApGb250SXRhbGljCcQAAAAB6/7//z7///8GFgEAAA1Gb250VW5kZXJsaW5lBhcBAAAFLTQxNDIB6P7//z7///8GGQEAAAhGb250TmFtZQYaAQAAB0NhbGlicmkB5f7//z7///8GHAEAAAlGb250Q29sb3IGHQEAAAEwAeL+//8+////Bh8BAAAIRm9udFNpemUGIAEAAAIxMQHf/v//Pv///wYiAQAACUZvbnRTdHlsZQYjAQAAB1JlZ3VsYXIHiAAAAAABAAAABAAAAAQ3R2xvYmVTb2Z0d2FyZS5BdGxhczQwLkF0bGFzQ29tbW9uLlR5cGUuRmllbGRPdXRwdXRGaWVsZA4AAAAJJAEAAA0DB4o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wAAAAHY/v//Vv///wHX/v//Vf///wkAAAAJJAAAAAHV/v//Vv///wHU/v//Vf///wsAAAAGLQEAAAEzAdL+//9W////AdH+//9V////BAAAAAYwAQAAB0dlbmVyYWwBz/7//1b///8Bzv7//1X///8CAAAABjMBAAABMQHM/v//Vv///wHL/v//Vf///wAAAAAGNgEAAAUxMy4yOQe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8+////CcMAAAAJxAAAAAHG/v//Pv///wnGAAAACcQAAAABw/7//z7///8JyQAAAAY/AQAABS00MTQyAcD+//8+////CcwAAAAGQgEAAAdDYWxpYnJpAb3+//8+////Cc8AAAAGRQEAAAEwAbr+//8+////CdIAAAAGSAEAAAIxMQG3/v//Pv///wnVAAAABksBAAAHUmVndWxhcgeNAAAAAAEAAAAEAAAABDdHbG9iZVNvZnR3YXJlLkF0bGFzNDAuQXRsYXNDb21tb24uVHlwZS5GaWVsZE91dHB1dEZpZWxkDgAAAAlMAQAADQMHj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EAAAAAmvAAAAAbD+//9W////Aa/+//9V////CQAAAAkkAAAAAa3+//9W////Aaz+//9V////CwAAAAZVAQAAATQBqv7//1b///8Bqf7//1X///8EAAAABlgBAAAHR2VuZXJhbAGn/v//Vv///wGm/v//Vf///wIAAAAGWwEAAAExAaT+//9W////AaP+//9V////AAAAAAZeAQAABTE3LjcxB5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7//z7///8JwwAAAAnEAAAAAZ7+//8+////CcYAAAAJxAAAAAGb/v//Pv///wnJAAAABmcBAAAFLTQxNDIBmP7//z7///8JzAAAAAZqAQAAB0NhbGlicmkBlf7//z7///8JzwAAAAZtAQAAATABkv7//z7///8J0gAAAAZwAQAAAjExAY/+//8+////CdUAAAAGcwEAAAdSZWd1bGFyB5IAAAAAAQAAAAQAAAAEN0dsb2JlU29mdHdhcmUuQXRsYXM0MC5BdGxhc0NvbW1vbi5UeXBlLkZpZWxkT3V0cHV0RmllbGQOAAAACXQBAAANAweUAAAAAAEAAAAJ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7//1b///8Biv7//1X///8QAAAACa8AAAABiP7//1b///8Bh/7//1X///8JAAAACSQAAAABhf7//1b///8BhP7//1X///8LAAAABn0BAAABNQGC/v//Vv///wGB/v//Vf///yQAAAAJaAAAAAF//v//Vv///wF+/v//Vf///wwAAAAGgwEAAARUcnVlAXz+//9W////AXv+//9V////CgAAAAaGAQAABUZhbHNlAXn+//9W////AXj+//9V////BAAAAAaJAQAAB0dlbmVyYWwBdv7//1b///8Bdf7//1X///8CAAAABowBAAABMQFz/v//Vv///wFy/v//Vf///wAAAAAGjwEAAAIxMg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D+//8+////CcMAAAAJxAAAAAFt/v//Pv///wnGAAAACcQAAAABav7//z7///8JyQAAAAaYAQAABS00MTQyAWf+//8+////CcwAAAAGmwEAAAdDYWxpYnJpAWT+//8+////Cc8AAAAGngEAAAEwAWH+//8+////CdIAAAAGoQEAAAIxMQFe/v//Pv///wnVAAAABqQ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b/v//2v////////8ABqYBAAAGU3RyaW5nBqcBAAALSXRlbSBudW1iZXIJqAEAAAFX/v//2P///wIAAAAFVv7//zlHbG9iZVNvZnR3YXJlLkF0bGFzNDAuQXRsYXNDb21tb24uTnVtYmVyU2VxdWVuY2VDb25kaXRpb24BAAAAB3ZhbHVlX18ACA4AAAABAAAAAAAGqwEAABFUYWJsZS5JbnZlbnRUcmFucwkhAAAACSQAAAAK/////wmrAQAACgkhAAAACgoKCSQAAAAJsQEAAAkkAAAAAdcAAACpAAAAAU3+///a/////////wAGtAEAAAZTdHJpbmcGtQEAAAZMb3QgSUQJqAEAAAFJ/v//2P///wIAAAABSP7//1b+//8BAAAAAAAJqwEAAAkvAAAACSQAAAAK/////wmrAQAACgkvAAAACgoKCSQAAAAJvwEAAAkkAAAAAf8AAACpAAAAAT/+///a/////////wAGwgEAAAREYXRlBsMBAAANUGh5c2ljYWwgZGF0ZQnEAQAAATv+///Y////AgAAAAE6/v//Vv7//wEAAAAAAAbHAQAAEVRhYmxlLkludmVudFRyYW5zCT0AAAAJJAAAAAr/////CccBAAAKCT0AAAAKCgoJJAAAAAnNAQAACSQAAAABJAEAAKkAAAABMf7//9r/////////AAbQAQAABEVudW0G0QEAAAlSZWZlcmVuY2UJqAEAAAEt/v//2P///wIAAAABLP7//1b+//8BAAAAAAAJqwEAAAlLAAAACSQAAAAK/////wmrAQAACglLAAAACgoKCSQAAAAJ2wEAAAkkAAAAAUwBAACpAAAAASP+///a/////////wAG3gEAAAZTdHJpbmcG3wEAAAZOdW1iZXIJqAEAAAEf/v//2P///wIAAAABHv7//1b+//8BAAAAAAAJqwEAAAlZAAAACSQAAAAK/////wmrAQAACglZAAAACgoKCSQAAAAJ6QEAAAkkAAAAAXQBAACpAAAAARX+///a/////////wEG7AEAAARSZWFsBu0BAAAIUXVhbnRpdHkJqAEAAAER/v//2P///wIAAAABEP7//1b+//8BAAAAAAAJqwEAAAlnAAAACSQAAAAK/////wmrAQAACglnAAAACgoKCSQAAAAJ9wEAAAkkAAAABag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LEAAAAG+QEAAAtJbnZlbnRUcmFucwb6AQAAFkludmVudG9yeSB0cmFuc2FjdGlvbnMJJAAAAAkkAAAACSQAAAAFBP7//zBHbG9iZVNvZnR3YXJlLkF0bGFzNDAuQXRsYXNDb21tb24uRGF0YVNvdXJjZVR5cGUBAAAAB3ZhbHVlX18ACA4AAAAAAAAACf0BAAAJ/gEAAAQB/v//C1N5c3RlbS5HdWlkCwAAAAJfYQJfYgJfYwJfZAJfZQJfZgJfZwJfaAJfaQJfagJfawAAAAAAAAAAAAAACAcHAgICAgICAgJfRLSx37mWTL96wrLRU4lKCSQAAAAJJAAAAAkBAgAACasBAAAKCgoKCgEAAAAF/f3//zRHbG9iZVNvZnR3YXJlLkF0bGFzNDAuQXRsYXNDb21tb24uRGF0YVNvdXJjZUpvaW5Nb2RlAQAAAAd2YWx1ZV9fAAgOAAAAAAAAAAX8/f//NUdsb2JlU29mdHdhcmUuQXRsYXM0MC5BdGxhc0NvbW1vbi5EYXRhU291cmNlRmV0Y2hNb2RlAQAAAAd2YWx1ZV9fAAgOAAAAAAAAAAAJBQIAAAGxAQAAIAAAADEAAAAJfAAAAAMAAAAJBwIAAAG/AQAAIAAAADEAAAAJfAAAAAMAAAAJCQIAAAHEAQAAqAEAAP////8GCgIAAAtJbnZlbnRUcmFucwYLAgAAFkludmVudG9yeSB0cmFuc2FjdGlvbnMJJAAAAAkkAAAACSQAAAAB8/3//wT+//8AAAAACQ4CAAAJDwIAAAHw/f//Af7//1T1lNW9JUhMqErmVQM9GX0JJAAAAAkkAAAACRICAAAJxwEAAAoKCgoKAQAAAAHs/f///f3//wAAAAAB6/3///z9//8AAAAAAAkWAgAAAc0BAAAgAAAAIgAAAAmGAAAAAwAAAAkYAgAAAdsBAAAgAAAAMQAAAAl8AAAAAwAAAAkaAgAAAekBAAAgAAAAMQAAAAl8AAAAAwAAAAkcAgAAAfcBAAAgAAAAMQAAAAl8AAAAAwAAAAkeAgAABP0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PAAAACR8CAAARAAAACSACAAAE/g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CAAAAAl8AAAAEQAAAAkiAgAABAE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8CAAADAAAACSQCAAAEBQ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JQIAAAAAAAAHB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/f//Pv///wYnAgAACEhlbHBUZXh0BigCAAAOSWRlbnRpZnkgaXRlbS4B1/3//z7///8GKgIAAAVMYWJlbAmnAQAAAdT9//8+////Bi0CAAAEVHlwZQmmAQAABwk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f3//z7///8JJwIAAAYxAgAAUlN1bW1hcnkgbnVtYmVyL0xvdCBJRCBmb3IgdHJhbnNhY3Rpb25zIGF0dGFjaGVkIHRvIHRoZSBzYW1lIGludmVudG9yeSB0cmFuc2FjdGlvbi4Bzv3//z7///8JKgIAAAm1AQAAAcv9//8+////CS0CAAAJtAEAAAEOAgAA/QEAAAYAAAAJOAIAAAcAAAAJOQIAAAEPAgAA/gEAAAMAAAAJOgIAAAMAAAAJOwIAAAESAgAAAQIAAAEAAAAJOAIAAAMAAAAJPQIAAAEWAgAABQIAAAAAAAAJPgIAAAAAAAAHG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f//Pv///wZAAgAABUxhYmVsCcMBAAABvv3//z7///8GQwIAAARUeXBlCcIBAAAHG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7/f//Pv///wknAgAABkcCAAAyU3BlY2lmeSB0aGUgbW9kdWxlIHRoYXQgZ2VuZXJhdGVkIHRoZSB0cmFuc2FjdGlvbi4BuP3//z7///8JKgIAAAnRAQAAAbX9//8+////CS0CAAAJ0AEAAAcc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9//8+////CScCAAAGUAIAADVPcmRlciBudW1iZXIsIHByb2plY3QgbnVtYmVyLCBwcm9kdWN0aW9uIG51bWJlciwgZXRjLgGv/f//Pv///wkqAgAACd8BAAABrP3//z7///8JLQIAAAneAQAABx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3//z7///8JJwIAAAZZAgAAJFF1YW50aXR5IGF0dGFjaGVkIHRvIHRoZSB0cmFuc2FjdGlvbgGm/f//Pv///wkqAgAACe0BAAABo/3//z7///8JLQIAAAnsAQAAAR8CAAAMAAAAByAC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KD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mECAAAYVGFibGUuSW52ZW50VHJhbnMuSXRlbUlkCakAAAABnf3//6D9//8GZAIAAB9UYWJsZS5JbnZlbnRUcmFucy5JbnZlbnRUcmFuc0lkCdcAAAABmv3//6D9//8GZwIAABtUYWJsZS5JbnZlbnRUcmFucy5UcmFuc1R5cGUJJAEAAAGX/f//oP3//wZqAgAAHFRhYmxlLkludmVudFRyYW5zLlRyYW5zUmVmSWQJTAEAAAGU/f//oP3//wZtAgAAFVRhYmxlLkludmVudFRyYW5zLlF0eQl0AQAAByICAAAAAQAAAAg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SR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nACAAAfVGFibGUuSW52ZW50VHJhbnMuRGF0ZUZpbmFuY2lhbAlxAgAAAY79//+R/f//BnMCAAAdVGFibGUuSW52ZW50VHJhbnMuU3RhdHVzSXNzdWUJdAIAAAGL/f//kf3//wZ2AgAAGFRhYmxlLkludmVudFRyYW5zLkl0ZW1JZAl3AgAAAYj9//+R/f//BnkCAAAfVGFibGUuSW52ZW50VHJhbnMuSW52ZW50VHJhbnNJZAl6AgAAAYX9//+R/f//BnwCAAAcVGFibGUuSW52ZW50VHJhbnMuVHJhbnNSZWZJZAl9AgAAAYL9//+R/f//Bn8CAAAeVGFibGUuSW52ZW50VHJhbnMuRGF0ZVBoeXNpY2FsCYACAAABf/3//5H9//8GggIAAB9UYWJsZS5JbnZlbnRUcmFucy5TdGF0dXNSZWNlaXB0CYMCAAABfP3//5H9//8GhQIAABtUYWJsZS5JbnZlbnRUcmFucy5UcmFuc1R5cGUJhgIAAAck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R5/f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mgAAAACYkCAAAEJQ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TgCAAAMAAAABzkC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b9//+g/f//BosCAAAYVGFibGUuSW52ZW50VHJhbnMuSXRlbUlkCakAAAABc/3//6D9//8GjgIAAB9UYWJsZS5JbnZlbnRUcmFucy5JbnZlbnRUcmFuc0lkCdcAAAABcP3//6D9//8GkQIAABtUYWJsZS5JbnZlbnRUcmFucy5UcmFuc1R5cGUJJAEAAAFt/f//oP3//waUAgAAHFRhYmxlLkludmVudFRyYW5zLlRyYW5zUmVmSWQJTAEAAAFq/f//oP3//waXAgAAFVRhYmxlLkludmVudFRyYW5zLlF0eQl0AQAAAWf9//+g/f//BpoCAAAeVGFibGUuSW52ZW50VHJhbnMuRGF0ZVBoeXNpY2FsCf8AAAABOgIAAAwAAAAHOwI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T9//+R/f//Bp0CAAAYVGFibGUuSW52ZW50VHJhbnMuSXRlbUlkCXcCAAABYf3//5H9//8GoAIAAB5UYWJsZS5JbnZlbnRUcmFucy5EYXRlUGh5c2ljYWwJgAIAAAFe/f//kf3//wajAgAAG1RhYmxlLkludmVudFRyYW5zLlRyYW5zVHlwZQmGAgAABz0C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Vv9//95/f//CaAAAAAJiQIAAAE+AgAAJQIAAAVxA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qwEAAAapAgAADURhdGVGaW5hbmNpYWwJJAAAAAkkAAAA/////wmrAQAACgmpAgAACgoKCSQAAAAJrgIAAAkkAAAAAXQCAABxAgAACasBAAAGsQIAAAtTdGF0dXNJc3N1ZQkkAAAACSQAAAD/////CasBAAAKCbECAAAKCgoJJAAAAAm2AgAACSQAAAABdwIAAHECAAAJqwEAAAmbAAAACSQAAAAGuwIAAAEq/////wmrAQAACgmbAAAACgoKCSQAAAAJvwIAAAkkAAAAAXoCAABxAgAACasBAAAGwgIAAA1JbnZlbnRUcmFuc0lkCSQAAAAJJAAAAP////8JqwEAAAoJwgIAAAoKCgkkAAAACccCAAAJJAAAAAF9AgAAcQIAAAmrAQAABsoCAAAKVHJhbnNSZWZJZAkkAAAACSQAAAD/////CasBAAAKCcoCAAAKCgoJJAAAAAnPAgAACSQAAAABgAIAAHECAAAJqwEAAAbSAgAADERhdGVQaHlzaWNhbAkkAAAABtQCAAAVMS4xLjIwMjEgLi4gMi4yOC4yMDIx/////wmrAQAACgnSAgAACgoKCSQAAAAJ2AIAAAkkAAAAAYMCAABxAgAACasBAAAG2wIAAA1TdGF0dXNSZWNlaXB0CSQAAAAJJAAAAP////8JqwEAAAoJ2wIAAAoKCgkkAAAACeACAAAJJAAAAAGGAgAAcQIAAAmrAQAACZ4AAAAJJAAAAAmfAAAA/////wmrAQAABucCAAALSW52ZW50VHJhbnMJngAAAAoKCgkkAAAACeoCAAAJJAAAAAGJAgAAqAEAAP////8G7AIAAAtJbnZlbnRUYWJsZQbtAgAABUl0ZW1zCSQAAAAJJAAAAAkkAAAAARH9//8E/v//AAAAAAnwAgAACfECAAABDv3//wH+///g5N7gViGWSLzH129nziZfCSQAAAAJJAAAAAn0AgAACaAAAAAG9gIAAAtJbnZlbnRUcmFucwb3AgAAEVRhYmxlLkludmVudFRyYW5zBvgCAAAYVGFibGUuSW52ZW50VHJhbnMuSXRlbUlkBvkCAAAGSXRlbUlkBvoCAAAGSXRlbUlkAQAAAAEF/f///f3//wAAAAABBP3///z9//8AAAAAAAn9AgAAAa4CAAAgAAAAAgAAAAl8AAAAAwAAAAn/AgAAAbYCAAAgAAAAAgAAAAl8AAAAAwAAAAkBAwAAAb8CAAAgAAAAGgAAAAl8AAAAAwAAAAkDAwAAAccCAAAgAAAAAgAAAAl8AAAAAwAAAAkFAwAAAc8CAAAgAAAAAgAAAAl8AAAAAwAAAAkHAwAAAdgCAAAgAAAAGgAAAAl8AAAAAwAAAAkJAwAAAeACAAAgAAAAAgAAAAl8AAAAAwAAAAkLAwAAAeoCAAAgAAAAFgAAAAl8AAAAAwAAAAkNAwAABPA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8AAAAAAAAAAHxAgAA/gEAAAIAAAAJDAAAAAMAAAAJEAMAAAT0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fAAAAAAAAAAB/QIAAAUCAAAAAAAACRIDAAAAAAAAB/8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fz//z7///8JLQIAAAYVAwAABERhdGUB6vz//z7///8JKgIAAAYYAwAADkZpbmFuY2lhbCBkYXRlBw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z//z7///8JLQIAAAYbAwAABEVudW0B5Pz//z7///8JKgIAAAYeAwAADElzc3VlIHN0YXR1cwcD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H8//8+////CS0CAAAGIQMAAAZTdHJpbmcB3vz//z7///8JKgIAAAYkAwAAC0l0ZW0gbnVtYmVyAdv8//8+////BiYDAAAIUmVmZXJzVG8GJwMAAAs9SXRlbU51bWJlcgcF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8//8+////CS0CAAAGKgMAAAZTdHJpbmcB1fz//z7///8JKgIAAAYtAwAABkxvdCBJRAcH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L8//8+////CS0CAAAGMAMAAAZTdHJpbmcBz/z//z7///8JKgIAAAYzAwAABk51bWJlcgc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z8//8+////CS0CAAAGNgMAAAREYXRlAcn8//8+////CSoCAAAGOQMAAA1QaHlzaWNhbCBkYXRlAcb8//8+////CSYDAAAGPAMAAAs9RGF0ZVBlcmlvZAcL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P8//8+////CS0CAAAGPwMAAARFbnVtAcD8//8+////CSoCAAAGQgMAAA5SZWNlaXB0IHN0YXR1cwcN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8+////CS0CAAAGRQMAAARFbnVtAbr8//8+////CSoCAAAGSAMAAAlSZWZlcmVuY2UHEAM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bf8//+R/f//BkoDAAA3VGFibGUuSW52ZW50VHJhbnMuSXRlbUlkflRhYmxlLkludmVudFRhYmxlLkRpbWVuc2lvbls4XQlLAwAAAbT8//+R/f//Bk0DAAA3VGFibGUuSW52ZW50VHJhbnMuSXRlbUlkflRhYmxlLkludmVudFRhYmxlLkRpbWVuc2lvbls3XQlOAwAAARIDAAAlAgAAAUsDAABxAgAACaAAAAAJoQAAAAkkAAAACaIAAAD/////CaAAAAAKCaEAAAAGVQMAAAZJdGVtSWQKCgkkAAAACVcDAAAJJAAAAAFOAwAAcQIAAAmgAAAACaQAAAAJJAAAAAmlAAAA/////wmgAAAACgmkAAAABl8DAAAGSXRlbUlkCgoJJAAAAAlhAwAACSQAAAABVwMAACAAAAAeAAAACWMDAAADAAAACWQDAAABYQMAACAAAAAeAAAACWMDAAADAAAACWYDAAABYwMAAAwAAAAHZ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P//Pv///wZoAwAABFR5cGUGaQMAAAZTdHJpbmcBlvz//z7///8GawMAAAVMYWJlbAZsAwAAFkRldGFpbCBNYXJrZXRpbmcgR3JvdXABk/z//z7///8GbgMAAAhSZWZlcnNUbwZvAwAABD1ETUcHZ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P//Pv///wloAwAACWkDAAABjfz//z7///8JawMAAAZ1AwAAFU1ham9yIE1hcmtldGluZyBHcm91cAGK/P//Pv///wluAwAABngDAAAEPU1NRws=</Report>
</Atlas>
</file>

<file path=customXml/item8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y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GAAAABg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Bkl0ZW1JZAYiAAAABEl0ZW0GIwAAAAZTdHJpbmcGJAAAAAAGJQAAACQwNDU2NDIyMi1kMmE2LTRlN2ItOGU1My01N2JhMWE3YjJmMjMF2v///y1HbG9iZVNvZnR3YXJlLkF0bGFzNDAuQXRsYXNDb21tb24uQWdncmVnYXRpb24BAAAAB3ZhbHVlX18ACA4AAAD/////AAAAAAXZ////LEdsb2JlU29mdHdhcmUuQXRsYXM0MC5BdGxhc0NvbW1vbi5Db2x1bW5UeXBlAQAAAAd2YWx1ZV9fAAgOAAAAAAAAAAXY////K0dsb2JlU29mdHdhcmUuQXRsYXM0MC5BdGxhc0NvbW1vbi5Tb3J0T3JkZXIBAAAAB3ZhbHVlX18ACA4AAAACAAAAAAAAAAAF1////0BHbG9iZVNvZnR3YXJlLkF0bGFzNDAuQXRsYXNDb21tb24uVHlwZS5Db2x1bW4rQ3Jvc3NUYWJDb2x1bW5UeXBlAQAAAAd2YWx1ZV9fAAgOAAAAAAAAAAoBAAAAAAAAAAAAAAAAAAYqAAAAJDY0MDFhNjVjLWFjZDItNDliNC1iMzRkLTA4MzQzNDkyODg5YQYrAAAAIVRhYmxlLkN1c3RQYWNraW5nU2xpcFRyYW5zLkl0ZW1JZAoKCgoBFQAAABQAAAAJLAAAAAktAAAACS4AAAAGLwAAAAhJdGVtTmFtZQYwAAAACUl0ZW0gbmFtZQYxAAAABlN0cmluZwkkAAAABjMAAAAkYjgzMmU3MzItNTA1Yi00NTAxLThhYTUtNTc3ZDEwZjVjZGEyAcz////a/////////wEAAAABy////9n///8AAAAAAcr////Y////AgAAAAAAAAAAAcn////X////AAAAAAoBAAAAAAAAAAABAAAAAAY4AAAAJGMyM2IwNzFlLWY4ZWEtNDJhMi1iMTgyLWNkNWVkNWU1NjY2ZAY5AAAAPFRhYmxlLkN1c3RQYWNraW5nU2xpcFRyYW5zLkl0ZW1JZH5UYWJsZS5JbnZlbnRUYWJsZS5JdGVtTmFtZQoKCgoBFgAAABQAAAAJOgAAAAk7AAAACTwAAAAGPQAAAAROYW1lBj4AAAALRGVzY3JpcHRpb24GPwAAAAZTdHJpbmcJJAAAAAZBAAAAJDQyMjgzZTllLWE1ZjAtNGIyMC05OTc5LTZiZDNiNzRmYTAxZQG+////2v////////8CAAAAAb3////Z////AAAAAAG8////2P///wIAAAAAAAAAAAG7////1////wAAAAAKAQAAAAAAAAAAAgAAAAAGRgAAACQxZjg4OTVkNi05MmY0LTRjOWMtYTg0MC1lOTQxMzZmOWViYzAGRwAAAB9UYWJsZS5DdXN0UGFja2luZ1NsaXBUcmFucy5OYW1lCgoKCgEXAAAAFAAAAAlIAAAACUkAAAAJSgAAAAZLAAAAA1F0eQZMAAAACURlbGl2ZXJlZAZNAAAABFJlYWwJJAAAAAZPAAAAJGI1MmFjNWNjLTgwOWUtNGJjNC04M2Y1LWFiNDExNDIyNTljNAGw////2v///wEAAAADAAAAAa/////Z////AAAAAAGu////2P///wIAAAAAAAAAAAGt////1////wAAAAAKAQAAAAAAAAAAAwAAAAAGVAAAACQzYWZmNWQ5Yy0zYzc1LTRlNjUtODE4Yy1hYjA5MTg2ZjhkMGQGVQAAAB5UYWJsZS5DdXN0UGFja2luZ1NsaXBUcmFucy5RdHkKCgoKARgAAAAUAAAACVYAAAAJVwAAAAlYAAAABlkAAAAHT3JkZXJlZAZaAAAAB09yZGVyZWQGWwAAAARSZWFsCSQAAAAGXQAAACQ2NzY3YTJmZS0xZTg1LTRjMjUtYjZkMC01MmEyZTc4NDYzMmMBov///9r///8BAAAABAAAAAGh////2f///wAAAAABoP///9j///8CAAAAAAAAAAABn////9f///8AAAAACgEAAAAAAAAAAAQAAAAABmIAAAAkNTU2YzI3M2UtYmIyOS00ZDFjLTk1OTMtM2ExNWFkOGFmNDk3BmMAAAAiVGFibGUuQ3VzdFBhY2tpbmdTbGlwVHJhbnMuT3JkZXJlZAoKCgoBGQAAABQAAAAJZAAAAAllAAAACWYAAAAGZwAAAAZSZW1haW4GaAAAABJSZW1haW5pbmcgcXVhbnRpdHkGaQAAAARSZWFsCSQAAAAGawAAACQyNjg2YjRmYy0wYzlkLTQzYWUtYTk3Zi1hZjgyYTMzMDllYmUBlP///9r///8BAAAABQAAAAGT////2f///wAAAAABkv///9j///8CAAAAAAAAAAABkf///9f///8AAAAACgEAAAAAAAAAAAUAAAAABnAAAAAkMDg0N2EyMmItMzhhNS00NzdmLWJkOGItMjQ1ODM1Yjc3M2MzBnEAAAAhVGFibGUuQ3VzdFBhY2tpbmdTbGlwVHJhbnMuUmVtYWluCgoKCgUcAAAAOEdsb2JlU29mdHdhcmUuQXRsYXM0MC5BdGxhc0NvbW1vbkNsaWVudC5SZXBvcnQuUmVmZXJlbmNlAQAAAApfcmVmZXJlbmNlBwgaAAAACXIAAAAHHQAAAAABAAAACAAAAAQ8R2xvYmVTb2Z0d2FyZS5BdGxhczQwLkF0bGFzQ29tbW9uQ2xpZW50LkRhdGFTb3VyY2VGaWVsZFZhbHVlGgAAAAlzAAAACXQAAAAJdQAAAAl2AAAACXcAAAAJeAAAAA0CBB4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XkAAAABAAAAAQAAAAQf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0AAAAJegAAAAcAAAAJewAAAAQ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fAAAAAcAAAAJfQAAAAEsAAAAHgAAAAl+AAAAAQAAAAEAAAABLQAAAB8AAAADAAAACX8AAAADAAAACYAAAAAEL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DAAAAAAAAAABOgAAAB4AAAAJggAAAAEAAAABAAAAATsAAAAfAAAACgAAAAl/AAAABwAAAAmEAAAAATwAAAAgAAAABwAAAAkMAAAABwAAAAmGAAAAAUgAAAAeAAAACYcAAAABAAAAAQAAAAFJAAAAHwAAAB0AAAAJegAAAAcAAAAJiQAAAAFKAAAAIAAAABUAAAAJfAAAAAcAAAAJiwAAAAFWAAAAHgAAAAmMAAAAAQAAAAEAAAABVwAAAB8AAAAdAAAACXoAAAAHAAAACY4AAAABWAAAACAAAAAVAAAACXwAAAAHAAAACZAAAAABZAAAAB4AAAAJkQAAAAEAAAABAAAAAWUAAAAfAAAAHQAAAAl6AAAABwAAAAmTAAAAAWYAAAAgAAAAFQAAAAl8AAAABwAAAAmVAAAAD3IAAAABAAAACAEAAAAFcwAAADxHbG9iZVNvZnR3YXJlLkF0bGFzNDAuQXRsYXNDb21tb25DbGllbnQuRGF0YVNvdXJjZUZpZWxkVmFsdWUEAAAAEl9pc0RyaWxsRG93bkZpbHRlcgZfZHNLZXkKX2ZpZWxkbmFtZQtfZmllbGRWYWx1ZQABAQEBGgAAAAAGlgAAABpUYWJsZS5DdXN0UGFja2luZ1NsaXBUcmFucwaXAAAACkRhdGFBcmVhSWQJBgAAAAF0AAAAcwAAAAAJlgAAAAaaAAAABkl0ZW1JZAabAAAAASoBdQAAAHMAAAAACZYAAAAGnQAAAAxEZWxpdmVyeURhdGUGngAAABUxLjEuMjAyMSAuLiAyLjI4LjIwMjEBdgAAAHMAAAAACZYAAAAGoAAAAAxEaW1lbnNpb25bOF0GoQAAAAEqAXcAAABzAAAAAAmWAAAABqMAAAAMRGltZW5zaW9uWzddBqQAAAABKgF4AAAAcwAAAAAGpQAAADNUYWJsZS5DdXN0UGFja2luZ1NsaXBUcmFucy5TYWxlc0lkflRhYmxlLlNhbGVzVGFibGUGpgAAAAlDdXN0R3JvdXAGpwAAAAQhSUMqB3kAAAAAAQAAAAQAAAAEN0dsb2JlU29mdHdhcmUuQXRsYXM0MC5BdGxhc0NvbW1vbi5UeXBlLkZpZWxkT3V0cHV0RmllbGQOAAAACagAAAANAwR6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/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W////Mkdsb2JlU29mdHdhcmUuQXRsYXM0MC5BdGxhc0NvbW1vbi5Db2x1bW5BdHRyaWJ1dGVzAQAAAAd2YWx1ZV9fAAgOAAAAEAAAAAarAAAABE5vbmUBVP///1f///8BU////1b///8JAAAACSQAAAABUf///1f///8BUP///1b///8LAAAABrEAAAABMAFO////V////wFN////Vv///wQAAAAGtAAAAAdHZW5lcmFsAUv///9X////AUr///9W////AgAAAAa3AAAAATEBSP///1f///8BR////1b///8AAAAABroAAAAFMTcuNDMBfAAAAAwAAAAHf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F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rwAAAAIRm9udEJvbGQGvQAAAAVGYWxzZQFC////Rf///wa/AAAACkZvbnRJdGFsaWMJvQAAAAE/////Rf///wbCAAAADUZvbnRVbmRlcmxpbmUGwwAAAAUtNDE0MgE8////Rf///wbFAAAACEZvbnROYW1lBsYAAAAHQ2FsaWJyaQE5////Rf///wbIAAAACUZvbnRDb2xvcgbJAAAAATABNv///0X///8GywAAAAhGb250U2l6ZQbMAAAAAjExATP///9F////Bs4AAAAJRm9udFN0eWxlBs8AAAAHUmVndWxhcgd+AAAAAAEAAAAEAAAABDdHbG9iZVNvZnR3YXJlLkF0bGFzNDAuQXRsYXNDb21tb24uVHlwZS5GaWVsZE91dHB1dEZpZWxkDgAAAAnQAAAADQMBfwAAAHoAAAAHgAA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////9X////AS7///9W////CQAAAAkkAAAAASz///9X////ASv///9W////CwAAAAbWAAAAATEHggAAAAABAAAABAAAAAQ3R2xvYmVTb2Z0d2FyZS5BdGxhczQwLkF0bGFzQ29tbW9uLlR5cGUuRmllbGRPdXRwdXRGaWVsZA4AAAAJ1wAAAA0DB4Q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o////V////wEn////Vv///wkAAAAJJAAAAAEl////V////wEk////Vv///wsAAAAG3QAAAAEyASL///9X////ASH///9W////BAAAAAbgAAAAB0dlbmVyYWwBH////1f///8BHv///1b///8CAAAABuMAAAABMQEc////V////wEb////Vv///wAAAAAG5gAAAAYxNjQuNDMHh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///Rf///wm8AAAACb0AAAABFv///0X///8JvwAAAAm9AAAAARP///9F////CcIAAAAG7wAAAAUtNDE0MgEQ////Rf///wnFAAAABvIAAAAHQ2FsaWJyaQEN////Rf///wnIAAAABvUAAAABMAEK////Rf///wnLAAAABvgAAAACMTEBB////0X///8JzgAAAAb7AAAAB1JlZ3VsYXIHhwAAAAABAAAABAAAAAQ3R2xvYmVTb2Z0d2FyZS5BdGxhczQwLkF0bGFzQ29tbW9uLlR5cGUuRmllbGRPdXRwdXRGaWVsZA4AAAAJ/AAAAA0DB4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V////wEC////Vv///xAAAAAJqwAAAAEA////V////wH//v//Vv///wkAAAAJJAAAAAH9/v//V////wH8/v//Vv///wsAAAAGBQEAAAEzAfr+//9X////Afn+//9W////BAAAAAYIAQAAB0dlbmVyYWwB9/7//1f///8B9v7//1b///8CAAAABgsBAAABMQH0/v//V////wHz/v//Vv///wAAAAAGDgEAAAUxMS4yOQ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+//9F////CbwAAAAJvQAAAAHu/v//Rf///wm/AAAACb0AAAAB6/7//0X///8JwgAAAAYXAQAABS00MTQyAej+//9F////CcUAAAAGGgEAAAdDYWxpYnJpAeX+//9F////CcgAAAAGHQEAAAEwAeL+//9F////CcsAAAAGIAEAAAIxMQHf/v//Rf///wnOAAAABiMBAAAHUmVndWxhcgeMAAAAAAEAAAAEAAAABDdHbG9iZVNvZnR3YXJlLkF0bGFzNDAuQXRsYXNDb21tb24uVHlwZS5GaWVsZE91dHB1dEZpZWxkDgAAAAkkAQAADQMHj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+//9X////Adr+//9W////EAAAAAmrAAAAAdj+//9X////Adf+//9W////CQAAAAkkAAAAAdX+//9X////AdT+//9W////CwAAAAYtAQAAATQB0v7//1f///8B0f7//1b///8EAAAABjABAAAHR2VuZXJhbAHP/v//V////wHO/v//Vv///wIAAAAGMwEAAAExAcz+//9X////Acv+//9W////AAAAAAY2AQAAAjEwB5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7//0X///8JvAAAAAm9AAAAAcb+//9F////Cb8AAAAJvQAAAAHD/v//Rf///wnCAAAABj8BAAAFLTQxNDIBwP7//0X///8JxQAAAAZCAQAAB0NhbGlicmkBvf7//0X///8JyAAAAAZFAQAAATABuv7//0X///8JywAAAAZIAQAAAjExAbf+//9F////Cc4AAAAGSwEAAAdSZWd1bGFyB5EAAAAAAQAAAAQAAAAEN0dsb2JlU29mdHdhcmUuQXRsYXM0MC5BdGxhc0NvbW1vbi5UeXBlLkZpZWxkT3V0cHV0RmllbGQOAAAACUwBAAANAweT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/7//1f///8Bsv7//1b///8QAAAACasAAAABsP7//1f///8Br/7//1b///8JAAAACSQAAAABrf7//1f///8BrP7//1b///8LAAAABlUBAAABNQGq/v//V////wGp/v//Vv///wQAAAAGWAEAAAdHZW5lcmFsAaf+//9X////Aab+//9W////AgAAAAZbAQAAATEBpP7//1f///8Bo/7//1b///8AAAAABl4BAAAFMjAuMTQHl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v//Rf///wm8AAAACb0AAAABnv7//0X///8JvwAAAAm9AAAAAZv+//9F////CcIAAAAGZwEAAAUtNDE0MgGY/v//Rf///wnFAAAABmoBAAAHQ2FsaWJyaQGV/v//Rf///wnIAAAABm0BAAABMAGS/v//Rf///wnLAAAABnABAAACMTEBj/7//0X///8JzgAAAAZzAQAAB1JlZ3VsYXIFq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jP7//9r/////////AAZ1AQAABlN0cmluZwZ2AQAABEl0ZW0JdwEAAAGI/v//2P///wIAAAAFh/7//zlHbG9iZVNvZnR3YXJlLkF0bGFzNDAuQXRsYXNDb21tb24uTnVtYmVyU2VxdWVuY2VDb25kaXRpb24BAAAAB3ZhbHVlX18ACA4AAAABAAAAAAAGegEAABpUYWJsZS5DdXN0UGFja2luZ1NsaXBUcmFucwkhAAAACSQAAAAK/////wl6AQAACgkhAAAACgoKCSQAAAAJgAEAAAkkAAAAAdAAAACoAAAAAX7+///a/////////wAGgwEAAAZTdHJpbmcGhAEAAAlJdGVtIG5hbWUJhQEAAAF6/v//2P///wIAAAABef7//4f+//8BAAAAAAAGiAEAADNUYWJsZS5DdXN0UGFja2luZ1NsaXBUcmFucy5JdGVtSWR+VGFibGUuSW52ZW50VGFibGUJLwAAAAkkAAAACv////8JiAEAAAoJLwAAAAaNAQAABkl0ZW1JZAaOAQAAFEN1c3RQYWNraW5nU2xpcFRyYW5zCgkkAAAACZABAAAJJAAAAAHXAAAAqAAAAAFu/v//2v////////8ABpMBAAAGU3RyaW5nBpQBAAALRGVzY3JpcHRpb24JlQEAAAFq/v//2P///wIAAAABaf7//4f+//8BAAAAAAAGmAEAABpUYWJsZS5DdXN0UGFja2luZ1NsaXBUcmFucwk9AAAACSQAAAAK/////wmYAQAACgk9AAAACgoKCSQAAAAJngEAAAkkAAAAAfwAAACoAAAAAWD+///a/////////wAGoQEAAARSZWFsBqIBAAAJRGVsaXZlcmVkCXcBAAABXP7//9j///8CAAAAAVv+//+H/v//AQAAAAAACXoBAAAJSwAAAAkkAAAACv////8JegEAAAoJSwAAAAoKCgkkAAAACawBAAAJJAAAAAEkAQAAqAAAAAFS/v//2v////////8ABq8BAAAEUmVhbAawAQAAB09yZGVyZWQJdwEAAAFO/v//2P///wIAAAABTf7//4f+//8BAAAAAAAJegEAAAlZAAAACSQAAAAK/////wl6AQAACglZAAAACgoKCSQAAAAJugEAAAkkAAAAAUwBAACoAAAAAUT+///a/////////wAGvQEAAARSZWFsBr4BAAASUmVtYWluaW5nIHF1YW50aXR5CXcBAAABQP7//9j///8CAAAAAT/+//+H/v//AQAAAAAACXoBAAAJZwAAAAkkAAAACv////8JegEAAAoJZwAAAAoKCgkkAAAACcgBAAAJJAAAAAV3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BIAAAABsoBAAAUQ3VzdFBhY2tpbmdTbGlwVHJhbnMGywEAAB1DdXN0b21lciAtIFBhY2tpbmcgc2xpcCBsaW5lcwkkAAAACSQAAAAJJAAAAAUz/v//MEdsb2JlU29mdHdhcmUuQXRsYXM0MC5BdGxhc0NvbW1vbi5EYXRhU291cmNlVHlwZQEAAAAHdmFsdWVfXwAIDgAAAAAAAAAJzgEAAAnPAQAABDD+//8LU3lzdGVtLkd1aWQLAAAAAl9hAl9iAl9jAl9kAl9lAl9mAl9nAl9oAl9pAl9qAl9rAAAAAAAAAAAAAAAIBwcCAgICAgICAtmGVy3QSpNOiDs3qVZ3QuMJJAAAAAkkAAAACdIBAAAJegEAAAoKCgoKAQAAAAUs/v//NEdsb2JlU29mdHdhcmUuQXRsYXM0MC5BdGxhc0NvbW1vbi5EYXRhU291cmNlSm9pbk1vZGUBAAAAB3ZhbHVlX18ACA4AAAAAAAAABSv+//81R2xvYmVTb2Z0d2FyZS5BdGxhczQwLkF0bGFzQ29tbW9uLkRhdGFTb3VyY2VGZXRjaE1vZGUBAAAAB3ZhbHVlX18ACA4AAAAAAAAAAAnWAQAAAYABAAAgAAAAGQAAAAl8AAAAAwAAAAnYAQAAAYUBAAB3AQAA/////wbZAQAAC0ludmVudFRhYmxlBtoBAAAFSXRlbXMJJAAAAAkkAAAACSQAAAABJP7//zP+//8AAAAACd0BAAAJ3gEAAAEh/v//MP7//zJwWgxM0oVOj+iheHXSGqYJJAAAAAkkAAAACeEBAAAJiAEAAAbjAQAAFEN1c3RQYWNraW5nU2xpcFRyYW5zBuQBAAAaVGFibGUuQ3VzdFBhY2tpbmdTbGlwVHJhbnMG5QEAACFUYWJsZS5DdXN0UGFja2luZ1NsaXBUcmFucy5JdGVtSWQG5gEAAAZJdGVtSWQG5wEAAAZJdGVtSWQBAAAAARj+//8s/v//AAAAAAEX/v//K/7//wAAAAAACeoBAAABkAEAACAAAAACAAAACQwAAAADAAAACewBAAABlQEAAHcBAAD/////Bu0BAAAUQ3VzdFBhY2tpbmdTbGlwVHJhbnMG7gEAAB1DdXN0b21lciAtIFBhY2tpbmcgc2xpcCBsaW5lcwkkAAAACSQAAAAJJAAAAAEQ/v//M/7//wAAAAAJ8QEAAAnyAQAAAQ3+//8w/v//uENsFseU+02dOVUON8ovtgkkAAAACSQAAAAJ9QEAAAmYAQAACgoKCgoBAAAAAQn+//8s/v//AAAAAAEI/v//K/7//wAAAAAACfkBAAABngEAACAAAAAIAAAACQwAAAADAAAACfsBAAABrAEAACAAAAAZAAAACXwAAAADAAAACf0BAAABugEAACAAAAAZAAAACXwAAAADAAAACf8BAAAByAEAACAAAAAZAAAACXwAAAADAAAACQECAAAEzg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UAAAAJAgIAAAcAAAAJAwIAAATP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GAAAACQICAAAHAAAACQUCAAAE0g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AgIAAAMAAAAJBwIAAATW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IAgAAAAAAAAfY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f9//9F////BgoCAAAISGVscFRleHQGCwIAAA5JZGVudGlmeSBpdGVtLgH0/f//Rf///wYNAgAABUxhYmVsCXYBAAAB8f3//0X///8GEAIAAARUeXBlCXUBAAAB3QEAAM4BAAABAAAACQwAAAADAAAACRMCAAAE3g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AAAAAAAAAATh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DAAAAAAAAAAB6gEAANYBAAAAAAAACRUCAAAAAAAAB+w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v3//0X///8GFwIAAAVMYWJlbAmEAQAAAef9//9F////BhoCAAAEVHlwZQmDAQAAAfEBAADOAQAABwAAAAkcAgAABwAAAAkdAgAAAfIBAADPAQAABAAAAAkMAAAABwAAAAkfAgAAAfUBAADSAQAAAQAAAAkcAgAAAwAAAAkhAgAAAfkBAADWAQAAAAAAAAkiAgAAAAAAAAf7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39//9F////CRcCAAAJlAEAAAHa/f//Rf///wkaAgAACZMBAAAH/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f//Rf///wkKAgAABisCAAAkVG90YWwgcXVhbnRpdHkgb2YgdGhpcyBpdGVtIHJlbGVhc2VkAdT9//9F////CQ0CAAAJogEAAAHR/f//Rf///wkQAgAACaEBAAAH/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O/f//Rf///wkKAgAABjQCAAAQUXVhbnRpdHkgb3JkZXJlZAHL/f//Rf///wkNAgAACbABAAAByP3//0X///8JEAIAAAmvAQAABwE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3//0X///8JCgIAAAY9AgAASVJlbWFpbmluZyBxdWFudGl0eSBmb3IgdGhlIHNhbGVzIG9yZGVyIGxpbmUgbm90IHlldCBwYWNraW5nIHNsaXAgdXBkYXRlZC4Bwv3//0X///8JDQIAAAm+AQAAAb/9//9F////CRACAAAJvQEAAAECAgAADAAAAAcDAg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8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ZFAgAAKFRhYmxlLkN1c3RQYWNraW5nU2xpcFRyYW5zLlBhY2tpbmdTbGlwSWQJRgIAAAG5/f//vP3//wZIAgAAIVRhYmxlLkN1c3RQYWNraW5nU2xpcFRyYW5zLkl0ZW1JZAmoAAAAAbb9//+8/f//BksCAAAeVGFibGUuQ3VzdFBhY2tpbmdTbGlwVHJhbnMuUXR5CfwAAAABs/3//7z9//8GTgIAACJUYWJsZS5DdXN0UGFja2luZ1NsaXBUcmFucy5PcmRlcmVkCSQBAAABsP3//7z9//8GUQIAACFUYWJsZS5DdXN0UGFja2luZ1NsaXBUcmFucy5SZW1haW4JTAEAAAcFAgAAAAEAAAAG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rf3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ZUAgAAJVRhYmxlLkN1c3RQYWNraW5nU2xpcFRyYW5zLkRhdGFBcmVhSWQJVQIAAAGq/f//rf3//wZXAgAAIVRhYmxlLkN1c3RQYWNraW5nU2xpcFRyYW5zLkl0ZW1JZAlYAgAAAaf9//+t/f//BloCAAAoVGFibGUuQ3VzdFBhY2tpbmdTbGlwVHJhbnMuUGFja2luZ1NsaXBJZAlbAgAAAaT9//+t/f//Bl0CAAAnVGFibGUuQ3VzdFBhY2tpbmdTbGlwVHJhbnMuRGVsaXZlcnlEYXRlCV4CAAABof3//639//8GYAIAACdUYWJsZS5DdXN0UGFja2luZ1NsaXBUcmFucy5EaW1lbnNpb25bOF0JYQIAAAGe/f//rf3//wZjAgAAJ1RhYmxlLkN1c3RQYWNraW5nU2xpcFRyYW5zLkRpbWVuc2lvbls3XQlkAgAABwcC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Jv9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aUAAAAJZwIAAAQI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EwI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mP3//7z9//8GaQIAADxUYWJsZS5DdXN0UGFja2luZ1NsaXBUcmFucy5JdGVtSWR+VGFibGUuSW52ZW50VGFibGUuSXRlbU5hbWUJ0AAAAAEVAgAACAIAAAEcAgAADAAAAAcdAg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V/f//vP3//wZsAgAAIVRhYmxlLkN1c3RQYWNraW5nU2xpcFRyYW5zLkl0ZW1JZAmoAAAAAZL9//+8/f//Bm8CAAAeVGFibGUuQ3VzdFBhY2tpbmdTbGlwVHJhbnMuUXR5CfwAAAABj/3//7z9//8GcgIAACJUYWJsZS5DdXN0UGFja2luZ1NsaXBUcmFucy5PcmRlcmVkCSQBAAABjP3//7z9//8GdQIAACFUYWJsZS5DdXN0UGFja2luZ1NsaXBUcmFucy5SZW1haW4JTAEAAAGJ/f//vP3//wZ4AgAAH1RhYmxlLkN1c3RQYWNraW5nU2xpcFRyYW5zLk5hbWUJ1wAAAAcfAg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hv3//639//8GewIAACFUYWJsZS5DdXN0UGFja2luZ1NsaXBUcmFucy5JdGVtSWQJfAIAAAGD/f//rf3//wZ+AgAAJ1RhYmxlLkN1c3RQYWNraW5nU2xpcFRyYW5zLkRlbGl2ZXJ5RGF0ZQl/AgAAAYD9//+t/f//BoECAAAnVGFibGUuQ3VzdFBhY2tpbmdTbGlwVHJhbnMuRGltZW5zaW9uWzhdCYICAAABff3//639//8GhAIAACdUYWJsZS5DdXN0UGFja2luZ1NsaXBUcmFucy5EaW1lbnNpb25bN10JhQIAAAch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6/f//m/3//wmlAAAACWcCAAABIgIAAAgCAAABRgIAAKgAAAABd/3//9r/////////AAaKAgAABlN0cmluZwaLAgAADFBhY2tpbmcgc2xpcAl3AQAAAXP9///Y////AgAAAAFy/f//h/7//wEAAAAAAAl6AQAABpACAAANUGFja2luZ1NsaXBJZAkkAAAACv////8JegEAAAoJkAIAAAoKCgkkAAAACZUCAAAJJAAAAAVVA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egEAAAaYAgAACkRhdGFBcmVhSWQJJAAAAAkkAAAA/////wl6AQAACgmYAgAACgoKCSQAAAAJnQIAAAkkAAAAAVgCAABVAgAACXoBAAAGoAIAAAZJdGVtSWQJJAAAAAkkAAAA/////wl6AQAACgmgAgAACgoKCSQAAAAJpQIAAAkkAAAAAVsCAABVAgAACXoBAAAGqAIAAA1QYWNraW5nU2xpcElkCSQAAAAJJAAAAP////8JegEAAAoJqAIAAAoKCgkkAAAACa0CAAAJJAAAAAFeAgAAVQIAAAl6AQAACZ0AAAAJJAAAAAkkAAAA/////wl6AQAACgmdAAAACgoKCSQAAAAJtQIAAAkkAAAAAWECAABVAgAACXoBAAAGuAIAAAxEaW1lbnNpb25bOF0JJAAAAAkkAAAA/////wl6AQAACgm4AgAACgoKCSQAAAAJvQIAAAkkAAAAAWQCAABVAgAACXoBAAAGwAIAAAxEaW1lbnNpb25bN10JJAAAAAkkAAAA/////wl6AQAACgnAAgAACgoKCSQAAAAJxQIAAAkkAAAAAWcCAAB3AQAA/////wbHAgAAClNhbGVzVGFibGUGyAIAAAxTYWxlcyBvcmRlcnMJJAAAAAkkAAAACSQAAAABNv3//zP+//8AAAAACcsCAAAJzAIAAAEz/f//MP7//z7Q2GxdJftBloNw0dZCYJ0JJAAAAAkkAAAACc8CAAAJpQAAAAbRAgAAFEN1c3RQYWNraW5nU2xpcFRyYW5zBtICAAAaVGFibGUuQ3VzdFBhY2tpbmdTbGlwVHJhbnMG0wIAACJUYWJsZS5DdXN0UGFja2luZ1NsaXBUcmFucy5TYWxlc0lkBtQCAAAHU2FsZXNJZAbVAgAAB1NhbGVzSWQBAAAAASr9//8s/v//AAAAAAEp/f//K/7//wAAAAAACdgCAAABfAIAAFUCAAAG2QIAABpUYWJsZS5DdXN0UGFja2luZ1NsaXBUcmFucwmaAAAACSQAAAAJmwAAAP////8J2QIAAAoJmgAAAAoKCgkkAAAACeACAAAJJAAAAAF/AgAAVQIAAAnZAgAACZ0AAAAJJAAAAAmeAAAA/////wnZAgAACgmdAAAACgoKCSQAAAAJ6QIAAAkkAAAAAYICAABVAgAACdkCAAAJoAAAAAkkAAAACaEAAAD/////CdkCAAAKCaAAAAAKCgoJJAAAAAnyAgAACSQAAAABhQIAAFUCAAAJ2QIAAAmjAAAACSQAAAAJpAAAAP////8J2QIAAAoJowAAAAoKCgkkAAAACfsCAAAJJAAAAAGVAgAAIAAAABEAAAAJfAAAAAMAAAAJ/gIAAASd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Sl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St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S1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S9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T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8AAAAAAAAAATL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fAAAAAAAAAABzAIAAM8BAAABAAAACQwAAAADAAAACQEDAAAEzw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wAAAAAAAAAAdgCAADWAQAAAAAAAAkDAwAAAAAAAAHgAgAAIAAAABMAAAAJDAAAAAMAAAAJBQMAAAHpAgAAIAAAABMAAAAJDAAAAAMAAAAJBwMAAAHyAgAAIAAAABMAAAAJDAAAAAMAAAAJCQMAAAH7AgAAIAAAABMAAAAJDAAAAAMAAAAJCwMAAAf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T8//9F////CQoCAAAGDgMAACNJZGVudGlmaWNhdGlvbiBvZiB0aGUgcGFja2luZyBzbGlwLgHx/P//Rf///wkNAgAACYsCAAAB7vz//0X///8JEAIAAAmKAgAABwED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r/P//rf3//wYWAwAAPVRhYmxlLkN1c3RQYWNraW5nU2xpcFRyYW5zLlNhbGVzSWR+VGFibGUuU2FsZXNUYWJsZS5DdXN0R3JvdXAJFwMAAAEDAwAACAIAAAcF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j8//9F////CRoCAAAJdQEAAAHl/P//Rf///wkXAgAACXYBAAAB4vz//0X///8GHwMAAAhSZWZlcnNUbwYgAwAACz1JdGVtTnVtYmVyBw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z//0X///8JGgIAAAYjAwAABERhdGUB3Pz//0X///8JFwIAAAYmAwAACVNoaXAgZGF0ZQHZ/P//Rf///wkfAwAABikDAAALPURhdGVQZXJpb2QHC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P//Rf///wkaAgAABiwDAAAGU3RyaW5nAdP8//9F////CRcCAAAGLwMAABZEZXRhaWwgTWFya2V0aW5nIEdyb3VwAdD8//9F////CR8DAAAGMgMAAAQ9RE1HBw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0X///8JGgIAAAksAwAAAcr8//9F////CRcCAAAGOAMAABVNYWpvciBNYXJrZXRpbmcgR3JvdXABx/z//0X///8JHwMAAAY7AwAABD1NTUcBFwMAAFUCAAAJpQAAAAmmAAAACSQAAAAJpwAAAP////8JpQAAAAoJpgAAAAZCAwAAB1NhbGVzSWQKCgkkAAAACUQDAAAJJAAAAAFEAwAAIAAAABMAAAAJDAAAAAMAAAAJRwMAAAdH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8//9F////CRoCAAAGSgMAAAZTdHJpbmcBtfz//0X///8JFwIAAAZNAwAADkN1c3RvbWVyIGdyb3VwAbL8//9F////CR8DAAAGUAMAAAo9Q3VzdEdyb3VwCw==</Report>
</Atlas>
</file>

<file path=customXml/itemProps1.xml><?xml version="1.0" encoding="utf-8"?>
<ds:datastoreItem xmlns:ds="http://schemas.openxmlformats.org/officeDocument/2006/customXml" ds:itemID="{F440744D-8369-47D1-877F-F08098FF4009}">
  <ds:schemaRefs/>
</ds:datastoreItem>
</file>

<file path=customXml/itemProps2.xml><?xml version="1.0" encoding="utf-8"?>
<ds:datastoreItem xmlns:ds="http://schemas.openxmlformats.org/officeDocument/2006/customXml" ds:itemID="{4F291720-D296-481B-ABD6-7766C6F2A57D}">
  <ds:schemaRefs/>
</ds:datastoreItem>
</file>

<file path=customXml/itemProps3.xml><?xml version="1.0" encoding="utf-8"?>
<ds:datastoreItem xmlns:ds="http://schemas.openxmlformats.org/officeDocument/2006/customXml" ds:itemID="{437CCE86-05AD-41BF-ADAA-2DBFE75D0294}">
  <ds:schemaRefs/>
</ds:datastoreItem>
</file>

<file path=customXml/itemProps4.xml><?xml version="1.0" encoding="utf-8"?>
<ds:datastoreItem xmlns:ds="http://schemas.openxmlformats.org/officeDocument/2006/customXml" ds:itemID="{9122751D-3283-43AA-BC6D-9AC9F38ADA84}">
  <ds:schemaRefs/>
</ds:datastoreItem>
</file>

<file path=customXml/itemProps5.xml><?xml version="1.0" encoding="utf-8"?>
<ds:datastoreItem xmlns:ds="http://schemas.openxmlformats.org/officeDocument/2006/customXml" ds:itemID="{8B86DCE6-96F5-4883-B9D2-FEDECFFDC7D6}">
  <ds:schemaRefs/>
</ds:datastoreItem>
</file>

<file path=customXml/itemProps6.xml><?xml version="1.0" encoding="utf-8"?>
<ds:datastoreItem xmlns:ds="http://schemas.openxmlformats.org/officeDocument/2006/customXml" ds:itemID="{C274D17A-C1DE-4008-A9FB-5C36655A8340}">
  <ds:schemaRefs/>
</ds:datastoreItem>
</file>

<file path=customXml/itemProps7.xml><?xml version="1.0" encoding="utf-8"?>
<ds:datastoreItem xmlns:ds="http://schemas.openxmlformats.org/officeDocument/2006/customXml" ds:itemID="{F0D3D701-D6C8-4BEA-AE93-8116681A1E1D}">
  <ds:schemaRefs/>
</ds:datastoreItem>
</file>

<file path=customXml/itemProps8.xml><?xml version="1.0" encoding="utf-8"?>
<ds:datastoreItem xmlns:ds="http://schemas.openxmlformats.org/officeDocument/2006/customXml" ds:itemID="{AD4F44D1-E1C3-4BAF-8223-1EB6BEF41FF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9</vt:i4>
      </vt:variant>
    </vt:vector>
  </HeadingPairs>
  <TitlesOfParts>
    <vt:vector size="15" baseType="lpstr">
      <vt:lpstr>General</vt:lpstr>
      <vt:lpstr>SalesDetails</vt:lpstr>
      <vt:lpstr>Sales packing slip</vt:lpstr>
      <vt:lpstr>InventTrans</vt:lpstr>
      <vt:lpstr>Report_Summary</vt:lpstr>
      <vt:lpstr>Sales Analyze Details</vt:lpstr>
      <vt:lpstr>'Sales packing slip'!AtlasReport_3</vt:lpstr>
      <vt:lpstr>InventTrans!AtlasReport_4</vt:lpstr>
      <vt:lpstr>SalesDetails!AtlasReport_5</vt:lpstr>
      <vt:lpstr>CustGroup</vt:lpstr>
      <vt:lpstr>DataAreaId</vt:lpstr>
      <vt:lpstr>DatePeriod</vt:lpstr>
      <vt:lpstr>DMG</vt:lpstr>
      <vt:lpstr>ItemNumber</vt:lpstr>
      <vt:lpstr>MMG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2021-02-26T02:39:47Z</dcterms:created>
  <dcterms:modified xsi:type="dcterms:W3CDTF">2021-09-06T06:33:19Z</dcterms:modified>
</cp:coreProperties>
</file>